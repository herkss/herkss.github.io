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WORK\FUJI\"/>
    </mc:Choice>
  </mc:AlternateContent>
  <bookViews>
    <workbookView xWindow="-15" yWindow="-15" windowWidth="9570" windowHeight="12915" tabRatio="721" activeTab="1"/>
  </bookViews>
  <sheets>
    <sheet name="入力" sheetId="10" r:id="rId1"/>
    <sheet name="Sheet3" sheetId="36" r:id="rId2"/>
  </sheets>
  <definedNames>
    <definedName name="_xlnm.Print_Area" localSheetId="1">Sheet3!$A$1:$GB$127</definedName>
  </definedNames>
  <calcPr calcId="152511"/>
</workbook>
</file>

<file path=xl/calcChain.xml><?xml version="1.0" encoding="utf-8"?>
<calcChain xmlns="http://schemas.openxmlformats.org/spreadsheetml/2006/main">
  <c r="BT203" i="36" l="1"/>
  <c r="BJ171" i="36" l="1"/>
  <c r="AF153" i="36" l="1"/>
  <c r="DH254" i="36" l="1"/>
  <c r="ED285" i="36" l="1"/>
  <c r="DL284" i="36"/>
  <c r="EL272" i="36"/>
  <c r="ED266" i="36"/>
  <c r="EJ263" i="36"/>
  <c r="DH263" i="36"/>
  <c r="EO240" i="36"/>
  <c r="BT153" i="36" l="1"/>
  <c r="BT473" i="36" l="1"/>
  <c r="BM686" i="36" l="1"/>
  <c r="BB742" i="36"/>
  <c r="AJ741" i="36"/>
  <c r="BJ729" i="36"/>
  <c r="AF720" i="36"/>
  <c r="BJ718" i="36"/>
  <c r="BB712" i="36"/>
  <c r="BH709" i="36"/>
  <c r="AF709" i="36"/>
  <c r="AF700" i="36"/>
  <c r="DO677" i="36"/>
  <c r="CW676" i="36"/>
  <c r="DW664" i="36"/>
  <c r="AF664" i="36"/>
  <c r="BJ662" i="36"/>
  <c r="BB656" i="36"/>
  <c r="BH653" i="36"/>
  <c r="AF653" i="36"/>
  <c r="AF644" i="36"/>
  <c r="AF203" i="36" l="1"/>
  <c r="BM289" i="36" l="1"/>
  <c r="BB337" i="36"/>
  <c r="AJ336" i="36"/>
  <c r="BL321" i="36"/>
  <c r="BB315" i="36"/>
  <c r="BH312" i="36"/>
  <c r="AF312" i="36"/>
  <c r="AF303" i="36"/>
  <c r="AF162" i="36" l="1"/>
  <c r="BT162" i="36"/>
  <c r="CP234" i="36" l="1"/>
  <c r="BX233" i="36"/>
  <c r="CX221" i="36"/>
  <c r="CP215" i="36"/>
  <c r="CV212" i="36"/>
  <c r="BT212" i="36"/>
  <c r="DA189" i="36"/>
  <c r="DA459" i="36" l="1"/>
  <c r="BT253" i="36" l="1"/>
  <c r="AF253" i="36" l="1"/>
  <c r="DA139" i="36" l="1"/>
  <c r="BM139" i="36"/>
  <c r="BT718" i="36" l="1"/>
  <c r="BT599" i="36"/>
  <c r="AF599" i="36"/>
  <c r="BT536" i="36"/>
  <c r="AF536" i="36"/>
  <c r="BT482" i="36"/>
  <c r="AF482" i="36"/>
  <c r="BT428" i="36"/>
  <c r="AF428" i="36"/>
  <c r="BT379" i="36"/>
  <c r="AF379" i="36"/>
  <c r="BT321" i="36"/>
  <c r="BT262" i="36"/>
  <c r="AF262" i="36"/>
  <c r="AF212" i="36"/>
  <c r="DA513" i="36"/>
  <c r="CP556" i="36"/>
  <c r="BX555" i="36"/>
  <c r="CP738" i="36"/>
  <c r="BX737" i="36"/>
  <c r="CP619" i="36"/>
  <c r="BX618" i="36"/>
  <c r="BB619" i="36"/>
  <c r="AJ618" i="36"/>
  <c r="BB556" i="36"/>
  <c r="AJ555" i="36"/>
  <c r="CP502" i="36"/>
  <c r="BX501" i="36"/>
  <c r="BB502" i="36"/>
  <c r="AJ501" i="36"/>
  <c r="CP448" i="36"/>
  <c r="BX447" i="36"/>
  <c r="BB448" i="36"/>
  <c r="AJ447" i="36"/>
  <c r="CP401" i="36"/>
  <c r="BX400" i="36"/>
  <c r="BB401" i="36"/>
  <c r="AJ400" i="36"/>
  <c r="CP343" i="36"/>
  <c r="BX342" i="36"/>
  <c r="CP284" i="36"/>
  <c r="BX283" i="36"/>
  <c r="BB284" i="36"/>
  <c r="AJ283" i="36"/>
  <c r="BB234" i="36"/>
  <c r="AJ233" i="36"/>
  <c r="CP184" i="36"/>
  <c r="BX183" i="36"/>
  <c r="AJ183" i="36"/>
  <c r="BB184" i="36"/>
  <c r="BM189" i="36"/>
  <c r="CX727" i="36"/>
  <c r="CP721" i="36"/>
  <c r="CV718" i="36"/>
  <c r="BS709" i="36"/>
  <c r="CV700" i="36"/>
  <c r="CR703" i="36"/>
  <c r="CC700" i="36"/>
  <c r="BY703" i="36"/>
  <c r="CR698" i="36"/>
  <c r="BY698" i="36"/>
  <c r="DA686" i="36"/>
  <c r="BM630" i="36"/>
  <c r="DA567" i="36"/>
  <c r="BT610" i="36"/>
  <c r="CX608" i="36"/>
  <c r="CP602" i="36"/>
  <c r="CV599" i="36"/>
  <c r="CC581" i="36"/>
  <c r="BY584" i="36"/>
  <c r="CR579" i="36"/>
  <c r="BY579" i="36"/>
  <c r="BJ608" i="36"/>
  <c r="BB602" i="36"/>
  <c r="BH599" i="36"/>
  <c r="AE590" i="36"/>
  <c r="AX590" i="36"/>
  <c r="AK584" i="36"/>
  <c r="AO581" i="36"/>
  <c r="BH581" i="36"/>
  <c r="BD584" i="36"/>
  <c r="BD579" i="36"/>
  <c r="AK579" i="36"/>
  <c r="BM567" i="36"/>
  <c r="BT547" i="36"/>
  <c r="CX545" i="36"/>
  <c r="BJ545" i="36"/>
  <c r="CP539" i="36"/>
  <c r="BB539" i="36"/>
  <c r="CV536" i="36"/>
  <c r="BH536" i="36"/>
  <c r="CC527" i="36"/>
  <c r="BY530" i="36"/>
  <c r="BH527" i="36"/>
  <c r="BD530" i="36"/>
  <c r="AO527" i="36"/>
  <c r="AK530" i="36"/>
  <c r="BY525" i="36"/>
  <c r="BD525" i="36"/>
  <c r="AK525" i="36"/>
  <c r="BM513" i="36"/>
  <c r="CX491" i="36"/>
  <c r="CP485" i="36"/>
  <c r="CV482" i="36"/>
  <c r="BJ491" i="36"/>
  <c r="BB485" i="36"/>
  <c r="BH482" i="36"/>
  <c r="BH473" i="36"/>
  <c r="BD476" i="36"/>
  <c r="AE473" i="36"/>
  <c r="BD471" i="36"/>
  <c r="BM459" i="36"/>
  <c r="CX437" i="36"/>
  <c r="CP431" i="36"/>
  <c r="CV428" i="36"/>
  <c r="CC419" i="36"/>
  <c r="BY422" i="36"/>
  <c r="CR417" i="36"/>
  <c r="BY417" i="36"/>
  <c r="DA405" i="36"/>
  <c r="AF439" i="36"/>
  <c r="BJ437" i="36"/>
  <c r="BB431" i="36"/>
  <c r="BH428" i="36"/>
  <c r="AO419" i="36"/>
  <c r="BH419" i="36"/>
  <c r="BD422" i="36"/>
  <c r="BD417" i="36"/>
  <c r="AK417" i="36"/>
  <c r="BM405" i="36"/>
  <c r="DA347" i="36"/>
  <c r="CX388" i="36"/>
  <c r="CP382" i="36"/>
  <c r="CV379" i="36"/>
  <c r="BS370" i="36"/>
  <c r="CL370" i="36"/>
  <c r="BY364" i="36"/>
  <c r="CC361" i="36"/>
  <c r="CV361" i="36"/>
  <c r="CR364" i="36"/>
  <c r="CR359" i="36"/>
  <c r="BY359" i="36"/>
  <c r="AF390" i="36"/>
  <c r="BJ388" i="36"/>
  <c r="BB382" i="36"/>
  <c r="BH379" i="36"/>
  <c r="AX370" i="36"/>
  <c r="AE370" i="36"/>
  <c r="BD364" i="36"/>
  <c r="AK364" i="36"/>
  <c r="BH361" i="36"/>
  <c r="AO361" i="36"/>
  <c r="BD359" i="36"/>
  <c r="AK359" i="36"/>
  <c r="BM347" i="36"/>
  <c r="CX330" i="36"/>
  <c r="CP324" i="36"/>
  <c r="CV321" i="36"/>
  <c r="CC312" i="36"/>
  <c r="CV312" i="36"/>
  <c r="CR315" i="36"/>
  <c r="CR310" i="36"/>
  <c r="BY310" i="36"/>
  <c r="CC303" i="36"/>
  <c r="BY306" i="36"/>
  <c r="CR301" i="36"/>
  <c r="BY301" i="36"/>
  <c r="DA289" i="36"/>
  <c r="BJ271" i="36"/>
  <c r="BB265" i="36"/>
  <c r="BH262" i="36"/>
  <c r="BM239" i="36"/>
  <c r="CX271" i="36"/>
  <c r="CP265" i="36"/>
  <c r="CV262" i="36"/>
  <c r="DA239" i="36"/>
  <c r="AF223" i="36"/>
  <c r="BJ221" i="36"/>
  <c r="BB215" i="36"/>
  <c r="BH212" i="36"/>
  <c r="CP165" i="36"/>
  <c r="CV162" i="36"/>
  <c r="CX171" i="36"/>
  <c r="BB165" i="36"/>
  <c r="BH162" i="36"/>
  <c r="FZ125" i="36"/>
  <c r="O166" i="36"/>
  <c r="U163" i="36"/>
  <c r="AF173" i="36"/>
  <c r="CN135" i="36"/>
  <c r="CT132" i="36"/>
  <c r="AC114" i="36"/>
  <c r="AC112" i="36"/>
  <c r="AC110" i="36"/>
  <c r="AC107" i="36"/>
  <c r="AC105" i="36"/>
  <c r="AC103" i="36"/>
  <c r="AC100" i="36"/>
  <c r="AC98" i="36"/>
  <c r="AC96" i="36"/>
  <c r="AC93" i="36"/>
  <c r="AC91" i="36"/>
  <c r="AC89" i="36"/>
  <c r="AC86" i="36"/>
  <c r="AC84" i="36"/>
  <c r="AC82" i="36"/>
  <c r="AC79" i="36"/>
  <c r="AC77" i="36"/>
  <c r="AC75" i="36"/>
  <c r="AC72" i="36"/>
  <c r="AC70" i="36"/>
  <c r="AC68" i="36"/>
  <c r="AC65" i="36"/>
  <c r="AC63" i="36"/>
  <c r="AC61" i="36"/>
  <c r="AC58" i="36"/>
  <c r="AC56" i="36"/>
  <c r="AC54" i="36"/>
  <c r="AC51" i="36"/>
  <c r="AC49" i="36"/>
  <c r="AC47" i="36"/>
  <c r="AC44" i="36"/>
  <c r="AC42" i="36"/>
  <c r="AC40" i="36"/>
  <c r="AC37" i="36"/>
  <c r="AC35" i="36"/>
  <c r="AC33" i="36"/>
  <c r="AC30" i="36"/>
  <c r="AC28" i="36"/>
  <c r="AC26" i="36"/>
  <c r="AC23" i="36"/>
  <c r="AC21" i="36"/>
  <c r="AC19" i="36"/>
  <c r="AC16" i="36"/>
  <c r="AC14" i="36"/>
  <c r="AC12" i="36"/>
  <c r="AC5" i="36"/>
  <c r="AC9" i="36"/>
  <c r="AC7" i="36"/>
  <c r="AD1" i="36"/>
  <c r="R1" i="36"/>
  <c r="BF2" i="10"/>
  <c r="BG2" i="10"/>
  <c r="BH2" i="10"/>
  <c r="BK2" i="10"/>
  <c r="BM2" i="10"/>
  <c r="BO2" i="10"/>
  <c r="BP2" i="10"/>
  <c r="BQ2" i="10"/>
  <c r="BT2" i="10"/>
  <c r="BV2" i="10"/>
  <c r="BH3" i="10"/>
  <c r="BQ3" i="10"/>
  <c r="AZ4" i="10"/>
  <c r="AZ5" i="10" s="1"/>
  <c r="AZ6" i="10" s="1"/>
  <c r="AZ7" i="10" s="1"/>
  <c r="AZ8" i="10" s="1"/>
  <c r="AZ9" i="10" s="1"/>
  <c r="AZ10" i="10" s="1"/>
  <c r="AZ11" i="10" s="1"/>
  <c r="AZ12" i="10" s="1"/>
  <c r="AZ13" i="10" s="1"/>
  <c r="AZ14" i="10" s="1"/>
  <c r="AZ15" i="10" s="1"/>
  <c r="AZ16" i="10" s="1"/>
  <c r="AZ17" i="10" s="1"/>
  <c r="AZ18" i="10" s="1"/>
  <c r="AZ19" i="10" s="1"/>
  <c r="AZ20" i="10" s="1"/>
  <c r="AZ21" i="10" s="1"/>
  <c r="AZ22" i="10" s="1"/>
  <c r="AZ23" i="10" s="1"/>
  <c r="AZ24" i="10" s="1"/>
  <c r="AZ25" i="10" s="1"/>
  <c r="AZ26" i="10" s="1"/>
  <c r="AZ27" i="10" s="1"/>
  <c r="AZ28" i="10" s="1"/>
  <c r="BF4" i="10"/>
  <c r="BG4" i="10"/>
  <c r="BH4" i="10"/>
  <c r="BI4" i="10"/>
  <c r="BJ4" i="10"/>
  <c r="BK4" i="10"/>
  <c r="BL4" i="10"/>
  <c r="BM4" i="10"/>
  <c r="BO4" i="10"/>
  <c r="BP4" i="10"/>
  <c r="BQ4" i="10"/>
  <c r="BR4" i="10"/>
  <c r="BS4" i="10"/>
  <c r="BT4" i="10"/>
  <c r="BU4" i="10"/>
  <c r="BV4" i="10"/>
  <c r="BF5" i="10"/>
  <c r="BG5" i="10"/>
  <c r="BH5" i="10"/>
  <c r="BI5" i="10"/>
  <c r="BJ5" i="10"/>
  <c r="BK5" i="10"/>
  <c r="BL5" i="10"/>
  <c r="BM5" i="10"/>
  <c r="BO5" i="10"/>
  <c r="BP5" i="10"/>
  <c r="BQ5" i="10"/>
  <c r="BR5" i="10"/>
  <c r="BS5" i="10"/>
  <c r="BT5" i="10"/>
  <c r="BU5" i="10"/>
  <c r="BV5" i="10"/>
  <c r="BF6" i="10"/>
  <c r="BG6" i="10"/>
  <c r="BH6" i="10"/>
  <c r="BI6" i="10"/>
  <c r="BJ6" i="10"/>
  <c r="BK6" i="10"/>
  <c r="BL6" i="10"/>
  <c r="BM6" i="10"/>
  <c r="BO6" i="10"/>
  <c r="BP6" i="10"/>
  <c r="BQ6" i="10"/>
  <c r="BR6" i="10"/>
  <c r="BS6" i="10"/>
  <c r="BT6" i="10"/>
  <c r="BU6" i="10"/>
  <c r="BV6" i="10"/>
  <c r="BF7" i="10"/>
  <c r="BG7" i="10"/>
  <c r="BH7" i="10"/>
  <c r="BI7" i="10"/>
  <c r="BJ7" i="10"/>
  <c r="BK7" i="10"/>
  <c r="BL7" i="10"/>
  <c r="BM7" i="10"/>
  <c r="BO7" i="10"/>
  <c r="BP7" i="10"/>
  <c r="BQ7" i="10"/>
  <c r="BR7" i="10"/>
  <c r="BS7" i="10"/>
  <c r="BT7" i="10"/>
  <c r="BU7" i="10"/>
  <c r="BV7" i="10"/>
  <c r="BF8" i="10"/>
  <c r="BG8" i="10"/>
  <c r="BH8" i="10"/>
  <c r="BI8" i="10"/>
  <c r="BJ8" i="10"/>
  <c r="BK8" i="10"/>
  <c r="BL8" i="10"/>
  <c r="BM8" i="10"/>
  <c r="BO8" i="10"/>
  <c r="BP8" i="10"/>
  <c r="BQ8" i="10"/>
  <c r="BR8" i="10"/>
  <c r="BS8" i="10"/>
  <c r="BT8" i="10"/>
  <c r="BU8" i="10"/>
  <c r="BV8" i="10"/>
  <c r="BF9" i="10"/>
  <c r="BG9" i="10"/>
  <c r="BH9" i="10"/>
  <c r="BI9" i="10"/>
  <c r="BJ9" i="10"/>
  <c r="BK9" i="10"/>
  <c r="BL9" i="10"/>
  <c r="BM9" i="10"/>
  <c r="BO9" i="10"/>
  <c r="BP9" i="10"/>
  <c r="BQ9" i="10"/>
  <c r="BR9" i="10"/>
  <c r="BS9" i="10"/>
  <c r="BT9" i="10"/>
  <c r="BU9" i="10"/>
  <c r="BV9" i="10"/>
  <c r="BF10" i="10"/>
  <c r="BG10" i="10"/>
  <c r="BH10" i="10"/>
  <c r="BI10" i="10"/>
  <c r="BJ10" i="10"/>
  <c r="BK10" i="10"/>
  <c r="BL10" i="10"/>
  <c r="BM10" i="10"/>
  <c r="BO10" i="10"/>
  <c r="BP10" i="10"/>
  <c r="BQ10" i="10"/>
  <c r="BR10" i="10"/>
  <c r="BS10" i="10"/>
  <c r="BT10" i="10"/>
  <c r="BU10" i="10"/>
  <c r="BV10" i="10"/>
  <c r="BF11" i="10"/>
  <c r="BG11" i="10"/>
  <c r="BH11" i="10"/>
  <c r="BI11" i="10"/>
  <c r="BJ11" i="10"/>
  <c r="BK11" i="10"/>
  <c r="BL11" i="10"/>
  <c r="BM11" i="10"/>
  <c r="BO11" i="10"/>
  <c r="BP11" i="10"/>
  <c r="BQ11" i="10"/>
  <c r="BR11" i="10"/>
  <c r="BS11" i="10"/>
  <c r="BT11" i="10"/>
  <c r="BU11" i="10"/>
  <c r="BV11" i="10"/>
  <c r="BF12" i="10"/>
  <c r="BG12" i="10"/>
  <c r="BH12" i="10"/>
  <c r="BI12" i="10"/>
  <c r="BJ12" i="10"/>
  <c r="BK12" i="10"/>
  <c r="BL12" i="10"/>
  <c r="BM12" i="10"/>
  <c r="BO12" i="10"/>
  <c r="BP12" i="10"/>
  <c r="BQ12" i="10"/>
  <c r="BR12" i="10"/>
  <c r="BS12" i="10"/>
  <c r="BT12" i="10"/>
  <c r="BU12" i="10"/>
  <c r="BV12" i="10"/>
  <c r="BF13" i="10"/>
  <c r="BG13" i="10"/>
  <c r="BH13" i="10"/>
  <c r="BI13" i="10"/>
  <c r="BJ13" i="10"/>
  <c r="BK13" i="10"/>
  <c r="BL13" i="10"/>
  <c r="BM13" i="10"/>
  <c r="BO13" i="10"/>
  <c r="BP13" i="10"/>
  <c r="BQ13" i="10"/>
  <c r="BR13" i="10"/>
  <c r="BS13" i="10"/>
  <c r="BT13" i="10"/>
  <c r="BU13" i="10"/>
  <c r="BV13" i="10"/>
  <c r="BF14" i="10"/>
  <c r="BG14" i="10"/>
  <c r="BH14" i="10"/>
  <c r="BI14" i="10"/>
  <c r="BJ14" i="10"/>
  <c r="BK14" i="10"/>
  <c r="BL14" i="10"/>
  <c r="BM14" i="10"/>
  <c r="BO14" i="10"/>
  <c r="BP14" i="10"/>
  <c r="BQ14" i="10"/>
  <c r="BR14" i="10"/>
  <c r="BS14" i="10"/>
  <c r="BT14" i="10"/>
  <c r="BU14" i="10"/>
  <c r="BV14" i="10"/>
  <c r="BF15" i="10"/>
  <c r="BG15" i="10"/>
  <c r="BH15" i="10"/>
  <c r="BI15" i="10"/>
  <c r="BJ15" i="10"/>
  <c r="BK15" i="10"/>
  <c r="BL15" i="10"/>
  <c r="BM15" i="10"/>
  <c r="BO15" i="10"/>
  <c r="BP15" i="10"/>
  <c r="BQ15" i="10"/>
  <c r="BR15" i="10"/>
  <c r="BS15" i="10"/>
  <c r="BT15" i="10"/>
  <c r="BU15" i="10"/>
  <c r="BV15" i="10"/>
  <c r="BF16" i="10"/>
  <c r="BG16" i="10"/>
  <c r="BH16" i="10"/>
  <c r="BI16" i="10"/>
  <c r="BJ16" i="10"/>
  <c r="BK16" i="10"/>
  <c r="BL16" i="10"/>
  <c r="BM16" i="10"/>
  <c r="BO16" i="10"/>
  <c r="BP16" i="10"/>
  <c r="BQ16" i="10"/>
  <c r="BR16" i="10"/>
  <c r="BS16" i="10"/>
  <c r="BT16" i="10"/>
  <c r="BU16" i="10"/>
  <c r="BV16" i="10"/>
  <c r="BF17" i="10"/>
  <c r="BG17" i="10"/>
  <c r="BH17" i="10"/>
  <c r="BI17" i="10"/>
  <c r="BJ17" i="10"/>
  <c r="BK17" i="10"/>
  <c r="BL17" i="10"/>
  <c r="BM17" i="10"/>
  <c r="BO17" i="10"/>
  <c r="BP17" i="10"/>
  <c r="BQ17" i="10"/>
  <c r="BR17" i="10"/>
  <c r="BS17" i="10"/>
  <c r="BT17" i="10"/>
  <c r="BU17" i="10"/>
  <c r="BV17" i="10"/>
  <c r="BF18" i="10"/>
  <c r="BG18" i="10"/>
  <c r="BH18" i="10"/>
  <c r="BI18" i="10"/>
  <c r="BJ18" i="10"/>
  <c r="BK18" i="10"/>
  <c r="BL18" i="10"/>
  <c r="BM18" i="10"/>
  <c r="BO18" i="10"/>
  <c r="BP18" i="10"/>
  <c r="BQ18" i="10"/>
  <c r="BR18" i="10"/>
  <c r="BS18" i="10"/>
  <c r="BT18" i="10"/>
  <c r="BU18" i="10"/>
  <c r="BV18" i="10"/>
  <c r="BF19" i="10"/>
  <c r="BG19" i="10"/>
  <c r="BH19" i="10"/>
  <c r="BI19" i="10"/>
  <c r="BJ19" i="10"/>
  <c r="BK19" i="10"/>
  <c r="BL19" i="10"/>
  <c r="BM19" i="10"/>
  <c r="BO19" i="10"/>
  <c r="BP19" i="10"/>
  <c r="BQ19" i="10"/>
  <c r="BR19" i="10"/>
  <c r="BS19" i="10"/>
  <c r="BT19" i="10"/>
  <c r="BU19" i="10"/>
  <c r="BV19" i="10"/>
  <c r="BF20" i="10"/>
  <c r="BG20" i="10"/>
  <c r="BH20" i="10"/>
  <c r="BI20" i="10"/>
  <c r="BJ20" i="10"/>
  <c r="BK20" i="10"/>
  <c r="BL20" i="10"/>
  <c r="BM20" i="10"/>
  <c r="BO20" i="10"/>
  <c r="BP20" i="10"/>
  <c r="BQ20" i="10"/>
  <c r="BR20" i="10"/>
  <c r="BS20" i="10"/>
  <c r="BT20" i="10"/>
  <c r="BU20" i="10"/>
  <c r="BV20" i="10"/>
  <c r="BF21" i="10"/>
  <c r="BG21" i="10"/>
  <c r="BH21" i="10"/>
  <c r="BI21" i="10"/>
  <c r="BJ21" i="10"/>
  <c r="BK21" i="10"/>
  <c r="BL21" i="10"/>
  <c r="BM21" i="10"/>
  <c r="BO21" i="10"/>
  <c r="BP21" i="10"/>
  <c r="BQ21" i="10"/>
  <c r="BR21" i="10"/>
  <c r="BS21" i="10"/>
  <c r="BT21" i="10"/>
  <c r="BU21" i="10"/>
  <c r="BV21" i="10"/>
  <c r="BF22" i="10"/>
  <c r="BG22" i="10"/>
  <c r="BH22" i="10"/>
  <c r="BI22" i="10"/>
  <c r="BJ22" i="10"/>
  <c r="BK22" i="10"/>
  <c r="BL22" i="10"/>
  <c r="BM22" i="10"/>
  <c r="BO22" i="10"/>
  <c r="BP22" i="10"/>
  <c r="BQ22" i="10"/>
  <c r="BR22" i="10"/>
  <c r="BS22" i="10"/>
  <c r="BT22" i="10"/>
  <c r="BU22" i="10"/>
  <c r="BV22" i="10"/>
  <c r="BF23" i="10"/>
  <c r="BG23" i="10"/>
  <c r="BH23" i="10"/>
  <c r="BI23" i="10"/>
  <c r="BJ23" i="10"/>
  <c r="BK23" i="10"/>
  <c r="BL23" i="10"/>
  <c r="BM23" i="10"/>
  <c r="BO23" i="10"/>
  <c r="BP23" i="10"/>
  <c r="BQ23" i="10"/>
  <c r="BR23" i="10"/>
  <c r="BS23" i="10"/>
  <c r="BT23" i="10"/>
  <c r="BU23" i="10"/>
  <c r="BV23" i="10"/>
  <c r="CV419" i="36"/>
  <c r="CR422" i="36"/>
  <c r="BY315" i="36"/>
  <c r="CV303" i="36"/>
  <c r="CR306" i="36"/>
  <c r="CV581" i="36"/>
  <c r="CR584" i="36"/>
  <c r="AK422" i="36"/>
</calcChain>
</file>

<file path=xl/sharedStrings.xml><?xml version="1.0" encoding="utf-8"?>
<sst xmlns="http://schemas.openxmlformats.org/spreadsheetml/2006/main" count="740" uniqueCount="65">
  <si>
    <t>筋径</t>
    <rPh sb="0" eb="1">
      <t>キン</t>
    </rPh>
    <rPh sb="1" eb="2">
      <t>ケイ</t>
    </rPh>
    <phoneticPr fontId="3"/>
  </si>
  <si>
    <t>曲げ係数</t>
    <rPh sb="0" eb="1">
      <t>マ</t>
    </rPh>
    <rPh sb="2" eb="4">
      <t>ケイスウ</t>
    </rPh>
    <phoneticPr fontId="3"/>
  </si>
  <si>
    <t>筋径</t>
    <rPh sb="0" eb="1">
      <t>キン</t>
    </rPh>
    <rPh sb="1" eb="2">
      <t>ケイ</t>
    </rPh>
    <phoneticPr fontId="8"/>
  </si>
  <si>
    <t>曲げ係数</t>
    <rPh sb="0" eb="1">
      <t>マ</t>
    </rPh>
    <rPh sb="2" eb="4">
      <t>ケイスウ</t>
    </rPh>
    <phoneticPr fontId="8"/>
  </si>
  <si>
    <t>曲げ寸法</t>
    <rPh sb="0" eb="1">
      <t>マ</t>
    </rPh>
    <rPh sb="2" eb="4">
      <t>スンポウ</t>
    </rPh>
    <phoneticPr fontId="8"/>
  </si>
  <si>
    <t>重量係数</t>
    <rPh sb="0" eb="2">
      <t>ジュウリョウ</t>
    </rPh>
    <rPh sb="2" eb="4">
      <t>ケイスウ</t>
    </rPh>
    <phoneticPr fontId="8"/>
  </si>
  <si>
    <t>物件№</t>
    <rPh sb="0" eb="2">
      <t>ブッケン</t>
    </rPh>
    <phoneticPr fontId="8"/>
  </si>
  <si>
    <t>市</t>
    <rPh sb="0" eb="1">
      <t>シ</t>
    </rPh>
    <phoneticPr fontId="8"/>
  </si>
  <si>
    <t>ﾒｰｶｰ上</t>
    <rPh sb="4" eb="5">
      <t>ウエ</t>
    </rPh>
    <phoneticPr fontId="8"/>
  </si>
  <si>
    <t>ﾒｰｶｰ下</t>
    <rPh sb="4" eb="5">
      <t>シタ</t>
    </rPh>
    <phoneticPr fontId="8"/>
  </si>
  <si>
    <t>積日</t>
    <rPh sb="0" eb="1">
      <t>ツミ</t>
    </rPh>
    <rPh sb="1" eb="2">
      <t>ビ</t>
    </rPh>
    <phoneticPr fontId="8"/>
  </si>
  <si>
    <t>重量</t>
    <rPh sb="0" eb="2">
      <t>ジュウリョウ</t>
    </rPh>
    <phoneticPr fontId="3"/>
  </si>
  <si>
    <t>邸名</t>
    <rPh sb="0" eb="1">
      <t>テイ</t>
    </rPh>
    <rPh sb="1" eb="2">
      <t>メイ</t>
    </rPh>
    <phoneticPr fontId="8"/>
  </si>
  <si>
    <t>材料長さ</t>
    <rPh sb="0" eb="2">
      <t>ザイリョウ</t>
    </rPh>
    <rPh sb="2" eb="3">
      <t>ナガ</t>
    </rPh>
    <phoneticPr fontId="3"/>
  </si>
  <si>
    <t>曲表示</t>
    <rPh sb="0" eb="1">
      <t>マ</t>
    </rPh>
    <rPh sb="1" eb="3">
      <t>ヒョウジ</t>
    </rPh>
    <phoneticPr fontId="3"/>
  </si>
  <si>
    <t>曲重量長</t>
    <rPh sb="0" eb="1">
      <t>マ</t>
    </rPh>
    <rPh sb="1" eb="3">
      <t>ジュウリョウ</t>
    </rPh>
    <rPh sb="3" eb="4">
      <t>ナガ</t>
    </rPh>
    <phoneticPr fontId="3"/>
  </si>
  <si>
    <t>曲重量</t>
    <rPh sb="0" eb="1">
      <t>マ</t>
    </rPh>
    <rPh sb="1" eb="3">
      <t>ジュウリョウ</t>
    </rPh>
    <phoneticPr fontId="3"/>
  </si>
  <si>
    <t>直表示</t>
    <rPh sb="0" eb="1">
      <t>チョク</t>
    </rPh>
    <rPh sb="1" eb="3">
      <t>ヒョウジ</t>
    </rPh>
    <phoneticPr fontId="3"/>
  </si>
  <si>
    <t>直重量</t>
    <rPh sb="0" eb="1">
      <t>チョク</t>
    </rPh>
    <rPh sb="1" eb="3">
      <t>ジュウリョウ</t>
    </rPh>
    <phoneticPr fontId="3"/>
  </si>
  <si>
    <t>納入場所</t>
    <rPh sb="0" eb="2">
      <t>ノウニュウ</t>
    </rPh>
    <rPh sb="2" eb="4">
      <t>バショ</t>
    </rPh>
    <phoneticPr fontId="8"/>
  </si>
  <si>
    <t>更新日</t>
    <rPh sb="0" eb="3">
      <t>コウシンビ</t>
    </rPh>
    <phoneticPr fontId="8"/>
  </si>
  <si>
    <t>フジ住宅(株)</t>
    <rPh sb="2" eb="4">
      <t>ジュウタク</t>
    </rPh>
    <rPh sb="4" eb="7">
      <t>カブ</t>
    </rPh>
    <phoneticPr fontId="3"/>
  </si>
  <si>
    <t>フジ住宅(株)</t>
  </si>
  <si>
    <t>ﾌｼﾞﾊﾟﾚｽ</t>
  </si>
  <si>
    <t>ﾌｼﾞﾊﾟﾚｽ</t>
    <phoneticPr fontId="8"/>
  </si>
  <si>
    <t>　　　　　　　　　</t>
    <phoneticPr fontId="3"/>
  </si>
  <si>
    <t>D16</t>
  </si>
  <si>
    <t>D10</t>
  </si>
  <si>
    <t>D10</t>
    <phoneticPr fontId="3"/>
  </si>
  <si>
    <t>(外)</t>
    <rPh sb="1" eb="2">
      <t>ソト</t>
    </rPh>
    <phoneticPr fontId="3"/>
  </si>
  <si>
    <t>D13</t>
  </si>
  <si>
    <t>フジ住宅(株)</t>
    <phoneticPr fontId="3"/>
  </si>
  <si>
    <t>D19 1000x1000</t>
    <phoneticPr fontId="3"/>
  </si>
  <si>
    <t>D16 750x750</t>
    <phoneticPr fontId="3"/>
  </si>
  <si>
    <t>D10 500x500</t>
    <phoneticPr fontId="3"/>
  </si>
  <si>
    <t>D13 600x600</t>
    <phoneticPr fontId="3"/>
  </si>
  <si>
    <t>D19 1800</t>
    <phoneticPr fontId="3"/>
  </si>
  <si>
    <t>D16 1500</t>
    <phoneticPr fontId="3"/>
  </si>
  <si>
    <t>D13 1200</t>
    <phoneticPr fontId="3"/>
  </si>
  <si>
    <t>D10 1000</t>
    <phoneticPr fontId="3"/>
  </si>
  <si>
    <t>(</t>
    <phoneticPr fontId="3"/>
  </si>
  <si>
    <t>ヶ所)</t>
    <rPh sb="1" eb="2">
      <t>ショ</t>
    </rPh>
    <phoneticPr fontId="3"/>
  </si>
  <si>
    <t>ｘ各</t>
    <phoneticPr fontId="3"/>
  </si>
  <si>
    <t>本</t>
    <phoneticPr fontId="3"/>
  </si>
  <si>
    <t>D16</t>
    <phoneticPr fontId="3"/>
  </si>
  <si>
    <t>D19</t>
    <phoneticPr fontId="3"/>
  </si>
  <si>
    <t>D13</t>
    <phoneticPr fontId="3"/>
  </si>
  <si>
    <t>600x600</t>
    <phoneticPr fontId="3"/>
  </si>
  <si>
    <t>D16</t>
    <phoneticPr fontId="3"/>
  </si>
  <si>
    <t>600x1275</t>
    <phoneticPr fontId="3"/>
  </si>
  <si>
    <t>600x1200</t>
    <phoneticPr fontId="3"/>
  </si>
  <si>
    <t>250x2375</t>
    <phoneticPr fontId="3"/>
  </si>
  <si>
    <t>600x625</t>
    <phoneticPr fontId="3"/>
  </si>
  <si>
    <t>FP須磨鷹取Ⅴ番館</t>
    <phoneticPr fontId="8"/>
  </si>
  <si>
    <t>神戸市須磨区</t>
    <rPh sb="0" eb="3">
      <t>コウベシ</t>
    </rPh>
    <rPh sb="3" eb="6">
      <t>スマク</t>
    </rPh>
    <phoneticPr fontId="8"/>
  </si>
  <si>
    <t>360x600</t>
    <phoneticPr fontId="3"/>
  </si>
  <si>
    <t>D10</t>
    <phoneticPr fontId="3"/>
  </si>
  <si>
    <t>D10</t>
    <phoneticPr fontId="3"/>
  </si>
  <si>
    <t>D10</t>
    <phoneticPr fontId="3"/>
  </si>
  <si>
    <t>600x1200</t>
    <phoneticPr fontId="3"/>
  </si>
  <si>
    <t>150x1725</t>
    <phoneticPr fontId="3"/>
  </si>
  <si>
    <r>
      <rPr>
        <sz val="10"/>
        <color rgb="FFFF0000"/>
        <rFont val="ＭＳ ゴシック"/>
        <family val="3"/>
        <charset val="128"/>
      </rPr>
      <t>Z</t>
    </r>
    <r>
      <rPr>
        <sz val="10"/>
        <rFont val="ＭＳ ゴシック"/>
        <family val="3"/>
        <charset val="128"/>
      </rPr>
      <t>200x500x1275</t>
    </r>
    <phoneticPr fontId="3"/>
  </si>
  <si>
    <t>600x2175</t>
    <phoneticPr fontId="3"/>
  </si>
  <si>
    <t>600x1275</t>
    <phoneticPr fontId="3"/>
  </si>
  <si>
    <t>350x1525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</si>
</sst>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D&quot;##"/>
    <numFmt numFmtId="177" formatCode="&quot;D&quot;#"/>
  </numFmts>
  <fonts count="24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.5"/>
      <name val="ＭＳ ゴシック"/>
      <family val="3"/>
      <charset val="128"/>
    </font>
    <font>
      <sz val="7"/>
      <name val="ＭＳ ゴシック"/>
      <family val="3"/>
      <charset val="128"/>
    </font>
    <font>
      <b/>
      <sz val="10.5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ゴシック"/>
      <family val="3"/>
      <charset val="128"/>
    </font>
    <font>
      <b/>
      <sz val="11"/>
      <color indexed="9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0.199999999999999"/>
      <name val="ＭＳ ゴシック"/>
      <family val="3"/>
      <charset val="128"/>
    </font>
    <font>
      <sz val="9"/>
      <name val="ＭＳ ゴシック"/>
      <family val="3"/>
      <charset val="128"/>
    </font>
    <font>
      <b/>
      <u/>
      <sz val="10.5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Ｐゴシック"/>
      <family val="3"/>
      <charset val="128"/>
      <scheme val="minor"/>
    </font>
    <font>
      <b/>
      <sz val="20"/>
      <color theme="1" tint="0.34998626667073579"/>
      <name val="ＭＳ ゴシック"/>
      <family val="3"/>
      <charset val="128"/>
    </font>
    <font>
      <sz val="10.199999999999999"/>
      <color theme="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99FF9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31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2" fillId="2" borderId="0" xfId="2" applyFont="1" applyFill="1" applyAlignment="1">
      <alignment vertical="center" shrinkToFit="1"/>
    </xf>
    <xf numFmtId="0" fontId="2" fillId="2" borderId="0" xfId="2" applyFont="1" applyFill="1" applyBorder="1" applyAlignment="1">
      <alignment vertical="center" shrinkToFit="1"/>
    </xf>
    <xf numFmtId="0" fontId="2" fillId="0" borderId="0" xfId="2" applyFont="1" applyAlignment="1">
      <alignment vertical="center" shrinkToFit="1"/>
    </xf>
    <xf numFmtId="0" fontId="9" fillId="3" borderId="1" xfId="2" applyFont="1" applyFill="1" applyBorder="1" applyAlignment="1">
      <alignment vertical="center" shrinkToFit="1"/>
    </xf>
    <xf numFmtId="0" fontId="10" fillId="4" borderId="2" xfId="2" applyFont="1" applyFill="1" applyBorder="1" applyAlignment="1">
      <alignment horizontal="center" vertical="center" shrinkToFit="1"/>
    </xf>
    <xf numFmtId="0" fontId="10" fillId="4" borderId="3" xfId="2" applyFont="1" applyFill="1" applyBorder="1" applyAlignment="1">
      <alignment horizontal="center" vertical="center" shrinkToFit="1"/>
    </xf>
    <xf numFmtId="0" fontId="10" fillId="4" borderId="4" xfId="2" applyFont="1" applyFill="1" applyBorder="1" applyAlignment="1">
      <alignment horizontal="center" vertical="center" shrinkToFit="1"/>
    </xf>
    <xf numFmtId="0" fontId="10" fillId="4" borderId="5" xfId="2" applyFont="1" applyFill="1" applyBorder="1" applyAlignment="1">
      <alignment horizontal="center" vertical="center" shrinkToFit="1"/>
    </xf>
    <xf numFmtId="176" fontId="10" fillId="4" borderId="2" xfId="2" applyNumberFormat="1" applyFont="1" applyFill="1" applyBorder="1" applyAlignment="1">
      <alignment horizontal="center" vertical="center" shrinkToFit="1"/>
    </xf>
    <xf numFmtId="0" fontId="7" fillId="4" borderId="6" xfId="2" applyFill="1" applyBorder="1" applyAlignment="1">
      <alignment horizontal="center" vertical="center" shrinkToFit="1"/>
    </xf>
    <xf numFmtId="0" fontId="7" fillId="4" borderId="2" xfId="2" applyFill="1" applyBorder="1" applyAlignment="1">
      <alignment horizontal="center" vertical="center" shrinkToFit="1"/>
    </xf>
    <xf numFmtId="0" fontId="7" fillId="4" borderId="3" xfId="2" applyFill="1" applyBorder="1" applyAlignment="1">
      <alignment horizontal="center" vertical="center" shrinkToFit="1"/>
    </xf>
    <xf numFmtId="0" fontId="9" fillId="3" borderId="7" xfId="2" applyFont="1" applyFill="1" applyBorder="1" applyAlignment="1">
      <alignment vertical="center" shrinkToFit="1"/>
    </xf>
    <xf numFmtId="0" fontId="2" fillId="0" borderId="8" xfId="2" applyFont="1" applyBorder="1" applyAlignment="1" applyProtection="1">
      <alignment vertical="center" shrinkToFit="1"/>
      <protection locked="0"/>
    </xf>
    <xf numFmtId="0" fontId="2" fillId="0" borderId="9" xfId="2" applyFont="1" applyBorder="1" applyAlignment="1" applyProtection="1">
      <alignment vertical="center" shrinkToFit="1"/>
      <protection locked="0"/>
    </xf>
    <xf numFmtId="0" fontId="2" fillId="0" borderId="10" xfId="2" applyFont="1" applyBorder="1" applyAlignment="1" applyProtection="1">
      <alignment vertical="center" shrinkToFit="1"/>
      <protection locked="0"/>
    </xf>
    <xf numFmtId="0" fontId="2" fillId="0" borderId="11" xfId="2" applyFont="1" applyBorder="1" applyAlignment="1" applyProtection="1">
      <alignment vertical="center" shrinkToFit="1"/>
      <protection locked="0"/>
    </xf>
    <xf numFmtId="0" fontId="2" fillId="4" borderId="12" xfId="2" applyFont="1" applyFill="1" applyBorder="1" applyAlignment="1">
      <alignment vertical="center" shrinkToFit="1"/>
    </xf>
    <xf numFmtId="0" fontId="7" fillId="4" borderId="10" xfId="2" applyFill="1" applyBorder="1" applyAlignment="1">
      <alignment horizontal="center" vertical="center" shrinkToFit="1"/>
    </xf>
    <xf numFmtId="0" fontId="10" fillId="4" borderId="13" xfId="2" applyFont="1" applyFill="1" applyBorder="1" applyAlignment="1">
      <alignment horizontal="center" vertical="center" shrinkToFit="1"/>
    </xf>
    <xf numFmtId="0" fontId="10" fillId="4" borderId="14" xfId="2" applyFont="1" applyFill="1" applyBorder="1" applyAlignment="1">
      <alignment horizontal="center" vertical="center" shrinkToFit="1"/>
    </xf>
    <xf numFmtId="0" fontId="10" fillId="4" borderId="15" xfId="2" applyFont="1" applyFill="1" applyBorder="1" applyAlignment="1">
      <alignment horizontal="center" vertical="center" shrinkToFit="1"/>
    </xf>
    <xf numFmtId="0" fontId="2" fillId="0" borderId="7" xfId="2" applyFont="1" applyBorder="1" applyAlignment="1" applyProtection="1">
      <alignment vertical="center" shrinkToFit="1"/>
      <protection locked="0"/>
    </xf>
    <xf numFmtId="0" fontId="2" fillId="0" borderId="16" xfId="2" applyFont="1" applyBorder="1" applyAlignment="1" applyProtection="1">
      <alignment vertical="center" shrinkToFit="1"/>
      <protection locked="0"/>
    </xf>
    <xf numFmtId="14" fontId="2" fillId="4" borderId="16" xfId="2" applyNumberFormat="1" applyFont="1" applyFill="1" applyBorder="1" applyAlignment="1">
      <alignment vertical="center" shrinkToFit="1"/>
    </xf>
    <xf numFmtId="0" fontId="7" fillId="4" borderId="12" xfId="2" applyFill="1" applyBorder="1" applyAlignment="1">
      <alignment horizontal="center" vertical="center" shrinkToFit="1"/>
    </xf>
    <xf numFmtId="0" fontId="7" fillId="5" borderId="17" xfId="2" applyFill="1" applyBorder="1" applyAlignment="1">
      <alignment horizontal="center" vertical="center" shrinkToFit="1"/>
    </xf>
    <xf numFmtId="0" fontId="7" fillId="5" borderId="12" xfId="2" applyFill="1" applyBorder="1" applyAlignment="1">
      <alignment horizontal="center" vertical="center" shrinkToFit="1"/>
    </xf>
    <xf numFmtId="0" fontId="7" fillId="5" borderId="18" xfId="2" applyFill="1" applyBorder="1" applyAlignment="1">
      <alignment horizontal="center" vertical="center" shrinkToFit="1"/>
    </xf>
    <xf numFmtId="0" fontId="7" fillId="5" borderId="19" xfId="2" applyFill="1" applyBorder="1" applyAlignment="1">
      <alignment horizontal="center" vertical="center" shrinkToFit="1"/>
    </xf>
    <xf numFmtId="0" fontId="7" fillId="4" borderId="16" xfId="2" applyFill="1" applyBorder="1" applyAlignment="1">
      <alignment horizontal="center" vertical="center" shrinkToFit="1"/>
    </xf>
    <xf numFmtId="0" fontId="7" fillId="5" borderId="7" xfId="2" applyFill="1" applyBorder="1" applyAlignment="1">
      <alignment horizontal="center" vertical="center" shrinkToFit="1"/>
    </xf>
    <xf numFmtId="0" fontId="7" fillId="5" borderId="16" xfId="2" applyFill="1" applyBorder="1" applyAlignment="1">
      <alignment horizontal="center" vertical="center" shrinkToFit="1"/>
    </xf>
    <xf numFmtId="0" fontId="7" fillId="5" borderId="20" xfId="2" applyFill="1" applyBorder="1" applyAlignment="1">
      <alignment horizontal="center" vertical="center" shrinkToFit="1"/>
    </xf>
    <xf numFmtId="0" fontId="7" fillId="5" borderId="8" xfId="2" applyFill="1" applyBorder="1" applyAlignment="1">
      <alignment horizontal="center" vertical="center" shrinkToFit="1"/>
    </xf>
    <xf numFmtId="0" fontId="9" fillId="3" borderId="21" xfId="3" applyFont="1" applyFill="1" applyBorder="1" applyAlignment="1">
      <alignment vertical="center" shrinkToFit="1"/>
    </xf>
    <xf numFmtId="0" fontId="7" fillId="4" borderId="22" xfId="2" applyFill="1" applyBorder="1" applyAlignment="1">
      <alignment horizontal="center" vertical="center" shrinkToFit="1"/>
    </xf>
    <xf numFmtId="0" fontId="7" fillId="5" borderId="21" xfId="2" applyFill="1" applyBorder="1" applyAlignment="1">
      <alignment horizontal="center" vertical="center" shrinkToFit="1"/>
    </xf>
    <xf numFmtId="0" fontId="7" fillId="5" borderId="23" xfId="2" applyFill="1" applyBorder="1" applyAlignment="1">
      <alignment horizontal="center" vertical="center" shrinkToFit="1"/>
    </xf>
    <xf numFmtId="0" fontId="7" fillId="5" borderId="24" xfId="2" applyFill="1" applyBorder="1" applyAlignment="1">
      <alignment horizontal="center" vertical="center" shrinkToFit="1"/>
    </xf>
    <xf numFmtId="0" fontId="7" fillId="5" borderId="25" xfId="2" applyFill="1" applyBorder="1" applyAlignment="1">
      <alignment horizontal="center" vertical="center" shrinkToFit="1"/>
    </xf>
    <xf numFmtId="14" fontId="2" fillId="4" borderId="22" xfId="2" applyNumberFormat="1" applyFont="1" applyFill="1" applyBorder="1" applyAlignment="1">
      <alignment vertical="center" shrinkToFit="1"/>
    </xf>
    <xf numFmtId="0" fontId="2" fillId="0" borderId="0" xfId="2" applyFont="1" applyBorder="1" applyAlignment="1">
      <alignment vertical="center" shrinkToFit="1"/>
    </xf>
    <xf numFmtId="0" fontId="2" fillId="0" borderId="21" xfId="2" applyFont="1" applyBorder="1" applyAlignment="1" applyProtection="1">
      <alignment vertical="center" shrinkToFit="1"/>
      <protection locked="0"/>
    </xf>
    <xf numFmtId="0" fontId="2" fillId="0" borderId="23" xfId="2" applyFont="1" applyBorder="1" applyAlignment="1" applyProtection="1">
      <alignment vertical="center" shrinkToFit="1"/>
      <protection locked="0"/>
    </xf>
    <xf numFmtId="0" fontId="2" fillId="0" borderId="25" xfId="2" applyFont="1" applyBorder="1" applyAlignment="1" applyProtection="1">
      <alignment vertical="center" shrinkToFit="1"/>
      <protection locked="0"/>
    </xf>
    <xf numFmtId="0" fontId="0" fillId="0" borderId="26" xfId="0" applyBorder="1" applyAlignment="1">
      <alignment vertical="center" shrinkToFit="1"/>
    </xf>
    <xf numFmtId="0" fontId="4" fillId="0" borderId="27" xfId="0" applyFont="1" applyBorder="1" applyAlignment="1">
      <alignment vertical="center" shrinkToFit="1"/>
    </xf>
    <xf numFmtId="0" fontId="4" fillId="0" borderId="26" xfId="0" applyFont="1" applyBorder="1" applyAlignment="1">
      <alignment vertical="center" shrinkToFit="1"/>
    </xf>
    <xf numFmtId="0" fontId="9" fillId="3" borderId="28" xfId="0" applyFont="1" applyFill="1" applyBorder="1" applyAlignment="1" applyProtection="1">
      <alignment vertical="center" shrinkToFit="1"/>
    </xf>
    <xf numFmtId="0" fontId="4" fillId="0" borderId="26" xfId="0" applyFont="1" applyBorder="1" applyAlignment="1">
      <alignment horizontal="left" vertical="center" shrinkToFit="1"/>
    </xf>
    <xf numFmtId="0" fontId="0" fillId="0" borderId="27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6" fillId="0" borderId="0" xfId="0" applyFont="1" applyBorder="1" applyAlignment="1">
      <alignment vertical="center" shrinkToFit="1"/>
    </xf>
    <xf numFmtId="0" fontId="2" fillId="6" borderId="0" xfId="2" applyFont="1" applyFill="1" applyAlignment="1">
      <alignment vertical="center" shrinkToFit="1"/>
    </xf>
    <xf numFmtId="0" fontId="9" fillId="6" borderId="0" xfId="2" applyFont="1" applyFill="1" applyBorder="1" applyAlignment="1">
      <alignment horizontal="center" vertical="center" shrinkToFit="1"/>
    </xf>
    <xf numFmtId="177" fontId="2" fillId="6" borderId="0" xfId="2" applyNumberFormat="1" applyFont="1" applyFill="1" applyBorder="1" applyAlignment="1">
      <alignment horizontal="center" vertical="center" shrinkToFit="1"/>
    </xf>
    <xf numFmtId="0" fontId="2" fillId="6" borderId="0" xfId="2" applyFont="1" applyFill="1" applyBorder="1" applyAlignment="1">
      <alignment horizontal="center" vertical="center" shrinkToFit="1"/>
    </xf>
    <xf numFmtId="0" fontId="2" fillId="6" borderId="0" xfId="2" applyFont="1" applyFill="1" applyBorder="1" applyAlignment="1" applyProtection="1">
      <alignment horizontal="center" vertical="center" shrinkToFit="1"/>
      <protection locked="0"/>
    </xf>
    <xf numFmtId="0" fontId="2" fillId="6" borderId="0" xfId="2" applyFont="1" applyFill="1" applyBorder="1" applyAlignment="1">
      <alignment vertical="center" shrinkToFit="1"/>
    </xf>
    <xf numFmtId="0" fontId="9" fillId="7" borderId="30" xfId="2" applyFont="1" applyFill="1" applyBorder="1" applyAlignment="1">
      <alignment horizontal="center" vertical="center" shrinkToFit="1"/>
    </xf>
    <xf numFmtId="0" fontId="9" fillId="7" borderId="31" xfId="2" applyFont="1" applyFill="1" applyBorder="1" applyAlignment="1">
      <alignment horizontal="center" vertical="center" shrinkToFit="1"/>
    </xf>
    <xf numFmtId="0" fontId="2" fillId="7" borderId="32" xfId="2" applyFont="1" applyFill="1" applyBorder="1" applyAlignment="1">
      <alignment vertical="center" shrinkToFit="1"/>
    </xf>
    <xf numFmtId="0" fontId="2" fillId="7" borderId="33" xfId="2" applyFont="1" applyFill="1" applyBorder="1" applyAlignment="1">
      <alignment vertical="center" shrinkToFit="1"/>
    </xf>
    <xf numFmtId="0" fontId="9" fillId="7" borderId="32" xfId="2" applyFont="1" applyFill="1" applyBorder="1" applyAlignment="1">
      <alignment horizontal="center" vertical="center" shrinkToFit="1"/>
    </xf>
    <xf numFmtId="0" fontId="9" fillId="7" borderId="33" xfId="2" applyFont="1" applyFill="1" applyBorder="1" applyAlignment="1">
      <alignment horizontal="center" vertical="center" shrinkToFit="1"/>
    </xf>
    <xf numFmtId="0" fontId="2" fillId="7" borderId="34" xfId="2" applyFont="1" applyFill="1" applyBorder="1" applyAlignment="1">
      <alignment vertical="center" shrinkToFit="1"/>
    </xf>
    <xf numFmtId="0" fontId="2" fillId="7" borderId="35" xfId="2" applyFont="1" applyFill="1" applyBorder="1" applyAlignment="1">
      <alignment vertical="center" shrinkToFit="1"/>
    </xf>
    <xf numFmtId="0" fontId="2" fillId="0" borderId="0" xfId="2" applyFont="1" applyAlignment="1" applyProtection="1">
      <alignment vertical="center" shrinkToFit="1"/>
      <protection locked="0"/>
    </xf>
    <xf numFmtId="0" fontId="0" fillId="0" borderId="8" xfId="0" applyFont="1" applyBorder="1" applyAlignment="1" applyProtection="1">
      <alignment vertical="center" shrinkToFit="1"/>
      <protection locked="0"/>
    </xf>
    <xf numFmtId="0" fontId="0" fillId="0" borderId="25" xfId="3" applyFont="1" applyFill="1" applyBorder="1" applyAlignment="1" applyProtection="1">
      <alignment vertical="center" shrinkToFit="1"/>
      <protection locked="0"/>
    </xf>
    <xf numFmtId="0" fontId="2" fillId="8" borderId="36" xfId="2" applyNumberFormat="1" applyFont="1" applyFill="1" applyBorder="1" applyAlignment="1" applyProtection="1">
      <alignment horizontal="left" vertical="center" shrinkToFit="1"/>
      <protection locked="0"/>
    </xf>
    <xf numFmtId="14" fontId="2" fillId="8" borderId="8" xfId="2" applyNumberFormat="1" applyFont="1" applyFill="1" applyBorder="1" applyAlignment="1" applyProtection="1">
      <alignment horizontal="left" vertical="center" shrinkToFit="1"/>
      <protection locked="0"/>
    </xf>
    <xf numFmtId="0" fontId="2" fillId="8" borderId="8" xfId="2" applyNumberFormat="1" applyFont="1" applyFill="1" applyBorder="1" applyAlignment="1" applyProtection="1">
      <alignment vertical="center" shrinkToFit="1"/>
      <protection locked="0"/>
    </xf>
    <xf numFmtId="14" fontId="1" fillId="8" borderId="37" xfId="0" applyNumberFormat="1" applyFont="1" applyFill="1" applyBorder="1" applyAlignment="1" applyProtection="1">
      <alignment horizontal="left" vertical="center" shrinkToFit="1"/>
      <protection locked="0"/>
    </xf>
    <xf numFmtId="0" fontId="6" fillId="0" borderId="29" xfId="0" applyFont="1" applyBorder="1" applyAlignment="1">
      <alignment vertical="center" shrinkToFit="1"/>
    </xf>
    <xf numFmtId="0" fontId="6" fillId="0" borderId="26" xfId="0" applyFont="1" applyBorder="1" applyAlignment="1">
      <alignment vertical="center" shrinkToFit="1"/>
    </xf>
    <xf numFmtId="0" fontId="14" fillId="0" borderId="0" xfId="0" applyFont="1" applyBorder="1" applyAlignment="1">
      <alignment vertical="center" shrinkToFit="1"/>
    </xf>
    <xf numFmtId="0" fontId="14" fillId="0" borderId="27" xfId="0" applyFont="1" applyBorder="1" applyAlignment="1">
      <alignment vertical="center" shrinkToFit="1"/>
    </xf>
    <xf numFmtId="0" fontId="14" fillId="0" borderId="0" xfId="0" applyFont="1" applyBorder="1" applyAlignment="1">
      <alignment vertical="top" shrinkToFit="1"/>
    </xf>
    <xf numFmtId="0" fontId="14" fillId="0" borderId="0" xfId="0" applyFont="1" applyBorder="1" applyAlignment="1">
      <alignment shrinkToFit="1"/>
    </xf>
    <xf numFmtId="0" fontId="20" fillId="0" borderId="0" xfId="0" applyFont="1" applyBorder="1" applyAlignment="1">
      <alignment vertical="top" shrinkToFit="1"/>
    </xf>
    <xf numFmtId="0" fontId="20" fillId="0" borderId="0" xfId="0" applyFont="1" applyBorder="1" applyAlignment="1">
      <alignment vertical="center" shrinkToFit="1"/>
    </xf>
    <xf numFmtId="0" fontId="14" fillId="0" borderId="0" xfId="0" applyFont="1" applyFill="1" applyBorder="1" applyAlignment="1">
      <alignment vertical="center" shrinkToFit="1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16" fillId="0" borderId="0" xfId="0" applyFont="1" applyBorder="1" applyAlignment="1">
      <alignment vertical="center"/>
    </xf>
    <xf numFmtId="0" fontId="0" fillId="0" borderId="38" xfId="0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0" fontId="17" fillId="0" borderId="0" xfId="0" applyFont="1" applyBorder="1" applyAlignment="1">
      <alignment shrinkToFit="1"/>
    </xf>
    <xf numFmtId="0" fontId="15" fillId="0" borderId="0" xfId="0" applyFont="1" applyBorder="1" applyAlignment="1">
      <alignment vertical="center" shrinkToFit="1"/>
    </xf>
    <xf numFmtId="0" fontId="15" fillId="0" borderId="0" xfId="0" applyFont="1" applyBorder="1" applyAlignment="1">
      <alignment shrinkToFit="1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41" xfId="0" applyBorder="1" applyAlignment="1">
      <alignment vertical="center"/>
    </xf>
    <xf numFmtId="0" fontId="15" fillId="0" borderId="0" xfId="0" applyFont="1" applyBorder="1" applyAlignment="1">
      <alignment vertical="top" shrinkToFit="1"/>
    </xf>
    <xf numFmtId="0" fontId="7" fillId="0" borderId="0" xfId="0" applyFont="1" applyFill="1" applyBorder="1" applyAlignment="1">
      <alignment vertical="center" shrinkToFit="1"/>
    </xf>
    <xf numFmtId="0" fontId="13" fillId="0" borderId="0" xfId="0" applyFont="1" applyBorder="1" applyAlignment="1">
      <alignment vertical="center" shrinkToFit="1"/>
    </xf>
    <xf numFmtId="0" fontId="0" fillId="0" borderId="0" xfId="0" applyFont="1" applyBorder="1" applyAlignment="1">
      <alignment vertical="center" shrinkToFit="1"/>
    </xf>
    <xf numFmtId="0" fontId="7" fillId="0" borderId="0" xfId="0" applyFont="1" applyBorder="1" applyAlignment="1">
      <alignment vertical="center" shrinkToFit="1"/>
    </xf>
    <xf numFmtId="0" fontId="7" fillId="0" borderId="0" xfId="0" applyFont="1" applyBorder="1" applyAlignment="1">
      <alignment vertical="top" shrinkToFit="1"/>
    </xf>
    <xf numFmtId="0" fontId="6" fillId="0" borderId="42" xfId="0" applyFont="1" applyBorder="1" applyAlignment="1">
      <alignment vertical="center" shrinkToFit="1"/>
    </xf>
    <xf numFmtId="0" fontId="6" fillId="0" borderId="38" xfId="0" applyFont="1" applyBorder="1" applyAlignment="1">
      <alignment vertical="center" shrinkToFit="1"/>
    </xf>
    <xf numFmtId="0" fontId="15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 shrinkToFit="1"/>
    </xf>
    <xf numFmtId="0" fontId="21" fillId="0" borderId="0" xfId="0" applyFont="1" applyBorder="1" applyAlignment="1">
      <alignment vertical="center"/>
    </xf>
    <xf numFmtId="0" fontId="5" fillId="0" borderId="0" xfId="0" applyFont="1" applyBorder="1" applyAlignment="1"/>
    <xf numFmtId="0" fontId="9" fillId="0" borderId="29" xfId="0" applyFont="1" applyBorder="1" applyAlignment="1">
      <alignment vertical="center" shrinkToFit="1"/>
    </xf>
    <xf numFmtId="0" fontId="9" fillId="0" borderId="27" xfId="0" applyFont="1" applyBorder="1" applyAlignment="1">
      <alignment vertical="center" shrinkToFit="1"/>
    </xf>
    <xf numFmtId="0" fontId="9" fillId="0" borderId="0" xfId="0" applyFont="1" applyBorder="1" applyAlignment="1">
      <alignment vertical="center" shrinkToFit="1"/>
    </xf>
    <xf numFmtId="0" fontId="9" fillId="0" borderId="26" xfId="0" applyFont="1" applyBorder="1" applyAlignment="1">
      <alignment vertical="center" shrinkToFit="1"/>
    </xf>
    <xf numFmtId="0" fontId="7" fillId="0" borderId="0" xfId="0" applyFont="1" applyBorder="1" applyAlignment="1">
      <alignment shrinkToFit="1"/>
    </xf>
    <xf numFmtId="0" fontId="18" fillId="0" borderId="43" xfId="0" applyFont="1" applyBorder="1" applyAlignment="1">
      <alignment vertical="center" shrinkToFit="1"/>
    </xf>
    <xf numFmtId="0" fontId="6" fillId="0" borderId="44" xfId="0" applyFont="1" applyBorder="1" applyAlignment="1">
      <alignment vertical="center" shrinkToFit="1"/>
    </xf>
    <xf numFmtId="0" fontId="6" fillId="0" borderId="45" xfId="0" applyFont="1" applyBorder="1" applyAlignment="1">
      <alignment vertical="center" shrinkToFit="1"/>
    </xf>
    <xf numFmtId="0" fontId="6" fillId="0" borderId="46" xfId="0" applyFont="1" applyBorder="1" applyAlignment="1">
      <alignment vertical="center" shrinkToFit="1"/>
    </xf>
    <xf numFmtId="0" fontId="6" fillId="0" borderId="47" xfId="0" applyFont="1" applyBorder="1" applyAlignment="1">
      <alignment vertical="center" shrinkToFit="1"/>
    </xf>
    <xf numFmtId="0" fontId="4" fillId="0" borderId="46" xfId="0" applyFont="1" applyBorder="1" applyAlignment="1">
      <alignment vertical="center" shrinkToFit="1"/>
    </xf>
    <xf numFmtId="0" fontId="0" fillId="0" borderId="47" xfId="0" applyBorder="1" applyAlignment="1">
      <alignment vertical="center"/>
    </xf>
    <xf numFmtId="0" fontId="4" fillId="0" borderId="47" xfId="0" applyFont="1" applyBorder="1" applyAlignment="1">
      <alignment vertical="center" shrinkToFit="1"/>
    </xf>
    <xf numFmtId="0" fontId="0" fillId="0" borderId="46" xfId="0" applyBorder="1" applyAlignment="1">
      <alignment vertical="center" shrinkToFit="1"/>
    </xf>
    <xf numFmtId="0" fontId="14" fillId="0" borderId="47" xfId="0" applyFont="1" applyBorder="1" applyAlignment="1">
      <alignment shrinkToFit="1"/>
    </xf>
    <xf numFmtId="0" fontId="14" fillId="0" borderId="47" xfId="0" applyFont="1" applyBorder="1" applyAlignment="1">
      <alignment vertical="top" shrinkToFit="1"/>
    </xf>
    <xf numFmtId="0" fontId="14" fillId="0" borderId="47" xfId="0" applyFont="1" applyFill="1" applyBorder="1" applyAlignment="1">
      <alignment vertical="center" shrinkToFit="1"/>
    </xf>
    <xf numFmtId="0" fontId="0" fillId="0" borderId="47" xfId="0" applyBorder="1" applyAlignment="1">
      <alignment vertical="center" shrinkToFit="1"/>
    </xf>
    <xf numFmtId="0" fontId="14" fillId="0" borderId="47" xfId="0" applyFont="1" applyBorder="1" applyAlignment="1">
      <alignment vertical="center" shrinkToFit="1"/>
    </xf>
    <xf numFmtId="0" fontId="4" fillId="0" borderId="47" xfId="0" applyFont="1" applyBorder="1" applyAlignment="1">
      <alignment horizontal="left" vertical="center" shrinkToFit="1"/>
    </xf>
    <xf numFmtId="0" fontId="0" fillId="0" borderId="48" xfId="0" applyBorder="1" applyAlignment="1">
      <alignment vertical="center" shrinkToFit="1"/>
    </xf>
    <xf numFmtId="0" fontId="14" fillId="0" borderId="49" xfId="0" applyFont="1" applyBorder="1" applyAlignment="1">
      <alignment vertical="center" shrinkToFit="1"/>
    </xf>
    <xf numFmtId="0" fontId="4" fillId="0" borderId="49" xfId="0" applyFont="1" applyBorder="1" applyAlignment="1">
      <alignment horizontal="left" vertical="center" shrinkToFit="1"/>
    </xf>
    <xf numFmtId="0" fontId="0" fillId="0" borderId="50" xfId="0" applyBorder="1" applyAlignment="1">
      <alignment vertical="center"/>
    </xf>
    <xf numFmtId="0" fontId="6" fillId="0" borderId="43" xfId="0" applyFont="1" applyBorder="1" applyAlignment="1">
      <alignment vertical="center" shrinkToFit="1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40" xfId="0" applyBorder="1" applyAlignment="1">
      <alignment vertical="center" shrinkToFit="1"/>
    </xf>
    <xf numFmtId="0" fontId="0" fillId="0" borderId="27" xfId="0" applyBorder="1">
      <alignment vertical="center"/>
    </xf>
    <xf numFmtId="0" fontId="0" fillId="0" borderId="40" xfId="0" applyBorder="1">
      <alignment vertical="center"/>
    </xf>
    <xf numFmtId="0" fontId="0" fillId="0" borderId="29" xfId="0" applyBorder="1">
      <alignment vertical="center"/>
    </xf>
    <xf numFmtId="0" fontId="0" fillId="0" borderId="26" xfId="0" applyBorder="1">
      <alignment vertical="center"/>
    </xf>
    <xf numFmtId="0" fontId="0" fillId="0" borderId="41" xfId="0" applyBorder="1">
      <alignment vertical="center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4" xfId="0" applyBorder="1" applyAlignment="1">
      <alignment vertical="center" shrinkToFit="1"/>
    </xf>
    <xf numFmtId="0" fontId="0" fillId="0" borderId="40" xfId="0" applyFont="1" applyBorder="1" applyAlignment="1">
      <alignment vertical="center" shrinkToFit="1"/>
    </xf>
    <xf numFmtId="0" fontId="0" fillId="0" borderId="27" xfId="0" applyFont="1" applyBorder="1" applyAlignment="1">
      <alignment vertical="center" shrinkToFit="1"/>
    </xf>
    <xf numFmtId="0" fontId="0" fillId="0" borderId="29" xfId="0" applyFont="1" applyBorder="1" applyAlignment="1">
      <alignment vertical="center" shrinkToFit="1"/>
    </xf>
    <xf numFmtId="0" fontId="0" fillId="0" borderId="26" xfId="0" applyFont="1" applyBorder="1" applyAlignment="1">
      <alignment vertical="center" shrinkToFit="1"/>
    </xf>
    <xf numFmtId="0" fontId="0" fillId="0" borderId="41" xfId="0" applyFont="1" applyBorder="1" applyAlignment="1">
      <alignment vertical="center" shrinkToFit="1"/>
    </xf>
    <xf numFmtId="0" fontId="17" fillId="0" borderId="26" xfId="0" applyFont="1" applyBorder="1" applyAlignment="1">
      <alignment vertical="center"/>
    </xf>
    <xf numFmtId="0" fontId="0" fillId="9" borderId="0" xfId="0" applyFill="1">
      <alignment vertical="center"/>
    </xf>
    <xf numFmtId="0" fontId="7" fillId="9" borderId="0" xfId="0" applyFont="1" applyFill="1" applyBorder="1" applyAlignment="1">
      <alignment vertical="center" shrinkToFi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7" fillId="9" borderId="0" xfId="0" applyFont="1" applyFill="1" applyBorder="1" applyAlignment="1">
      <alignment shrinkToFit="1"/>
    </xf>
    <xf numFmtId="0" fontId="7" fillId="9" borderId="0" xfId="0" applyFont="1" applyFill="1" applyBorder="1" applyAlignment="1">
      <alignment vertical="top" shrinkToFit="1"/>
    </xf>
    <xf numFmtId="0" fontId="17" fillId="0" borderId="29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0" fillId="0" borderId="38" xfId="0" applyBorder="1">
      <alignment vertical="center"/>
    </xf>
    <xf numFmtId="0" fontId="4" fillId="0" borderId="0" xfId="0" applyFont="1" applyBorder="1" applyAlignment="1">
      <alignment vertical="center" shrinkToFit="1"/>
    </xf>
    <xf numFmtId="0" fontId="14" fillId="0" borderId="46" xfId="0" applyFont="1" applyBorder="1" applyAlignment="1">
      <alignment vertical="center" shrinkToFit="1"/>
    </xf>
    <xf numFmtId="0" fontId="4" fillId="0" borderId="46" xfId="0" applyFont="1" applyBorder="1" applyAlignment="1">
      <alignment horizontal="left" vertical="center" shrinkToFit="1"/>
    </xf>
    <xf numFmtId="0" fontId="14" fillId="0" borderId="46" xfId="0" applyFont="1" applyBorder="1" applyAlignment="1">
      <alignment vertical="top" shrinkToFit="1"/>
    </xf>
    <xf numFmtId="0" fontId="14" fillId="0" borderId="46" xfId="0" applyFont="1" applyFill="1" applyBorder="1" applyAlignment="1">
      <alignment vertical="center" shrinkToFit="1"/>
    </xf>
    <xf numFmtId="0" fontId="4" fillId="0" borderId="44" xfId="0" applyFont="1" applyBorder="1" applyAlignment="1">
      <alignment horizontal="left" vertical="center" shrinkToFit="1"/>
    </xf>
    <xf numFmtId="0" fontId="15" fillId="0" borderId="44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Fill="1" applyBorder="1" applyAlignment="1">
      <alignment vertical="center" shrinkToFit="1"/>
    </xf>
    <xf numFmtId="0" fontId="4" fillId="0" borderId="26" xfId="0" applyFont="1" applyFill="1" applyBorder="1" applyAlignment="1">
      <alignment vertical="center" shrinkToFit="1"/>
    </xf>
    <xf numFmtId="0" fontId="14" fillId="0" borderId="26" xfId="0" applyFont="1" applyFill="1" applyBorder="1" applyAlignment="1">
      <alignment vertical="center" shrinkToFit="1"/>
    </xf>
    <xf numFmtId="0" fontId="7" fillId="0" borderId="26" xfId="0" applyFont="1" applyFill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Fill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Fill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Fill="1" applyBorder="1" applyAlignment="1">
      <alignment vertical="center" shrinkToFit="1"/>
    </xf>
    <xf numFmtId="0" fontId="0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15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top" shrinkToFit="1"/>
    </xf>
    <xf numFmtId="0" fontId="15" fillId="0" borderId="26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 shrinkToFit="1"/>
    </xf>
    <xf numFmtId="0" fontId="15" fillId="0" borderId="26" xfId="0" applyFont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0" fontId="6" fillId="0" borderId="39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15" fillId="0" borderId="51" xfId="0" applyFont="1" applyBorder="1" applyAlignment="1">
      <alignment horizontal="center" vertical="center" shrinkToFit="1"/>
    </xf>
    <xf numFmtId="0" fontId="15" fillId="0" borderId="45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52" xfId="0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shrinkToFit="1"/>
    </xf>
    <xf numFmtId="0" fontId="17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shrinkToFit="1"/>
    </xf>
    <xf numFmtId="0" fontId="0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vertical="center" shrinkToFit="1"/>
    </xf>
    <xf numFmtId="0" fontId="22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0" xfId="0" applyFont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1" fillId="0" borderId="0" xfId="0" applyFont="1" applyBorder="1" applyAlignment="1">
      <alignment horizontal="right"/>
    </xf>
    <xf numFmtId="0" fontId="11" fillId="0" borderId="49" xfId="0" applyFont="1" applyBorder="1" applyAlignment="1">
      <alignment horizontal="right"/>
    </xf>
    <xf numFmtId="0" fontId="19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53" xfId="0" applyFont="1" applyBorder="1" applyAlignment="1">
      <alignment horizontal="center" vertical="center"/>
    </xf>
  </cellXfs>
  <cellStyles count="4">
    <cellStyle name="標準" xfId="0" builtinId="0"/>
    <cellStyle name="標準 2" xfId="1"/>
    <cellStyle name="標準_(指示書)一般" xfId="2"/>
    <cellStyle name="標準_指示書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BEBEB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  <color rgb="FF0000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7.emf"/><Relationship Id="rId7" Type="http://schemas.openxmlformats.org/officeDocument/2006/relationships/image" Target="../media/image3.emf"/><Relationship Id="rId2" Type="http://schemas.openxmlformats.org/officeDocument/2006/relationships/image" Target="../media/image8.emf"/><Relationship Id="rId1" Type="http://schemas.openxmlformats.org/officeDocument/2006/relationships/image" Target="../media/image9.emf"/><Relationship Id="rId6" Type="http://schemas.openxmlformats.org/officeDocument/2006/relationships/image" Target="../media/image4.emf"/><Relationship Id="rId5" Type="http://schemas.openxmlformats.org/officeDocument/2006/relationships/image" Target="../media/image5.emf"/><Relationship Id="rId4" Type="http://schemas.openxmlformats.org/officeDocument/2006/relationships/image" Target="../media/image6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1</xdr:row>
          <xdr:rowOff>180975</xdr:rowOff>
        </xdr:from>
        <xdr:to>
          <xdr:col>6</xdr:col>
          <xdr:colOff>762000</xdr:colOff>
          <xdr:row>2</xdr:row>
          <xdr:rowOff>180975</xdr:rowOff>
        </xdr:to>
        <xdr:sp macro="" textlink="">
          <xdr:nvSpPr>
            <xdr:cNvPr id="11265" name="prt_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10</xdr:row>
          <xdr:rowOff>209550</xdr:rowOff>
        </xdr:from>
        <xdr:to>
          <xdr:col>2</xdr:col>
          <xdr:colOff>933450</xdr:colOff>
          <xdr:row>11</xdr:row>
          <xdr:rowOff>209550</xdr:rowOff>
        </xdr:to>
        <xdr:sp macro="" textlink="">
          <xdr:nvSpPr>
            <xdr:cNvPr id="11270" name="prt_2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</xdr:row>
          <xdr:rowOff>95250</xdr:rowOff>
        </xdr:from>
        <xdr:to>
          <xdr:col>6</xdr:col>
          <xdr:colOff>742950</xdr:colOff>
          <xdr:row>4</xdr:row>
          <xdr:rowOff>95250</xdr:rowOff>
        </xdr:to>
        <xdr:sp macro="" textlink="">
          <xdr:nvSpPr>
            <xdr:cNvPr id="11276" name="prt_3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4</xdr:row>
          <xdr:rowOff>114300</xdr:rowOff>
        </xdr:from>
        <xdr:to>
          <xdr:col>6</xdr:col>
          <xdr:colOff>742950</xdr:colOff>
          <xdr:row>5</xdr:row>
          <xdr:rowOff>114300</xdr:rowOff>
        </xdr:to>
        <xdr:sp macro="" textlink="">
          <xdr:nvSpPr>
            <xdr:cNvPr id="11277" name="prt_4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12</xdr:row>
          <xdr:rowOff>38100</xdr:rowOff>
        </xdr:from>
        <xdr:to>
          <xdr:col>2</xdr:col>
          <xdr:colOff>914400</xdr:colOff>
          <xdr:row>13</xdr:row>
          <xdr:rowOff>38100</xdr:rowOff>
        </xdr:to>
        <xdr:sp macro="" textlink="">
          <xdr:nvSpPr>
            <xdr:cNvPr id="11278" name="prt_5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17</xdr:row>
          <xdr:rowOff>38100</xdr:rowOff>
        </xdr:from>
        <xdr:to>
          <xdr:col>2</xdr:col>
          <xdr:colOff>904875</xdr:colOff>
          <xdr:row>18</xdr:row>
          <xdr:rowOff>38100</xdr:rowOff>
        </xdr:to>
        <xdr:sp macro="" textlink="">
          <xdr:nvSpPr>
            <xdr:cNvPr id="11279" name="prt_6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18</xdr:row>
          <xdr:rowOff>66675</xdr:rowOff>
        </xdr:from>
        <xdr:to>
          <xdr:col>2</xdr:col>
          <xdr:colOff>904875</xdr:colOff>
          <xdr:row>19</xdr:row>
          <xdr:rowOff>66675</xdr:rowOff>
        </xdr:to>
        <xdr:sp macro="" textlink="">
          <xdr:nvSpPr>
            <xdr:cNvPr id="11280" name="prt_7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15</xdr:row>
          <xdr:rowOff>228600</xdr:rowOff>
        </xdr:from>
        <xdr:to>
          <xdr:col>2</xdr:col>
          <xdr:colOff>895350</xdr:colOff>
          <xdr:row>16</xdr:row>
          <xdr:rowOff>228600</xdr:rowOff>
        </xdr:to>
        <xdr:sp macro="" textlink="">
          <xdr:nvSpPr>
            <xdr:cNvPr id="11290" name="CommandButton1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13</xdr:row>
          <xdr:rowOff>104775</xdr:rowOff>
        </xdr:from>
        <xdr:to>
          <xdr:col>2</xdr:col>
          <xdr:colOff>923925</xdr:colOff>
          <xdr:row>14</xdr:row>
          <xdr:rowOff>104775</xdr:rowOff>
        </xdr:to>
        <xdr:sp macro="" textlink="">
          <xdr:nvSpPr>
            <xdr:cNvPr id="11300" name="CommandButton21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62593</xdr:colOff>
      <xdr:row>140</xdr:row>
      <xdr:rowOff>16600</xdr:rowOff>
    </xdr:from>
    <xdr:ext cx="423193" cy="183384"/>
    <xdr:sp macro="" textlink="">
      <xdr:nvSpPr>
        <xdr:cNvPr id="982" name="Rectangle 217"/>
        <xdr:cNvSpPr>
          <a:spLocks noChangeArrowheads="1"/>
        </xdr:cNvSpPr>
      </xdr:nvSpPr>
      <xdr:spPr bwMode="auto">
        <a:xfrm>
          <a:off x="2681968" y="123038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29</xdr:col>
      <xdr:colOff>38100</xdr:colOff>
      <xdr:row>138</xdr:row>
      <xdr:rowOff>19050</xdr:rowOff>
    </xdr:from>
    <xdr:to>
      <xdr:col>34</xdr:col>
      <xdr:colOff>0</xdr:colOff>
      <xdr:row>139</xdr:row>
      <xdr:rowOff>66675</xdr:rowOff>
    </xdr:to>
    <xdr:grpSp>
      <xdr:nvGrpSpPr>
        <xdr:cNvPr id="3288427" name="Group 350"/>
        <xdr:cNvGrpSpPr>
          <a:grpSpLocks/>
        </xdr:cNvGrpSpPr>
      </xdr:nvGrpSpPr>
      <xdr:grpSpPr bwMode="auto">
        <a:xfrm>
          <a:off x="2687782" y="12228368"/>
          <a:ext cx="394854" cy="134216"/>
          <a:chOff x="340" y="51"/>
          <a:chExt cx="60" cy="20"/>
        </a:xfrm>
        <a:solidFill>
          <a:schemeClr val="bg1">
            <a:lumMod val="65000"/>
          </a:schemeClr>
        </a:solidFill>
      </xdr:grpSpPr>
      <xdr:sp macro="" textlink="">
        <xdr:nvSpPr>
          <xdr:cNvPr id="3273637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291378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1379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oneCellAnchor>
    <xdr:from>
      <xdr:col>69</xdr:col>
      <xdr:colOff>62593</xdr:colOff>
      <xdr:row>140</xdr:row>
      <xdr:rowOff>16600</xdr:rowOff>
    </xdr:from>
    <xdr:ext cx="423193" cy="183384"/>
    <xdr:sp macro="" textlink="">
      <xdr:nvSpPr>
        <xdr:cNvPr id="1063" name="Rectangle 217"/>
        <xdr:cNvSpPr>
          <a:spLocks noChangeArrowheads="1"/>
        </xdr:cNvSpPr>
      </xdr:nvSpPr>
      <xdr:spPr bwMode="auto">
        <a:xfrm>
          <a:off x="6110968" y="123038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138</xdr:row>
      <xdr:rowOff>19050</xdr:rowOff>
    </xdr:from>
    <xdr:to>
      <xdr:col>74</xdr:col>
      <xdr:colOff>0</xdr:colOff>
      <xdr:row>139</xdr:row>
      <xdr:rowOff>66675</xdr:rowOff>
    </xdr:to>
    <xdr:grpSp>
      <xdr:nvGrpSpPr>
        <xdr:cNvPr id="3288429" name="Group 350"/>
        <xdr:cNvGrpSpPr>
          <a:grpSpLocks/>
        </xdr:cNvGrpSpPr>
      </xdr:nvGrpSpPr>
      <xdr:grpSpPr bwMode="auto">
        <a:xfrm>
          <a:off x="6151418" y="12228368"/>
          <a:ext cx="394855" cy="134216"/>
          <a:chOff x="340" y="51"/>
          <a:chExt cx="60" cy="20"/>
        </a:xfrm>
        <a:solidFill>
          <a:schemeClr val="bg1">
            <a:lumMod val="50000"/>
          </a:schemeClr>
        </a:solidFill>
      </xdr:grpSpPr>
      <xdr:sp macro="" textlink="">
        <xdr:nvSpPr>
          <xdr:cNvPr id="3273634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291375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1376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twoCellAnchor>
    <xdr:from>
      <xdr:col>67</xdr:col>
      <xdr:colOff>78607</xdr:colOff>
      <xdr:row>129</xdr:row>
      <xdr:rowOff>2455</xdr:rowOff>
    </xdr:from>
    <xdr:to>
      <xdr:col>68</xdr:col>
      <xdr:colOff>67138</xdr:colOff>
      <xdr:row>129</xdr:row>
      <xdr:rowOff>2554</xdr:rowOff>
    </xdr:to>
    <xdr:cxnSp macro="">
      <xdr:nvCxnSpPr>
        <xdr:cNvPr id="1398" name="直線コネクタ 1397"/>
        <xdr:cNvCxnSpPr/>
      </xdr:nvCxnSpPr>
      <xdr:spPr>
        <a:xfrm flipH="1" flipV="1">
          <a:off x="6277184" y="14363224"/>
          <a:ext cx="76454" cy="99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0</xdr:colOff>
      <xdr:row>131</xdr:row>
      <xdr:rowOff>57150</xdr:rowOff>
    </xdr:from>
    <xdr:to>
      <xdr:col>98</xdr:col>
      <xdr:colOff>38100</xdr:colOff>
      <xdr:row>133</xdr:row>
      <xdr:rowOff>0</xdr:rowOff>
    </xdr:to>
    <xdr:grpSp>
      <xdr:nvGrpSpPr>
        <xdr:cNvPr id="3288431" name="グループ化 5"/>
        <xdr:cNvGrpSpPr>
          <a:grpSpLocks/>
        </xdr:cNvGrpSpPr>
      </xdr:nvGrpSpPr>
      <xdr:grpSpPr bwMode="auto">
        <a:xfrm>
          <a:off x="8018318" y="11400559"/>
          <a:ext cx="644237" cy="116032"/>
          <a:chOff x="4791075" y="2762250"/>
          <a:chExt cx="714375" cy="142875"/>
        </a:xfrm>
      </xdr:grpSpPr>
      <xdr:sp macro="" textlink="">
        <xdr:nvSpPr>
          <xdr:cNvPr id="3291372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373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86</xdr:col>
      <xdr:colOff>68037</xdr:colOff>
      <xdr:row>129</xdr:row>
      <xdr:rowOff>4790</xdr:rowOff>
    </xdr:from>
    <xdr:to>
      <xdr:col>87</xdr:col>
      <xdr:colOff>77331</xdr:colOff>
      <xdr:row>129</xdr:row>
      <xdr:rowOff>4790</xdr:rowOff>
    </xdr:to>
    <xdr:cxnSp macro="">
      <xdr:nvCxnSpPr>
        <xdr:cNvPr id="1403" name="直線コネクタ 1402"/>
        <xdr:cNvCxnSpPr/>
      </xdr:nvCxnSpPr>
      <xdr:spPr bwMode="auto">
        <a:xfrm>
          <a:off x="7937152" y="14365559"/>
          <a:ext cx="97217" cy="0"/>
        </a:xfrm>
        <a:prstGeom prst="line">
          <a:avLst/>
        </a:prstGeom>
        <a:ln w="12700"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19384</xdr:colOff>
      <xdr:row>150</xdr:row>
      <xdr:rowOff>3038</xdr:rowOff>
    </xdr:from>
    <xdr:to>
      <xdr:col>31</xdr:col>
      <xdr:colOff>3354</xdr:colOff>
      <xdr:row>150</xdr:row>
      <xdr:rowOff>3038</xdr:rowOff>
    </xdr:to>
    <xdr:cxnSp macro="">
      <xdr:nvCxnSpPr>
        <xdr:cNvPr id="1252" name="直線コネクタ 1251"/>
        <xdr:cNvCxnSpPr/>
      </xdr:nvCxnSpPr>
      <xdr:spPr bwMode="auto">
        <a:xfrm>
          <a:off x="6153484" y="13147538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78607</xdr:colOff>
      <xdr:row>159</xdr:row>
      <xdr:rowOff>17109</xdr:rowOff>
    </xdr:from>
    <xdr:to>
      <xdr:col>30</xdr:col>
      <xdr:colOff>67138</xdr:colOff>
      <xdr:row>159</xdr:row>
      <xdr:rowOff>17208</xdr:rowOff>
    </xdr:to>
    <xdr:cxnSp macro="">
      <xdr:nvCxnSpPr>
        <xdr:cNvPr id="1253" name="直線コネクタ 1252"/>
        <xdr:cNvCxnSpPr/>
      </xdr:nvCxnSpPr>
      <xdr:spPr>
        <a:xfrm flipH="1" flipV="1">
          <a:off x="6126982" y="13933134"/>
          <a:ext cx="74256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6046</xdr:colOff>
      <xdr:row>180</xdr:row>
      <xdr:rowOff>87337</xdr:rowOff>
    </xdr:from>
    <xdr:to>
      <xdr:col>30</xdr:col>
      <xdr:colOff>79516</xdr:colOff>
      <xdr:row>180</xdr:row>
      <xdr:rowOff>87337</xdr:rowOff>
    </xdr:to>
    <xdr:cxnSp macro="">
      <xdr:nvCxnSpPr>
        <xdr:cNvPr id="1257" name="直線コネクタ 1256"/>
        <xdr:cNvCxnSpPr/>
      </xdr:nvCxnSpPr>
      <xdr:spPr bwMode="auto">
        <a:xfrm>
          <a:off x="6140146" y="15803587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168</xdr:row>
      <xdr:rowOff>0</xdr:rowOff>
    </xdr:from>
    <xdr:to>
      <xdr:col>60</xdr:col>
      <xdr:colOff>76200</xdr:colOff>
      <xdr:row>173</xdr:row>
      <xdr:rowOff>57150</xdr:rowOff>
    </xdr:to>
    <xdr:grpSp>
      <xdr:nvGrpSpPr>
        <xdr:cNvPr id="3288438" name="グループ化 31"/>
        <xdr:cNvGrpSpPr>
          <a:grpSpLocks/>
        </xdr:cNvGrpSpPr>
      </xdr:nvGrpSpPr>
      <xdr:grpSpPr bwMode="auto">
        <a:xfrm>
          <a:off x="3178752" y="14807045"/>
          <a:ext cx="2231448" cy="490105"/>
          <a:chOff x="2070308" y="2363715"/>
          <a:chExt cx="2820993" cy="695788"/>
        </a:xfrm>
      </xdr:grpSpPr>
      <xdr:cxnSp macro="">
        <xdr:nvCxnSpPr>
          <xdr:cNvPr id="3291351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2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3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4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5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6" name="直線コネクタ 16"/>
          <xdr:cNvCxnSpPr>
            <a:cxnSpLocks noChangeShapeType="1"/>
          </xdr:cNvCxnSpPr>
        </xdr:nvCxnSpPr>
        <xdr:spPr bwMode="auto">
          <a:xfrm>
            <a:off x="2937429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7" name="直線コネクタ 18"/>
          <xdr:cNvCxnSpPr>
            <a:cxnSpLocks noChangeShapeType="1"/>
          </xdr:cNvCxnSpPr>
        </xdr:nvCxnSpPr>
        <xdr:spPr bwMode="auto">
          <a:xfrm>
            <a:off x="3112223" y="2504661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8" name="直線コネクタ 19"/>
          <xdr:cNvCxnSpPr>
            <a:cxnSpLocks noChangeShapeType="1"/>
          </xdr:cNvCxnSpPr>
        </xdr:nvCxnSpPr>
        <xdr:spPr bwMode="auto">
          <a:xfrm>
            <a:off x="3282056" y="2500519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59" name="直線コネクタ 20"/>
          <xdr:cNvCxnSpPr>
            <a:cxnSpLocks noChangeShapeType="1"/>
          </xdr:cNvCxnSpPr>
        </xdr:nvCxnSpPr>
        <xdr:spPr bwMode="auto">
          <a:xfrm>
            <a:off x="3456850" y="2499690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60" name="直線コネクタ 22"/>
          <xdr:cNvCxnSpPr>
            <a:cxnSpLocks noChangeShapeType="1"/>
          </xdr:cNvCxnSpPr>
        </xdr:nvCxnSpPr>
        <xdr:spPr bwMode="auto">
          <a:xfrm>
            <a:off x="3625677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61" name="直線コネクタ 23"/>
          <xdr:cNvCxnSpPr>
            <a:cxnSpLocks noChangeShapeType="1"/>
          </xdr:cNvCxnSpPr>
        </xdr:nvCxnSpPr>
        <xdr:spPr bwMode="auto">
          <a:xfrm>
            <a:off x="3788856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62" name="直線コネクタ 24"/>
          <xdr:cNvCxnSpPr>
            <a:cxnSpLocks noChangeShapeType="1"/>
          </xdr:cNvCxnSpPr>
        </xdr:nvCxnSpPr>
        <xdr:spPr bwMode="auto">
          <a:xfrm>
            <a:off x="3957017" y="2502176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63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64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65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43</xdr:col>
      <xdr:colOff>60324</xdr:colOff>
      <xdr:row>165</xdr:row>
      <xdr:rowOff>79375</xdr:rowOff>
    </xdr:from>
    <xdr:to>
      <xdr:col>52</xdr:col>
      <xdr:colOff>7408</xdr:colOff>
      <xdr:row>168</xdr:row>
      <xdr:rowOff>79375</xdr:rowOff>
    </xdr:to>
    <xdr:sp macro="" textlink="">
      <xdr:nvSpPr>
        <xdr:cNvPr id="1422" name="Rectangle 218"/>
        <xdr:cNvSpPr>
          <a:spLocks noChangeArrowheads="1"/>
        </xdr:cNvSpPr>
      </xdr:nvSpPr>
      <xdr:spPr bwMode="auto">
        <a:xfrm>
          <a:off x="7308849" y="14509750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14816</xdr:colOff>
      <xdr:row>172</xdr:row>
      <xdr:rowOff>65616</xdr:rowOff>
    </xdr:from>
    <xdr:to>
      <xdr:col>42</xdr:col>
      <xdr:colOff>46567</xdr:colOff>
      <xdr:row>175</xdr:row>
      <xdr:rowOff>65616</xdr:rowOff>
    </xdr:to>
    <xdr:sp macro="" textlink="">
      <xdr:nvSpPr>
        <xdr:cNvPr id="1423" name="Rectangle 218"/>
        <xdr:cNvSpPr>
          <a:spLocks noChangeArrowheads="1"/>
        </xdr:cNvSpPr>
      </xdr:nvSpPr>
      <xdr:spPr bwMode="auto">
        <a:xfrm>
          <a:off x="6491816" y="15096066"/>
          <a:ext cx="71755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61383</xdr:colOff>
      <xdr:row>172</xdr:row>
      <xdr:rowOff>69849</xdr:rowOff>
    </xdr:from>
    <xdr:to>
      <xdr:col>60</xdr:col>
      <xdr:colOff>8467</xdr:colOff>
      <xdr:row>175</xdr:row>
      <xdr:rowOff>69849</xdr:rowOff>
    </xdr:to>
    <xdr:sp macro="" textlink="">
      <xdr:nvSpPr>
        <xdr:cNvPr id="1424" name="Rectangle 218"/>
        <xdr:cNvSpPr>
          <a:spLocks noChangeArrowheads="1"/>
        </xdr:cNvSpPr>
      </xdr:nvSpPr>
      <xdr:spPr bwMode="auto">
        <a:xfrm>
          <a:off x="7995708" y="15100299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84666</xdr:colOff>
      <xdr:row>173</xdr:row>
      <xdr:rowOff>14816</xdr:rowOff>
    </xdr:from>
    <xdr:to>
      <xdr:col>52</xdr:col>
      <xdr:colOff>27517</xdr:colOff>
      <xdr:row>176</xdr:row>
      <xdr:rowOff>14816</xdr:rowOff>
    </xdr:to>
    <xdr:sp macro="" textlink="">
      <xdr:nvSpPr>
        <xdr:cNvPr id="1425" name="Rectangle 218"/>
        <xdr:cNvSpPr>
          <a:spLocks noChangeArrowheads="1"/>
        </xdr:cNvSpPr>
      </xdr:nvSpPr>
      <xdr:spPr bwMode="auto">
        <a:xfrm>
          <a:off x="7333191" y="15130991"/>
          <a:ext cx="71437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66675</xdr:colOff>
      <xdr:row>182</xdr:row>
      <xdr:rowOff>0</xdr:rowOff>
    </xdr:from>
    <xdr:to>
      <xdr:col>39</xdr:col>
      <xdr:colOff>47625</xdr:colOff>
      <xdr:row>184</xdr:row>
      <xdr:rowOff>0</xdr:rowOff>
    </xdr:to>
    <xdr:grpSp>
      <xdr:nvGrpSpPr>
        <xdr:cNvPr id="3288443" name="グループ化 700"/>
        <xdr:cNvGrpSpPr>
          <a:grpSpLocks/>
        </xdr:cNvGrpSpPr>
      </xdr:nvGrpSpPr>
      <xdr:grpSpPr bwMode="auto">
        <a:xfrm>
          <a:off x="3495675" y="16019318"/>
          <a:ext cx="67541" cy="173182"/>
          <a:chOff x="3165758" y="15657662"/>
          <a:chExt cx="67219" cy="163244"/>
        </a:xfrm>
      </xdr:grpSpPr>
      <xdr:sp macro="" textlink="">
        <xdr:nvSpPr>
          <xdr:cNvPr id="3291348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49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50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180</xdr:row>
      <xdr:rowOff>47625</xdr:rowOff>
    </xdr:from>
    <xdr:to>
      <xdr:col>54</xdr:col>
      <xdr:colOff>28575</xdr:colOff>
      <xdr:row>186</xdr:row>
      <xdr:rowOff>47625</xdr:rowOff>
    </xdr:to>
    <xdr:grpSp>
      <xdr:nvGrpSpPr>
        <xdr:cNvPr id="3288444" name="グループ化 702"/>
        <xdr:cNvGrpSpPr>
          <a:grpSpLocks/>
        </xdr:cNvGrpSpPr>
      </xdr:nvGrpSpPr>
      <xdr:grpSpPr bwMode="auto">
        <a:xfrm>
          <a:off x="3649807" y="15893761"/>
          <a:ext cx="1193223" cy="519546"/>
          <a:chOff x="3634154" y="15404026"/>
          <a:chExt cx="1158481" cy="504350"/>
        </a:xfrm>
      </xdr:grpSpPr>
      <xdr:sp macro="" textlink="">
        <xdr:nvSpPr>
          <xdr:cNvPr id="1435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1344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45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46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39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34</xdr:col>
      <xdr:colOff>19050</xdr:colOff>
      <xdr:row>159</xdr:row>
      <xdr:rowOff>9525</xdr:rowOff>
    </xdr:from>
    <xdr:to>
      <xdr:col>38</xdr:col>
      <xdr:colOff>9525</xdr:colOff>
      <xdr:row>166</xdr:row>
      <xdr:rowOff>19050</xdr:rowOff>
    </xdr:to>
    <xdr:grpSp>
      <xdr:nvGrpSpPr>
        <xdr:cNvPr id="3288445" name="グループ化 3"/>
        <xdr:cNvGrpSpPr>
          <a:grpSpLocks/>
        </xdr:cNvGrpSpPr>
      </xdr:nvGrpSpPr>
      <xdr:grpSpPr bwMode="auto">
        <a:xfrm>
          <a:off x="3101686" y="14037252"/>
          <a:ext cx="336839" cy="615662"/>
          <a:chOff x="4956932" y="1715005"/>
          <a:chExt cx="367492" cy="648892"/>
        </a:xfrm>
      </xdr:grpSpPr>
      <xdr:grpSp>
        <xdr:nvGrpSpPr>
          <xdr:cNvPr id="3291339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1341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1342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1442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30</xdr:col>
      <xdr:colOff>6804</xdr:colOff>
      <xdr:row>170</xdr:row>
      <xdr:rowOff>6804</xdr:rowOff>
    </xdr:from>
    <xdr:to>
      <xdr:col>30</xdr:col>
      <xdr:colOff>81311</xdr:colOff>
      <xdr:row>170</xdr:row>
      <xdr:rowOff>6804</xdr:rowOff>
    </xdr:to>
    <xdr:cxnSp macro="">
      <xdr:nvCxnSpPr>
        <xdr:cNvPr id="1454" name="直線コネクタ 1453"/>
        <xdr:cNvCxnSpPr/>
      </xdr:nvCxnSpPr>
      <xdr:spPr bwMode="auto">
        <a:xfrm>
          <a:off x="2782661" y="15314840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19384</xdr:colOff>
      <xdr:row>150</xdr:row>
      <xdr:rowOff>3038</xdr:rowOff>
    </xdr:from>
    <xdr:to>
      <xdr:col>71</xdr:col>
      <xdr:colOff>3354</xdr:colOff>
      <xdr:row>150</xdr:row>
      <xdr:rowOff>3038</xdr:rowOff>
    </xdr:to>
    <xdr:cxnSp macro="">
      <xdr:nvCxnSpPr>
        <xdr:cNvPr id="1512" name="直線コネクタ 1511"/>
        <xdr:cNvCxnSpPr/>
      </xdr:nvCxnSpPr>
      <xdr:spPr bwMode="auto">
        <a:xfrm>
          <a:off x="2724484" y="13147538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78607</xdr:colOff>
      <xdr:row>159</xdr:row>
      <xdr:rowOff>17109</xdr:rowOff>
    </xdr:from>
    <xdr:to>
      <xdr:col>70</xdr:col>
      <xdr:colOff>67138</xdr:colOff>
      <xdr:row>159</xdr:row>
      <xdr:rowOff>17208</xdr:rowOff>
    </xdr:to>
    <xdr:cxnSp macro="">
      <xdr:nvCxnSpPr>
        <xdr:cNvPr id="1513" name="直線コネクタ 1512"/>
        <xdr:cNvCxnSpPr/>
      </xdr:nvCxnSpPr>
      <xdr:spPr>
        <a:xfrm flipH="1" flipV="1">
          <a:off x="2697982" y="13933134"/>
          <a:ext cx="74256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6046</xdr:colOff>
      <xdr:row>180</xdr:row>
      <xdr:rowOff>87337</xdr:rowOff>
    </xdr:from>
    <xdr:to>
      <xdr:col>70</xdr:col>
      <xdr:colOff>79516</xdr:colOff>
      <xdr:row>180</xdr:row>
      <xdr:rowOff>87337</xdr:rowOff>
    </xdr:to>
    <xdr:cxnSp macro="">
      <xdr:nvCxnSpPr>
        <xdr:cNvPr id="1514" name="直線コネクタ 1513"/>
        <xdr:cNvCxnSpPr/>
      </xdr:nvCxnSpPr>
      <xdr:spPr bwMode="auto">
        <a:xfrm>
          <a:off x="2711146" y="15803587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66675</xdr:colOff>
      <xdr:row>182</xdr:row>
      <xdr:rowOff>0</xdr:rowOff>
    </xdr:from>
    <xdr:to>
      <xdr:col>79</xdr:col>
      <xdr:colOff>47625</xdr:colOff>
      <xdr:row>184</xdr:row>
      <xdr:rowOff>0</xdr:rowOff>
    </xdr:to>
    <xdr:grpSp>
      <xdr:nvGrpSpPr>
        <xdr:cNvPr id="3288451" name="グループ化 700"/>
        <xdr:cNvGrpSpPr>
          <a:grpSpLocks/>
        </xdr:cNvGrpSpPr>
      </xdr:nvGrpSpPr>
      <xdr:grpSpPr bwMode="auto">
        <a:xfrm>
          <a:off x="6959311" y="16019318"/>
          <a:ext cx="67541" cy="173182"/>
          <a:chOff x="3165758" y="15657662"/>
          <a:chExt cx="67219" cy="163244"/>
        </a:xfrm>
      </xdr:grpSpPr>
      <xdr:sp macro="" textlink="">
        <xdr:nvSpPr>
          <xdr:cNvPr id="3291333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34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35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180</xdr:row>
      <xdr:rowOff>47625</xdr:rowOff>
    </xdr:from>
    <xdr:to>
      <xdr:col>94</xdr:col>
      <xdr:colOff>28575</xdr:colOff>
      <xdr:row>186</xdr:row>
      <xdr:rowOff>47625</xdr:rowOff>
    </xdr:to>
    <xdr:grpSp>
      <xdr:nvGrpSpPr>
        <xdr:cNvPr id="3288452" name="グループ化 702"/>
        <xdr:cNvGrpSpPr>
          <a:grpSpLocks/>
        </xdr:cNvGrpSpPr>
      </xdr:nvGrpSpPr>
      <xdr:grpSpPr bwMode="auto">
        <a:xfrm>
          <a:off x="7113443" y="15893761"/>
          <a:ext cx="1193223" cy="519546"/>
          <a:chOff x="3634154" y="15404026"/>
          <a:chExt cx="1158481" cy="504350"/>
        </a:xfrm>
      </xdr:grpSpPr>
      <xdr:sp macro="" textlink="">
        <xdr:nvSpPr>
          <xdr:cNvPr id="1616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1329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30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331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24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74</xdr:col>
      <xdr:colOff>19050</xdr:colOff>
      <xdr:row>159</xdr:row>
      <xdr:rowOff>9525</xdr:rowOff>
    </xdr:from>
    <xdr:to>
      <xdr:col>78</xdr:col>
      <xdr:colOff>9525</xdr:colOff>
      <xdr:row>166</xdr:row>
      <xdr:rowOff>19050</xdr:rowOff>
    </xdr:to>
    <xdr:grpSp>
      <xdr:nvGrpSpPr>
        <xdr:cNvPr id="3288453" name="グループ化 3"/>
        <xdr:cNvGrpSpPr>
          <a:grpSpLocks/>
        </xdr:cNvGrpSpPr>
      </xdr:nvGrpSpPr>
      <xdr:grpSpPr bwMode="auto">
        <a:xfrm>
          <a:off x="6565323" y="14037252"/>
          <a:ext cx="336838" cy="615662"/>
          <a:chOff x="4956932" y="1715005"/>
          <a:chExt cx="367492" cy="648892"/>
        </a:xfrm>
      </xdr:grpSpPr>
      <xdr:grpSp>
        <xdr:nvGrpSpPr>
          <xdr:cNvPr id="3291324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1326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1327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1630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14</xdr:col>
      <xdr:colOff>0</xdr:colOff>
      <xdr:row>162</xdr:row>
      <xdr:rowOff>57150</xdr:rowOff>
    </xdr:from>
    <xdr:to>
      <xdr:col>21</xdr:col>
      <xdr:colOff>38100</xdr:colOff>
      <xdr:row>164</xdr:row>
      <xdr:rowOff>0</xdr:rowOff>
    </xdr:to>
    <xdr:grpSp>
      <xdr:nvGrpSpPr>
        <xdr:cNvPr id="3288454" name="グループ化 5"/>
        <xdr:cNvGrpSpPr>
          <a:grpSpLocks/>
        </xdr:cNvGrpSpPr>
      </xdr:nvGrpSpPr>
      <xdr:grpSpPr bwMode="auto">
        <a:xfrm>
          <a:off x="1212273" y="14344650"/>
          <a:ext cx="644236" cy="116032"/>
          <a:chOff x="4791075" y="2762250"/>
          <a:chExt cx="714375" cy="142875"/>
        </a:xfrm>
      </xdr:grpSpPr>
      <xdr:sp macro="" textlink="">
        <xdr:nvSpPr>
          <xdr:cNvPr id="3291322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323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53</xdr:col>
      <xdr:colOff>0</xdr:colOff>
      <xdr:row>161</xdr:row>
      <xdr:rowOff>57150</xdr:rowOff>
    </xdr:from>
    <xdr:to>
      <xdr:col>60</xdr:col>
      <xdr:colOff>38100</xdr:colOff>
      <xdr:row>163</xdr:row>
      <xdr:rowOff>0</xdr:rowOff>
    </xdr:to>
    <xdr:grpSp>
      <xdr:nvGrpSpPr>
        <xdr:cNvPr id="3288456" name="グループ化 5"/>
        <xdr:cNvGrpSpPr>
          <a:grpSpLocks/>
        </xdr:cNvGrpSpPr>
      </xdr:nvGrpSpPr>
      <xdr:grpSpPr bwMode="auto">
        <a:xfrm>
          <a:off x="4727864" y="14258059"/>
          <a:ext cx="644236" cy="116032"/>
          <a:chOff x="4791075" y="2762250"/>
          <a:chExt cx="714375" cy="142875"/>
        </a:xfrm>
      </xdr:grpSpPr>
      <xdr:sp macro="" textlink="">
        <xdr:nvSpPr>
          <xdr:cNvPr id="3291317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318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86</xdr:col>
      <xdr:colOff>50402</xdr:colOff>
      <xdr:row>165</xdr:row>
      <xdr:rowOff>49609</xdr:rowOff>
    </xdr:from>
    <xdr:to>
      <xdr:col>94</xdr:col>
      <xdr:colOff>86783</xdr:colOff>
      <xdr:row>168</xdr:row>
      <xdr:rowOff>49609</xdr:rowOff>
    </xdr:to>
    <xdr:sp macro="" textlink="">
      <xdr:nvSpPr>
        <xdr:cNvPr id="2073" name="Rectangle 218"/>
        <xdr:cNvSpPr>
          <a:spLocks noChangeArrowheads="1"/>
        </xdr:cNvSpPr>
      </xdr:nvSpPr>
      <xdr:spPr bwMode="auto">
        <a:xfrm>
          <a:off x="4127102" y="55380334"/>
          <a:ext cx="72218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6804</xdr:colOff>
      <xdr:row>170</xdr:row>
      <xdr:rowOff>83046</xdr:rowOff>
    </xdr:from>
    <xdr:to>
      <xdr:col>70</xdr:col>
      <xdr:colOff>81311</xdr:colOff>
      <xdr:row>170</xdr:row>
      <xdr:rowOff>83046</xdr:rowOff>
    </xdr:to>
    <xdr:cxnSp macro="">
      <xdr:nvCxnSpPr>
        <xdr:cNvPr id="2098" name="直線コネクタ 2097"/>
        <xdr:cNvCxnSpPr/>
      </xdr:nvCxnSpPr>
      <xdr:spPr bwMode="auto">
        <a:xfrm>
          <a:off x="2711904" y="55842396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415</xdr:colOff>
      <xdr:row>167</xdr:row>
      <xdr:rowOff>40585</xdr:rowOff>
    </xdr:from>
    <xdr:to>
      <xdr:col>142</xdr:col>
      <xdr:colOff>16566</xdr:colOff>
      <xdr:row>175</xdr:row>
      <xdr:rowOff>12010</xdr:rowOff>
    </xdr:to>
    <xdr:grpSp>
      <xdr:nvGrpSpPr>
        <xdr:cNvPr id="3288459" name="グループ化 2528"/>
        <xdr:cNvGrpSpPr>
          <a:grpSpLocks/>
        </xdr:cNvGrpSpPr>
      </xdr:nvGrpSpPr>
      <xdr:grpSpPr bwMode="auto">
        <a:xfrm>
          <a:off x="10356688" y="14761040"/>
          <a:ext cx="2094333" cy="664152"/>
          <a:chOff x="13451336" y="18108261"/>
          <a:chExt cx="2108441" cy="662519"/>
        </a:xfrm>
      </xdr:grpSpPr>
      <xdr:grpSp>
        <xdr:nvGrpSpPr>
          <xdr:cNvPr id="3291299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291302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03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04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05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06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07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08" name="直線コネクタ 18"/>
            <xdr:cNvCxnSpPr>
              <a:cxnSpLocks noChangeShapeType="1"/>
            </xdr:cNvCxnSpPr>
          </xdr:nvCxnSpPr>
          <xdr:spPr bwMode="auto">
            <a:xfrm>
              <a:off x="3085688" y="250466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09" name="直線コネクタ 19"/>
            <xdr:cNvCxnSpPr>
              <a:cxnSpLocks noChangeShapeType="1"/>
            </xdr:cNvCxnSpPr>
          </xdr:nvCxnSpPr>
          <xdr:spPr bwMode="auto">
            <a:xfrm>
              <a:off x="3222350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10" name="直線コネクタ 20"/>
            <xdr:cNvCxnSpPr>
              <a:cxnSpLocks noChangeShapeType="1"/>
            </xdr:cNvCxnSpPr>
          </xdr:nvCxnSpPr>
          <xdr:spPr bwMode="auto">
            <a:xfrm>
              <a:off x="3370609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11" name="直線コネクタ 21"/>
            <xdr:cNvCxnSpPr>
              <a:cxnSpLocks noChangeShapeType="1"/>
            </xdr:cNvCxnSpPr>
          </xdr:nvCxnSpPr>
          <xdr:spPr bwMode="auto">
            <a:xfrm>
              <a:off x="3507271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12" name="直線コネクタ 22"/>
            <xdr:cNvCxnSpPr>
              <a:cxnSpLocks noChangeShapeType="1"/>
            </xdr:cNvCxnSpPr>
          </xdr:nvCxnSpPr>
          <xdr:spPr bwMode="auto">
            <a:xfrm>
              <a:off x="3655530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13" name="直線コネクタ 23"/>
            <xdr:cNvCxnSpPr>
              <a:cxnSpLocks noChangeShapeType="1"/>
            </xdr:cNvCxnSpPr>
          </xdr:nvCxnSpPr>
          <xdr:spPr bwMode="auto">
            <a:xfrm>
              <a:off x="3808758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14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15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316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291300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301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92</xdr:col>
      <xdr:colOff>9921</xdr:colOff>
      <xdr:row>172</xdr:row>
      <xdr:rowOff>79374</xdr:rowOff>
    </xdr:from>
    <xdr:to>
      <xdr:col>100</xdr:col>
      <xdr:colOff>46302</xdr:colOff>
      <xdr:row>175</xdr:row>
      <xdr:rowOff>79375</xdr:rowOff>
    </xdr:to>
    <xdr:sp macro="" textlink="">
      <xdr:nvSpPr>
        <xdr:cNvPr id="2135" name="Rectangle 218"/>
        <xdr:cNvSpPr>
          <a:spLocks noChangeArrowheads="1"/>
        </xdr:cNvSpPr>
      </xdr:nvSpPr>
      <xdr:spPr bwMode="auto">
        <a:xfrm>
          <a:off x="4600971" y="56010174"/>
          <a:ext cx="722181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83</xdr:col>
      <xdr:colOff>5868</xdr:colOff>
      <xdr:row>172</xdr:row>
      <xdr:rowOff>79374</xdr:rowOff>
    </xdr:from>
    <xdr:to>
      <xdr:col>91</xdr:col>
      <xdr:colOff>35921</xdr:colOff>
      <xdr:row>175</xdr:row>
      <xdr:rowOff>79375</xdr:rowOff>
    </xdr:to>
    <xdr:sp macro="" textlink="">
      <xdr:nvSpPr>
        <xdr:cNvPr id="2136" name="Rectangle 218"/>
        <xdr:cNvSpPr>
          <a:spLocks noChangeArrowheads="1"/>
        </xdr:cNvSpPr>
      </xdr:nvSpPr>
      <xdr:spPr bwMode="auto">
        <a:xfrm>
          <a:off x="7370974" y="15346205"/>
          <a:ext cx="727658" cy="261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77</xdr:col>
      <xdr:colOff>21737</xdr:colOff>
      <xdr:row>173</xdr:row>
      <xdr:rowOff>5560</xdr:rowOff>
    </xdr:from>
    <xdr:to>
      <xdr:col>85</xdr:col>
      <xdr:colOff>51647</xdr:colOff>
      <xdr:row>176</xdr:row>
      <xdr:rowOff>5561</xdr:rowOff>
    </xdr:to>
    <xdr:sp macro="" textlink="">
      <xdr:nvSpPr>
        <xdr:cNvPr id="2137" name="Rectangle 218"/>
        <xdr:cNvSpPr>
          <a:spLocks noChangeArrowheads="1"/>
        </xdr:cNvSpPr>
      </xdr:nvSpPr>
      <xdr:spPr bwMode="auto">
        <a:xfrm>
          <a:off x="6548433" y="14624364"/>
          <a:ext cx="692518" cy="248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112</xdr:col>
      <xdr:colOff>0</xdr:colOff>
      <xdr:row>180</xdr:row>
      <xdr:rowOff>38100</xdr:rowOff>
    </xdr:from>
    <xdr:to>
      <xdr:col>131</xdr:col>
      <xdr:colOff>76200</xdr:colOff>
      <xdr:row>187</xdr:row>
      <xdr:rowOff>85725</xdr:rowOff>
    </xdr:to>
    <xdr:grpSp>
      <xdr:nvGrpSpPr>
        <xdr:cNvPr id="3288463" name="グループ化 3"/>
        <xdr:cNvGrpSpPr>
          <a:grpSpLocks/>
        </xdr:cNvGrpSpPr>
      </xdr:nvGrpSpPr>
      <xdr:grpSpPr bwMode="auto">
        <a:xfrm>
          <a:off x="9836727" y="15884236"/>
          <a:ext cx="1721428" cy="653762"/>
          <a:chOff x="3191675" y="62632037"/>
          <a:chExt cx="1739148" cy="664375"/>
        </a:xfrm>
      </xdr:grpSpPr>
      <xdr:sp macro="" textlink="">
        <xdr:nvSpPr>
          <xdr:cNvPr id="3291282" name="Freeform 227"/>
          <xdr:cNvSpPr>
            <a:spLocks/>
          </xdr:cNvSpPr>
        </xdr:nvSpPr>
        <xdr:spPr bwMode="auto">
          <a:xfrm rot="3200040">
            <a:off x="4151524" y="62870945"/>
            <a:ext cx="134034" cy="7136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40" name="Rectangle 228"/>
          <xdr:cNvSpPr>
            <a:spLocks noChangeArrowheads="1"/>
          </xdr:cNvSpPr>
        </xdr:nvSpPr>
        <xdr:spPr bwMode="auto">
          <a:xfrm>
            <a:off x="3968948" y="62856752"/>
            <a:ext cx="514943" cy="3810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grpSp>
        <xdr:nvGrpSpPr>
          <xdr:cNvPr id="3291284" name="グループ化 2"/>
          <xdr:cNvGrpSpPr>
            <a:grpSpLocks/>
          </xdr:cNvGrpSpPr>
        </xdr:nvGrpSpPr>
        <xdr:grpSpPr bwMode="auto">
          <a:xfrm>
            <a:off x="3191675" y="62632037"/>
            <a:ext cx="1739148" cy="664375"/>
            <a:chOff x="3191675" y="62632037"/>
            <a:chExt cx="1739148" cy="664375"/>
          </a:xfrm>
        </xdr:grpSpPr>
        <xdr:grpSp>
          <xdr:nvGrpSpPr>
            <xdr:cNvPr id="3291285" name="Group 63"/>
            <xdr:cNvGrpSpPr>
              <a:grpSpLocks/>
            </xdr:cNvGrpSpPr>
          </xdr:nvGrpSpPr>
          <xdr:grpSpPr bwMode="auto">
            <a:xfrm>
              <a:off x="3359198" y="62679589"/>
              <a:ext cx="1571625" cy="495300"/>
              <a:chOff x="1213" y="519"/>
              <a:chExt cx="165" cy="52"/>
            </a:xfrm>
          </xdr:grpSpPr>
          <xdr:sp macro="" textlink="">
            <xdr:nvSpPr>
              <xdr:cNvPr id="3291290" name="Line 64"/>
              <xdr:cNvSpPr>
                <a:spLocks noChangeShapeType="1"/>
              </xdr:cNvSpPr>
            </xdr:nvSpPr>
            <xdr:spPr bwMode="auto">
              <a:xfrm flipH="1" flipV="1">
                <a:off x="1274" y="520"/>
                <a:ext cx="27" cy="2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1" name="Line 65"/>
              <xdr:cNvSpPr>
                <a:spLocks noChangeShapeType="1"/>
              </xdr:cNvSpPr>
            </xdr:nvSpPr>
            <xdr:spPr bwMode="auto">
              <a:xfrm flipV="1">
                <a:off x="1214" y="519"/>
                <a:ext cx="59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2" name="Line 66"/>
              <xdr:cNvSpPr>
                <a:spLocks noChangeShapeType="1"/>
              </xdr:cNvSpPr>
            </xdr:nvSpPr>
            <xdr:spPr bwMode="auto">
              <a:xfrm>
                <a:off x="1300" y="545"/>
                <a:ext cx="77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3" name="Line 67"/>
              <xdr:cNvSpPr>
                <a:spLocks noChangeShapeType="1"/>
              </xdr:cNvSpPr>
            </xdr:nvSpPr>
            <xdr:spPr bwMode="auto">
              <a:xfrm>
                <a:off x="1273" y="519"/>
                <a:ext cx="105" cy="3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4" name="Line 68"/>
              <xdr:cNvSpPr>
                <a:spLocks noChangeShapeType="1"/>
              </xdr:cNvSpPr>
            </xdr:nvSpPr>
            <xdr:spPr bwMode="auto">
              <a:xfrm>
                <a:off x="1274" y="537"/>
                <a:ext cx="24" cy="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5" name="Line 69"/>
              <xdr:cNvSpPr>
                <a:spLocks noChangeShapeType="1"/>
              </xdr:cNvSpPr>
            </xdr:nvSpPr>
            <xdr:spPr bwMode="auto">
              <a:xfrm flipH="1">
                <a:off x="1213" y="536"/>
                <a:ext cx="59" cy="2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6" name="Line 70"/>
              <xdr:cNvSpPr>
                <a:spLocks noChangeShapeType="1"/>
              </xdr:cNvSpPr>
            </xdr:nvSpPr>
            <xdr:spPr bwMode="auto">
              <a:xfrm>
                <a:off x="1273" y="521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7" name="Line 72"/>
              <xdr:cNvSpPr>
                <a:spLocks noChangeShapeType="1"/>
              </xdr:cNvSpPr>
            </xdr:nvSpPr>
            <xdr:spPr bwMode="auto">
              <a:xfrm>
                <a:off x="1214" y="545"/>
                <a:ext cx="0" cy="1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1298" name="Line 75"/>
              <xdr:cNvSpPr>
                <a:spLocks noChangeShapeType="1"/>
              </xdr:cNvSpPr>
            </xdr:nvSpPr>
            <xdr:spPr bwMode="auto">
              <a:xfrm>
                <a:off x="1377" y="557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43" name="テキスト ボックス 2142"/>
            <xdr:cNvSpPr txBox="1"/>
          </xdr:nvSpPr>
          <xdr:spPr bwMode="auto">
            <a:xfrm>
              <a:off x="4240993" y="63052156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2144" name="正方形/長方形 2143"/>
            <xdr:cNvSpPr/>
          </xdr:nvSpPr>
          <xdr:spPr>
            <a:xfrm>
              <a:off x="4085539" y="62641807"/>
              <a:ext cx="223466" cy="15632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ja-JP" altLang="en-US"/>
            </a:p>
          </xdr:txBody>
        </xdr:sp>
        <xdr:sp macro="" textlink="">
          <xdr:nvSpPr>
            <xdr:cNvPr id="2145" name="テキスト ボックス 2144"/>
            <xdr:cNvSpPr txBox="1"/>
          </xdr:nvSpPr>
          <xdr:spPr bwMode="auto">
            <a:xfrm>
              <a:off x="3959232" y="62651577"/>
              <a:ext cx="446932" cy="2149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315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2146" name="テキスト ボックス 2145"/>
            <xdr:cNvSpPr txBox="1"/>
          </xdr:nvSpPr>
          <xdr:spPr bwMode="auto">
            <a:xfrm>
              <a:off x="3191675" y="62632037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</xdr:grpSp>
    <xdr:clientData/>
  </xdr:twoCellAnchor>
  <xdr:twoCellAnchor>
    <xdr:from>
      <xdr:col>93</xdr:col>
      <xdr:colOff>0</xdr:colOff>
      <xdr:row>161</xdr:row>
      <xdr:rowOff>57150</xdr:rowOff>
    </xdr:from>
    <xdr:to>
      <xdr:col>100</xdr:col>
      <xdr:colOff>38100</xdr:colOff>
      <xdr:row>163</xdr:row>
      <xdr:rowOff>0</xdr:rowOff>
    </xdr:to>
    <xdr:grpSp>
      <xdr:nvGrpSpPr>
        <xdr:cNvPr id="3288464" name="グループ化 5"/>
        <xdr:cNvGrpSpPr>
          <a:grpSpLocks/>
        </xdr:cNvGrpSpPr>
      </xdr:nvGrpSpPr>
      <xdr:grpSpPr bwMode="auto">
        <a:xfrm>
          <a:off x="8191500" y="14258059"/>
          <a:ext cx="644236" cy="116032"/>
          <a:chOff x="4791075" y="2762250"/>
          <a:chExt cx="714375" cy="142875"/>
        </a:xfrm>
      </xdr:grpSpPr>
      <xdr:sp macro="" textlink="">
        <xdr:nvSpPr>
          <xdr:cNvPr id="3291280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281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134</xdr:col>
      <xdr:colOff>57150</xdr:colOff>
      <xdr:row>179</xdr:row>
      <xdr:rowOff>66675</xdr:rowOff>
    </xdr:from>
    <xdr:to>
      <xdr:col>153</xdr:col>
      <xdr:colOff>28575</xdr:colOff>
      <xdr:row>187</xdr:row>
      <xdr:rowOff>19050</xdr:rowOff>
    </xdr:to>
    <xdr:grpSp>
      <xdr:nvGrpSpPr>
        <xdr:cNvPr id="3288465" name="グループ化 1"/>
        <xdr:cNvGrpSpPr>
          <a:grpSpLocks/>
        </xdr:cNvGrpSpPr>
      </xdr:nvGrpSpPr>
      <xdr:grpSpPr bwMode="auto">
        <a:xfrm>
          <a:off x="11798877" y="15826220"/>
          <a:ext cx="1616653" cy="645103"/>
          <a:chOff x="11757476" y="15796617"/>
          <a:chExt cx="1607289" cy="647446"/>
        </a:xfrm>
      </xdr:grpSpPr>
      <xdr:grpSp>
        <xdr:nvGrpSpPr>
          <xdr:cNvPr id="3291264" name="Group 47"/>
          <xdr:cNvGrpSpPr>
            <a:grpSpLocks/>
          </xdr:cNvGrpSpPr>
        </xdr:nvGrpSpPr>
        <xdr:grpSpPr bwMode="auto">
          <a:xfrm>
            <a:off x="11757476" y="15842535"/>
            <a:ext cx="1537482" cy="482598"/>
            <a:chOff x="1010" y="518"/>
            <a:chExt cx="172" cy="53"/>
          </a:xfrm>
        </xdr:grpSpPr>
        <xdr:sp macro="" textlink="">
          <xdr:nvSpPr>
            <xdr:cNvPr id="3291271" name="Line 48"/>
            <xdr:cNvSpPr>
              <a:spLocks noChangeShapeType="1"/>
            </xdr:cNvSpPr>
          </xdr:nvSpPr>
          <xdr:spPr bwMode="auto">
            <a:xfrm flipH="1">
              <a:off x="1089" y="518"/>
              <a:ext cx="32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2" name="Line 49"/>
            <xdr:cNvSpPr>
              <a:spLocks noChangeShapeType="1"/>
            </xdr:cNvSpPr>
          </xdr:nvSpPr>
          <xdr:spPr bwMode="auto">
            <a:xfrm flipV="1">
              <a:off x="1010" y="544"/>
              <a:ext cx="81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3" name="Line 50"/>
            <xdr:cNvSpPr>
              <a:spLocks noChangeShapeType="1"/>
            </xdr:cNvSpPr>
          </xdr:nvSpPr>
          <xdr:spPr bwMode="auto">
            <a:xfrm>
              <a:off x="1121" y="519"/>
              <a:ext cx="61" cy="26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4" name="Line 51"/>
            <xdr:cNvSpPr>
              <a:spLocks noChangeShapeType="1"/>
            </xdr:cNvSpPr>
          </xdr:nvSpPr>
          <xdr:spPr bwMode="auto">
            <a:xfrm flipV="1">
              <a:off x="1012" y="518"/>
              <a:ext cx="109" cy="34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5" name="Line 52"/>
            <xdr:cNvSpPr>
              <a:spLocks noChangeShapeType="1"/>
            </xdr:cNvSpPr>
          </xdr:nvSpPr>
          <xdr:spPr bwMode="auto">
            <a:xfrm flipH="1">
              <a:off x="1090" y="535"/>
              <a:ext cx="31" cy="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6" name="Line 53"/>
            <xdr:cNvSpPr>
              <a:spLocks noChangeShapeType="1"/>
            </xdr:cNvSpPr>
          </xdr:nvSpPr>
          <xdr:spPr bwMode="auto">
            <a:xfrm>
              <a:off x="1122" y="536"/>
              <a:ext cx="59" cy="26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7" name="Line 54"/>
            <xdr:cNvSpPr>
              <a:spLocks noChangeShapeType="1"/>
            </xdr:cNvSpPr>
          </xdr:nvSpPr>
          <xdr:spPr bwMode="auto">
            <a:xfrm>
              <a:off x="1121" y="519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8" name="Line 55"/>
            <xdr:cNvSpPr>
              <a:spLocks noChangeShapeType="1"/>
            </xdr:cNvSpPr>
          </xdr:nvSpPr>
          <xdr:spPr bwMode="auto">
            <a:xfrm>
              <a:off x="1011" y="552"/>
              <a:ext cx="0" cy="1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1279" name="Line 56"/>
            <xdr:cNvSpPr>
              <a:spLocks noChangeShapeType="1"/>
            </xdr:cNvSpPr>
          </xdr:nvSpPr>
          <xdr:spPr bwMode="auto">
            <a:xfrm>
              <a:off x="1181" y="545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291265" name="Freeform 227"/>
          <xdr:cNvSpPr>
            <a:spLocks/>
          </xdr:cNvSpPr>
        </xdr:nvSpPr>
        <xdr:spPr bwMode="auto">
          <a:xfrm rot="-310882">
            <a:off x="12415436" y="16011033"/>
            <a:ext cx="122289" cy="78691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741" name="Rectangle 228"/>
          <xdr:cNvSpPr>
            <a:spLocks noChangeArrowheads="1"/>
          </xdr:cNvSpPr>
        </xdr:nvSpPr>
        <xdr:spPr bwMode="auto">
          <a:xfrm>
            <a:off x="12350642" y="16067191"/>
            <a:ext cx="392255" cy="2415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2742" name="テキスト ボックス 2741"/>
          <xdr:cNvSpPr txBox="1"/>
        </xdr:nvSpPr>
        <xdr:spPr bwMode="auto">
          <a:xfrm>
            <a:off x="12915107" y="15796617"/>
            <a:ext cx="449658" cy="2415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743" name="テキスト ボックス 2742"/>
          <xdr:cNvSpPr txBox="1"/>
        </xdr:nvSpPr>
        <xdr:spPr bwMode="auto">
          <a:xfrm>
            <a:off x="11853148" y="16202479"/>
            <a:ext cx="487927" cy="2415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745" name="正方形/長方形 2744"/>
          <xdr:cNvSpPr/>
        </xdr:nvSpPr>
        <xdr:spPr bwMode="auto">
          <a:xfrm>
            <a:off x="12379344" y="15806280"/>
            <a:ext cx="220046" cy="15461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2746" name="テキスト ボックス 2745"/>
          <xdr:cNvSpPr txBox="1"/>
        </xdr:nvSpPr>
        <xdr:spPr bwMode="auto">
          <a:xfrm>
            <a:off x="12274105" y="15806280"/>
            <a:ext cx="449658" cy="2029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315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oneCellAnchor>
    <xdr:from>
      <xdr:col>29</xdr:col>
      <xdr:colOff>62593</xdr:colOff>
      <xdr:row>190</xdr:row>
      <xdr:rowOff>16600</xdr:rowOff>
    </xdr:from>
    <xdr:ext cx="423193" cy="183384"/>
    <xdr:sp macro="" textlink="">
      <xdr:nvSpPr>
        <xdr:cNvPr id="4277" name="Rectangle 217"/>
        <xdr:cNvSpPr>
          <a:spLocks noChangeArrowheads="1"/>
        </xdr:cNvSpPr>
      </xdr:nvSpPr>
      <xdr:spPr bwMode="auto">
        <a:xfrm>
          <a:off x="2681968" y="16637725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29</xdr:col>
      <xdr:colOff>38100</xdr:colOff>
      <xdr:row>188</xdr:row>
      <xdr:rowOff>19050</xdr:rowOff>
    </xdr:from>
    <xdr:to>
      <xdr:col>34</xdr:col>
      <xdr:colOff>0</xdr:colOff>
      <xdr:row>189</xdr:row>
      <xdr:rowOff>66675</xdr:rowOff>
    </xdr:to>
    <xdr:grpSp>
      <xdr:nvGrpSpPr>
        <xdr:cNvPr id="3288467" name="Group 350"/>
        <xdr:cNvGrpSpPr>
          <a:grpSpLocks/>
        </xdr:cNvGrpSpPr>
      </xdr:nvGrpSpPr>
      <xdr:grpSpPr bwMode="auto">
        <a:xfrm>
          <a:off x="2687782" y="16609868"/>
          <a:ext cx="394854" cy="134216"/>
          <a:chOff x="340" y="51"/>
          <a:chExt cx="60" cy="20"/>
        </a:xfrm>
      </xdr:grpSpPr>
      <xdr:sp macro="" textlink="">
        <xdr:nvSpPr>
          <xdr:cNvPr id="3273492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291262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263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78607</xdr:colOff>
      <xdr:row>209</xdr:row>
      <xdr:rowOff>17109</xdr:rowOff>
    </xdr:from>
    <xdr:to>
      <xdr:col>30</xdr:col>
      <xdr:colOff>67138</xdr:colOff>
      <xdr:row>209</xdr:row>
      <xdr:rowOff>17208</xdr:rowOff>
    </xdr:to>
    <xdr:cxnSp macro="">
      <xdr:nvCxnSpPr>
        <xdr:cNvPr id="4464" name="直線コネクタ 4463"/>
        <xdr:cNvCxnSpPr/>
      </xdr:nvCxnSpPr>
      <xdr:spPr>
        <a:xfrm flipH="1" flipV="1">
          <a:off x="2697982" y="26887134"/>
          <a:ext cx="74256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6046</xdr:colOff>
      <xdr:row>230</xdr:row>
      <xdr:rowOff>87337</xdr:rowOff>
    </xdr:from>
    <xdr:to>
      <xdr:col>30</xdr:col>
      <xdr:colOff>79516</xdr:colOff>
      <xdr:row>230</xdr:row>
      <xdr:rowOff>87337</xdr:rowOff>
    </xdr:to>
    <xdr:cxnSp macro="">
      <xdr:nvCxnSpPr>
        <xdr:cNvPr id="4481" name="直線コネクタ 4480"/>
        <xdr:cNvCxnSpPr/>
      </xdr:nvCxnSpPr>
      <xdr:spPr bwMode="auto">
        <a:xfrm>
          <a:off x="2711146" y="28757587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60324</xdr:colOff>
      <xdr:row>215</xdr:row>
      <xdr:rowOff>79375</xdr:rowOff>
    </xdr:from>
    <xdr:to>
      <xdr:col>52</xdr:col>
      <xdr:colOff>7408</xdr:colOff>
      <xdr:row>218</xdr:row>
      <xdr:rowOff>79375</xdr:rowOff>
    </xdr:to>
    <xdr:sp macro="" textlink="">
      <xdr:nvSpPr>
        <xdr:cNvPr id="4570" name="Rectangle 218"/>
        <xdr:cNvSpPr>
          <a:spLocks noChangeArrowheads="1"/>
        </xdr:cNvSpPr>
      </xdr:nvSpPr>
      <xdr:spPr bwMode="auto">
        <a:xfrm>
          <a:off x="3879849" y="27463750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14816</xdr:colOff>
      <xdr:row>222</xdr:row>
      <xdr:rowOff>65616</xdr:rowOff>
    </xdr:from>
    <xdr:to>
      <xdr:col>42</xdr:col>
      <xdr:colOff>46567</xdr:colOff>
      <xdr:row>225</xdr:row>
      <xdr:rowOff>65616</xdr:rowOff>
    </xdr:to>
    <xdr:sp macro="" textlink="">
      <xdr:nvSpPr>
        <xdr:cNvPr id="4571" name="Rectangle 218"/>
        <xdr:cNvSpPr>
          <a:spLocks noChangeArrowheads="1"/>
        </xdr:cNvSpPr>
      </xdr:nvSpPr>
      <xdr:spPr bwMode="auto">
        <a:xfrm>
          <a:off x="3062816" y="28050066"/>
          <a:ext cx="71755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61383</xdr:colOff>
      <xdr:row>222</xdr:row>
      <xdr:rowOff>69849</xdr:rowOff>
    </xdr:from>
    <xdr:to>
      <xdr:col>60</xdr:col>
      <xdr:colOff>8467</xdr:colOff>
      <xdr:row>225</xdr:row>
      <xdr:rowOff>69849</xdr:rowOff>
    </xdr:to>
    <xdr:sp macro="" textlink="">
      <xdr:nvSpPr>
        <xdr:cNvPr id="4572" name="Rectangle 218"/>
        <xdr:cNvSpPr>
          <a:spLocks noChangeArrowheads="1"/>
        </xdr:cNvSpPr>
      </xdr:nvSpPr>
      <xdr:spPr bwMode="auto">
        <a:xfrm>
          <a:off x="4566708" y="28054299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84666</xdr:colOff>
      <xdr:row>223</xdr:row>
      <xdr:rowOff>14816</xdr:rowOff>
    </xdr:from>
    <xdr:to>
      <xdr:col>52</xdr:col>
      <xdr:colOff>27517</xdr:colOff>
      <xdr:row>226</xdr:row>
      <xdr:rowOff>14816</xdr:rowOff>
    </xdr:to>
    <xdr:sp macro="" textlink="">
      <xdr:nvSpPr>
        <xdr:cNvPr id="4573" name="Rectangle 218"/>
        <xdr:cNvSpPr>
          <a:spLocks noChangeArrowheads="1"/>
        </xdr:cNvSpPr>
      </xdr:nvSpPr>
      <xdr:spPr bwMode="auto">
        <a:xfrm>
          <a:off x="3904191" y="28084991"/>
          <a:ext cx="71437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66675</xdr:colOff>
      <xdr:row>232</xdr:row>
      <xdr:rowOff>0</xdr:rowOff>
    </xdr:from>
    <xdr:to>
      <xdr:col>39</xdr:col>
      <xdr:colOff>47625</xdr:colOff>
      <xdr:row>234</xdr:row>
      <xdr:rowOff>0</xdr:rowOff>
    </xdr:to>
    <xdr:grpSp>
      <xdr:nvGrpSpPr>
        <xdr:cNvPr id="3288475" name="グループ化 700"/>
        <xdr:cNvGrpSpPr>
          <a:grpSpLocks/>
        </xdr:cNvGrpSpPr>
      </xdr:nvGrpSpPr>
      <xdr:grpSpPr bwMode="auto">
        <a:xfrm>
          <a:off x="3495675" y="20400818"/>
          <a:ext cx="67541" cy="173182"/>
          <a:chOff x="3165758" y="15657662"/>
          <a:chExt cx="67219" cy="163244"/>
        </a:xfrm>
      </xdr:grpSpPr>
      <xdr:sp macro="" textlink="">
        <xdr:nvSpPr>
          <xdr:cNvPr id="3291258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59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60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230</xdr:row>
      <xdr:rowOff>47625</xdr:rowOff>
    </xdr:from>
    <xdr:to>
      <xdr:col>54</xdr:col>
      <xdr:colOff>28575</xdr:colOff>
      <xdr:row>236</xdr:row>
      <xdr:rowOff>47625</xdr:rowOff>
    </xdr:to>
    <xdr:grpSp>
      <xdr:nvGrpSpPr>
        <xdr:cNvPr id="3288476" name="グループ化 702"/>
        <xdr:cNvGrpSpPr>
          <a:grpSpLocks/>
        </xdr:cNvGrpSpPr>
      </xdr:nvGrpSpPr>
      <xdr:grpSpPr bwMode="auto">
        <a:xfrm>
          <a:off x="3649807" y="20275261"/>
          <a:ext cx="1193223" cy="519546"/>
          <a:chOff x="3634154" y="15404026"/>
          <a:chExt cx="1158481" cy="504350"/>
        </a:xfrm>
      </xdr:grpSpPr>
      <xdr:sp macro="" textlink="">
        <xdr:nvSpPr>
          <xdr:cNvPr id="4579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1254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55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56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583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34</xdr:col>
      <xdr:colOff>19050</xdr:colOff>
      <xdr:row>209</xdr:row>
      <xdr:rowOff>9525</xdr:rowOff>
    </xdr:from>
    <xdr:to>
      <xdr:col>38</xdr:col>
      <xdr:colOff>9525</xdr:colOff>
      <xdr:row>216</xdr:row>
      <xdr:rowOff>19050</xdr:rowOff>
    </xdr:to>
    <xdr:grpSp>
      <xdr:nvGrpSpPr>
        <xdr:cNvPr id="3288477" name="グループ化 3"/>
        <xdr:cNvGrpSpPr>
          <a:grpSpLocks/>
        </xdr:cNvGrpSpPr>
      </xdr:nvGrpSpPr>
      <xdr:grpSpPr bwMode="auto">
        <a:xfrm>
          <a:off x="3101686" y="18418752"/>
          <a:ext cx="336839" cy="615662"/>
          <a:chOff x="4956932" y="1715005"/>
          <a:chExt cx="367492" cy="648892"/>
        </a:xfrm>
      </xdr:grpSpPr>
      <xdr:grpSp>
        <xdr:nvGrpSpPr>
          <xdr:cNvPr id="3291249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1251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1252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4586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30</xdr:col>
      <xdr:colOff>6804</xdr:colOff>
      <xdr:row>220</xdr:row>
      <xdr:rowOff>6804</xdr:rowOff>
    </xdr:from>
    <xdr:to>
      <xdr:col>30</xdr:col>
      <xdr:colOff>81311</xdr:colOff>
      <xdr:row>220</xdr:row>
      <xdr:rowOff>6804</xdr:rowOff>
    </xdr:to>
    <xdr:cxnSp macro="">
      <xdr:nvCxnSpPr>
        <xdr:cNvPr id="4589" name="直線コネクタ 4588"/>
        <xdr:cNvCxnSpPr/>
      </xdr:nvCxnSpPr>
      <xdr:spPr bwMode="auto">
        <a:xfrm>
          <a:off x="2711904" y="27819804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211</xdr:row>
      <xdr:rowOff>57150</xdr:rowOff>
    </xdr:from>
    <xdr:to>
      <xdr:col>60</xdr:col>
      <xdr:colOff>38100</xdr:colOff>
      <xdr:row>213</xdr:row>
      <xdr:rowOff>0</xdr:rowOff>
    </xdr:to>
    <xdr:grpSp>
      <xdr:nvGrpSpPr>
        <xdr:cNvPr id="3288479" name="グループ化 5"/>
        <xdr:cNvGrpSpPr>
          <a:grpSpLocks/>
        </xdr:cNvGrpSpPr>
      </xdr:nvGrpSpPr>
      <xdr:grpSpPr bwMode="auto">
        <a:xfrm>
          <a:off x="4727864" y="18639559"/>
          <a:ext cx="644236" cy="116032"/>
          <a:chOff x="4791075" y="2762250"/>
          <a:chExt cx="714375" cy="142875"/>
        </a:xfrm>
      </xdr:grpSpPr>
      <xdr:sp macro="" textlink="">
        <xdr:nvSpPr>
          <xdr:cNvPr id="3291247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248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69</xdr:col>
      <xdr:colOff>62593</xdr:colOff>
      <xdr:row>240</xdr:row>
      <xdr:rowOff>16600</xdr:rowOff>
    </xdr:from>
    <xdr:ext cx="423193" cy="183384"/>
    <xdr:sp macro="" textlink="">
      <xdr:nvSpPr>
        <xdr:cNvPr id="4859" name="Rectangle 217"/>
        <xdr:cNvSpPr>
          <a:spLocks noChangeArrowheads="1"/>
        </xdr:cNvSpPr>
      </xdr:nvSpPr>
      <xdr:spPr bwMode="auto">
        <a:xfrm>
          <a:off x="6388631" y="21942072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78607</xdr:colOff>
      <xdr:row>259</xdr:row>
      <xdr:rowOff>17109</xdr:rowOff>
    </xdr:from>
    <xdr:to>
      <xdr:col>70</xdr:col>
      <xdr:colOff>67138</xdr:colOff>
      <xdr:row>259</xdr:row>
      <xdr:rowOff>17208</xdr:rowOff>
    </xdr:to>
    <xdr:cxnSp macro="">
      <xdr:nvCxnSpPr>
        <xdr:cNvPr id="4919" name="直線コネクタ 4918"/>
        <xdr:cNvCxnSpPr/>
      </xdr:nvCxnSpPr>
      <xdr:spPr>
        <a:xfrm flipH="1" flipV="1">
          <a:off x="2797201" y="23472422"/>
          <a:ext cx="77828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6046</xdr:colOff>
      <xdr:row>280</xdr:row>
      <xdr:rowOff>87337</xdr:rowOff>
    </xdr:from>
    <xdr:to>
      <xdr:col>70</xdr:col>
      <xdr:colOff>79516</xdr:colOff>
      <xdr:row>280</xdr:row>
      <xdr:rowOff>87337</xdr:rowOff>
    </xdr:to>
    <xdr:cxnSp macro="">
      <xdr:nvCxnSpPr>
        <xdr:cNvPr id="4920" name="直線コネクタ 4919"/>
        <xdr:cNvCxnSpPr/>
      </xdr:nvCxnSpPr>
      <xdr:spPr bwMode="auto">
        <a:xfrm>
          <a:off x="2813937" y="25417884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66675</xdr:colOff>
      <xdr:row>282</xdr:row>
      <xdr:rowOff>0</xdr:rowOff>
    </xdr:from>
    <xdr:to>
      <xdr:col>79</xdr:col>
      <xdr:colOff>47625</xdr:colOff>
      <xdr:row>284</xdr:row>
      <xdr:rowOff>0</xdr:rowOff>
    </xdr:to>
    <xdr:grpSp>
      <xdr:nvGrpSpPr>
        <xdr:cNvPr id="3288486" name="グループ化 700"/>
        <xdr:cNvGrpSpPr>
          <a:grpSpLocks/>
        </xdr:cNvGrpSpPr>
      </xdr:nvGrpSpPr>
      <xdr:grpSpPr bwMode="auto">
        <a:xfrm>
          <a:off x="6959311" y="24782318"/>
          <a:ext cx="67541" cy="173182"/>
          <a:chOff x="3165758" y="15657662"/>
          <a:chExt cx="67219" cy="163244"/>
        </a:xfrm>
      </xdr:grpSpPr>
      <xdr:sp macro="" textlink="">
        <xdr:nvSpPr>
          <xdr:cNvPr id="3291233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34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35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280</xdr:row>
      <xdr:rowOff>0</xdr:rowOff>
    </xdr:from>
    <xdr:to>
      <xdr:col>94</xdr:col>
      <xdr:colOff>28575</xdr:colOff>
      <xdr:row>286</xdr:row>
      <xdr:rowOff>0</xdr:rowOff>
    </xdr:to>
    <xdr:grpSp>
      <xdr:nvGrpSpPr>
        <xdr:cNvPr id="3288487" name="グループ化 702"/>
        <xdr:cNvGrpSpPr>
          <a:grpSpLocks/>
        </xdr:cNvGrpSpPr>
      </xdr:nvGrpSpPr>
      <xdr:grpSpPr bwMode="auto">
        <a:xfrm>
          <a:off x="7113443" y="24609136"/>
          <a:ext cx="1193223" cy="519546"/>
          <a:chOff x="3634154" y="15404026"/>
          <a:chExt cx="1158481" cy="488338"/>
        </a:xfrm>
      </xdr:grpSpPr>
      <xdr:sp macro="" textlink="">
        <xdr:nvSpPr>
          <xdr:cNvPr id="4926" name="Rectangle 218"/>
          <xdr:cNvSpPr>
            <a:spLocks noChangeArrowheads="1"/>
          </xdr:cNvSpPr>
        </xdr:nvSpPr>
        <xdr:spPr bwMode="auto">
          <a:xfrm>
            <a:off x="3979830" y="15648195"/>
            <a:ext cx="373704" cy="2441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1229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30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231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930" name="Rectangle 228"/>
          <xdr:cNvSpPr>
            <a:spLocks noChangeArrowheads="1"/>
          </xdr:cNvSpPr>
        </xdr:nvSpPr>
        <xdr:spPr bwMode="auto">
          <a:xfrm>
            <a:off x="4344191" y="15404026"/>
            <a:ext cx="373704" cy="271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74</xdr:col>
      <xdr:colOff>19050</xdr:colOff>
      <xdr:row>259</xdr:row>
      <xdr:rowOff>9525</xdr:rowOff>
    </xdr:from>
    <xdr:to>
      <xdr:col>78</xdr:col>
      <xdr:colOff>9525</xdr:colOff>
      <xdr:row>266</xdr:row>
      <xdr:rowOff>19050</xdr:rowOff>
    </xdr:to>
    <xdr:grpSp>
      <xdr:nvGrpSpPr>
        <xdr:cNvPr id="3288488" name="グループ化 3"/>
        <xdr:cNvGrpSpPr>
          <a:grpSpLocks/>
        </xdr:cNvGrpSpPr>
      </xdr:nvGrpSpPr>
      <xdr:grpSpPr bwMode="auto">
        <a:xfrm>
          <a:off x="6565323" y="22800252"/>
          <a:ext cx="336838" cy="615662"/>
          <a:chOff x="4956932" y="1715005"/>
          <a:chExt cx="367492" cy="648892"/>
        </a:xfrm>
      </xdr:grpSpPr>
      <xdr:grpSp>
        <xdr:nvGrpSpPr>
          <xdr:cNvPr id="3291224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1226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1227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4933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69</xdr:col>
      <xdr:colOff>38100</xdr:colOff>
      <xdr:row>238</xdr:row>
      <xdr:rowOff>19050</xdr:rowOff>
    </xdr:from>
    <xdr:to>
      <xdr:col>74</xdr:col>
      <xdr:colOff>0</xdr:colOff>
      <xdr:row>239</xdr:row>
      <xdr:rowOff>66675</xdr:rowOff>
    </xdr:to>
    <xdr:grpSp>
      <xdr:nvGrpSpPr>
        <xdr:cNvPr id="3288492" name="Group 350"/>
        <xdr:cNvGrpSpPr>
          <a:grpSpLocks/>
        </xdr:cNvGrpSpPr>
      </xdr:nvGrpSpPr>
      <xdr:grpSpPr bwMode="auto">
        <a:xfrm>
          <a:off x="6151418" y="20991368"/>
          <a:ext cx="394855" cy="134216"/>
          <a:chOff x="340" y="51"/>
          <a:chExt cx="60" cy="20"/>
        </a:xfrm>
        <a:solidFill>
          <a:srgbClr val="00B050"/>
        </a:solidFill>
      </xdr:grpSpPr>
      <xdr:sp macro="" textlink="">
        <xdr:nvSpPr>
          <xdr:cNvPr id="3291215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1216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1217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twoCellAnchor>
    <xdr:from>
      <xdr:col>93</xdr:col>
      <xdr:colOff>0</xdr:colOff>
      <xdr:row>261</xdr:row>
      <xdr:rowOff>57150</xdr:rowOff>
    </xdr:from>
    <xdr:to>
      <xdr:col>100</xdr:col>
      <xdr:colOff>38100</xdr:colOff>
      <xdr:row>263</xdr:row>
      <xdr:rowOff>0</xdr:rowOff>
    </xdr:to>
    <xdr:grpSp>
      <xdr:nvGrpSpPr>
        <xdr:cNvPr id="3288493" name="グループ化 5"/>
        <xdr:cNvGrpSpPr>
          <a:grpSpLocks/>
        </xdr:cNvGrpSpPr>
      </xdr:nvGrpSpPr>
      <xdr:grpSpPr bwMode="auto">
        <a:xfrm>
          <a:off x="8191500" y="23021059"/>
          <a:ext cx="644236" cy="116032"/>
          <a:chOff x="4791075" y="2762250"/>
          <a:chExt cx="714375" cy="142875"/>
        </a:xfrm>
      </xdr:grpSpPr>
      <xdr:sp macro="" textlink="">
        <xdr:nvSpPr>
          <xdr:cNvPr id="3291213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214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6804</xdr:colOff>
      <xdr:row>270</xdr:row>
      <xdr:rowOff>63202</xdr:rowOff>
    </xdr:from>
    <xdr:to>
      <xdr:col>70</xdr:col>
      <xdr:colOff>81311</xdr:colOff>
      <xdr:row>270</xdr:row>
      <xdr:rowOff>63202</xdr:rowOff>
    </xdr:to>
    <xdr:cxnSp macro="">
      <xdr:nvCxnSpPr>
        <xdr:cNvPr id="4953" name="直線コネクタ 4952"/>
        <xdr:cNvCxnSpPr/>
      </xdr:nvCxnSpPr>
      <xdr:spPr bwMode="auto">
        <a:xfrm>
          <a:off x="2814695" y="24500780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6481</xdr:colOff>
      <xdr:row>265</xdr:row>
      <xdr:rowOff>45137</xdr:rowOff>
    </xdr:from>
    <xdr:to>
      <xdr:col>100</xdr:col>
      <xdr:colOff>48998</xdr:colOff>
      <xdr:row>276</xdr:row>
      <xdr:rowOff>50785</xdr:rowOff>
    </xdr:to>
    <xdr:grpSp>
      <xdr:nvGrpSpPr>
        <xdr:cNvPr id="5" name="グループ化 4"/>
        <xdr:cNvGrpSpPr/>
      </xdr:nvGrpSpPr>
      <xdr:grpSpPr>
        <a:xfrm>
          <a:off x="6639345" y="23355410"/>
          <a:ext cx="2207289" cy="958148"/>
          <a:chOff x="6715125" y="23127890"/>
          <a:chExt cx="2181721" cy="948623"/>
        </a:xfrm>
      </xdr:grpSpPr>
      <xdr:sp macro="" textlink="">
        <xdr:nvSpPr>
          <xdr:cNvPr id="4976" name="Rectangle 218"/>
          <xdr:cNvSpPr>
            <a:spLocks noChangeArrowheads="1"/>
          </xdr:cNvSpPr>
        </xdr:nvSpPr>
        <xdr:spPr bwMode="auto">
          <a:xfrm>
            <a:off x="6728165" y="23819337"/>
            <a:ext cx="718609" cy="2571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grpSp>
        <xdr:nvGrpSpPr>
          <xdr:cNvPr id="4" name="グループ化 3"/>
          <xdr:cNvGrpSpPr/>
        </xdr:nvGrpSpPr>
        <xdr:grpSpPr>
          <a:xfrm>
            <a:off x="6715125" y="23127890"/>
            <a:ext cx="2181721" cy="898613"/>
            <a:chOff x="6715125" y="23127890"/>
            <a:chExt cx="2181721" cy="898613"/>
          </a:xfrm>
        </xdr:grpSpPr>
        <xdr:sp macro="" textlink="">
          <xdr:nvSpPr>
            <xdr:cNvPr id="4952" name="Rectangle 218"/>
            <xdr:cNvSpPr>
              <a:spLocks noChangeArrowheads="1"/>
            </xdr:cNvSpPr>
          </xdr:nvSpPr>
          <xdr:spPr bwMode="auto">
            <a:xfrm>
              <a:off x="7556102" y="23127890"/>
              <a:ext cx="722181" cy="2571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2175</a:t>
              </a:r>
              <a:endPara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grpSp>
          <xdr:nvGrpSpPr>
            <xdr:cNvPr id="3288496" name="グループ化 2528"/>
            <xdr:cNvGrpSpPr>
              <a:grpSpLocks/>
            </xdr:cNvGrpSpPr>
          </xdr:nvGrpSpPr>
          <xdr:grpSpPr bwMode="auto">
            <a:xfrm>
              <a:off x="6715125" y="23307675"/>
              <a:ext cx="2076450" cy="657225"/>
              <a:chOff x="13451336" y="18108261"/>
              <a:chExt cx="2108441" cy="662519"/>
            </a:xfrm>
          </xdr:grpSpPr>
          <xdr:grpSp>
            <xdr:nvGrpSpPr>
              <xdr:cNvPr id="3291195" name="グループ化 31"/>
              <xdr:cNvGrpSpPr>
                <a:grpSpLocks/>
              </xdr:cNvGrpSpPr>
            </xdr:nvGrpSpPr>
            <xdr:grpSpPr bwMode="auto">
              <a:xfrm>
                <a:off x="13996659" y="18108261"/>
                <a:ext cx="1563118" cy="494348"/>
                <a:chOff x="2929735" y="2363715"/>
                <a:chExt cx="1961566" cy="694960"/>
              </a:xfrm>
            </xdr:grpSpPr>
            <xdr:cxnSp macro="">
              <xdr:nvCxnSpPr>
                <xdr:cNvPr id="3291198" name="直線コネクタ 4"/>
                <xdr:cNvCxnSpPr>
                  <a:cxnSpLocks noChangeShapeType="1"/>
                </xdr:cNvCxnSpPr>
              </xdr:nvCxnSpPr>
              <xdr:spPr bwMode="auto">
                <a:xfrm>
                  <a:off x="2929735" y="2546902"/>
                  <a:ext cx="1742691" cy="0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199" name="直線コネクタ 5"/>
                <xdr:cNvCxnSpPr>
                  <a:cxnSpLocks noChangeShapeType="1"/>
                </xdr:cNvCxnSpPr>
              </xdr:nvCxnSpPr>
              <xdr:spPr bwMode="auto">
                <a:xfrm>
                  <a:off x="2929736" y="2999201"/>
                  <a:ext cx="1752216" cy="0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0" name="直線コネクタ 6"/>
                <xdr:cNvCxnSpPr>
                  <a:cxnSpLocks noChangeShapeType="1"/>
                </xdr:cNvCxnSpPr>
              </xdr:nvCxnSpPr>
              <xdr:spPr bwMode="auto">
                <a:xfrm>
                  <a:off x="4724105" y="2548488"/>
                  <a:ext cx="164638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1" name="直線コネクタ 8"/>
                <xdr:cNvCxnSpPr>
                  <a:cxnSpLocks noChangeShapeType="1"/>
                </xdr:cNvCxnSpPr>
              </xdr:nvCxnSpPr>
              <xdr:spPr bwMode="auto">
                <a:xfrm>
                  <a:off x="4726663" y="2998142"/>
                  <a:ext cx="164638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2" name="直線コネクタ 9"/>
                <xdr:cNvCxnSpPr>
                  <a:cxnSpLocks noChangeShapeType="1"/>
                </xdr:cNvCxnSpPr>
              </xdr:nvCxnSpPr>
              <xdr:spPr bwMode="auto">
                <a:xfrm>
                  <a:off x="4884120" y="2557069"/>
                  <a:ext cx="0" cy="43645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3" name="直線コネクタ 18"/>
                <xdr:cNvCxnSpPr>
                  <a:cxnSpLocks noChangeShapeType="1"/>
                </xdr:cNvCxnSpPr>
              </xdr:nvCxnSpPr>
              <xdr:spPr bwMode="auto">
                <a:xfrm>
                  <a:off x="3911802" y="2504661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4" name="直線コネクタ 19"/>
                <xdr:cNvCxnSpPr>
                  <a:cxnSpLocks noChangeShapeType="1"/>
                </xdr:cNvCxnSpPr>
              </xdr:nvCxnSpPr>
              <xdr:spPr bwMode="auto">
                <a:xfrm>
                  <a:off x="3987019" y="2500519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5" name="直線コネクタ 20"/>
                <xdr:cNvCxnSpPr>
                  <a:cxnSpLocks noChangeShapeType="1"/>
                </xdr:cNvCxnSpPr>
              </xdr:nvCxnSpPr>
              <xdr:spPr bwMode="auto">
                <a:xfrm>
                  <a:off x="4066999" y="2499691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6" name="直線コネクタ 21"/>
                <xdr:cNvCxnSpPr>
                  <a:cxnSpLocks noChangeShapeType="1"/>
                </xdr:cNvCxnSpPr>
              </xdr:nvCxnSpPr>
              <xdr:spPr bwMode="auto">
                <a:xfrm>
                  <a:off x="4142216" y="2503833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7" name="直線コネクタ 22"/>
                <xdr:cNvCxnSpPr>
                  <a:cxnSpLocks noChangeShapeType="1"/>
                </xdr:cNvCxnSpPr>
              </xdr:nvCxnSpPr>
              <xdr:spPr bwMode="auto">
                <a:xfrm>
                  <a:off x="4215375" y="2503004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8" name="直線コネクタ 23"/>
                <xdr:cNvCxnSpPr>
                  <a:cxnSpLocks noChangeShapeType="1"/>
                </xdr:cNvCxnSpPr>
              </xdr:nvCxnSpPr>
              <xdr:spPr bwMode="auto">
                <a:xfrm>
                  <a:off x="4293502" y="2503004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09" name="直線コネクタ 24"/>
                <xdr:cNvCxnSpPr>
                  <a:cxnSpLocks noChangeShapeType="1"/>
                </xdr:cNvCxnSpPr>
              </xdr:nvCxnSpPr>
              <xdr:spPr bwMode="auto">
                <a:xfrm>
                  <a:off x="4359836" y="2502175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10" name="直線コネクタ 25"/>
                <xdr:cNvCxnSpPr>
                  <a:cxnSpLocks noChangeShapeType="1"/>
                </xdr:cNvCxnSpPr>
              </xdr:nvCxnSpPr>
              <xdr:spPr bwMode="auto">
                <a:xfrm>
                  <a:off x="2929736" y="2420917"/>
                  <a:ext cx="1733846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11" name="直線コネクタ 26"/>
                <xdr:cNvCxnSpPr>
                  <a:cxnSpLocks noChangeShapeType="1"/>
                </xdr:cNvCxnSpPr>
              </xdr:nvCxnSpPr>
              <xdr:spPr bwMode="auto">
                <a:xfrm>
                  <a:off x="2931661" y="2363715"/>
                  <a:ext cx="0" cy="11370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91212" name="直線コネクタ 29"/>
                <xdr:cNvCxnSpPr>
                  <a:cxnSpLocks noChangeShapeType="1"/>
                </xdr:cNvCxnSpPr>
              </xdr:nvCxnSpPr>
              <xdr:spPr bwMode="auto">
                <a:xfrm>
                  <a:off x="4657970" y="2363715"/>
                  <a:ext cx="0" cy="11370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</xdr:grpSp>
          <xdr:cxnSp macro="">
            <xdr:nvCxnSpPr>
              <xdr:cNvPr id="3291196" name="直線コネクタ 4"/>
              <xdr:cNvCxnSpPr>
                <a:cxnSpLocks noChangeShapeType="1"/>
              </xdr:cNvCxnSpPr>
            </xdr:nvCxnSpPr>
            <xdr:spPr bwMode="auto">
              <a:xfrm flipV="1">
                <a:off x="13451336" y="18242775"/>
                <a:ext cx="552807" cy="212008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291197" name="直線コネクタ 4"/>
              <xdr:cNvCxnSpPr>
                <a:cxnSpLocks noChangeShapeType="1"/>
              </xdr:cNvCxnSpPr>
            </xdr:nvCxnSpPr>
            <xdr:spPr bwMode="auto">
              <a:xfrm flipV="1">
                <a:off x="13454681" y="18558772"/>
                <a:ext cx="552807" cy="212008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  <xdr:sp macro="" textlink="">
          <xdr:nvSpPr>
            <xdr:cNvPr id="4974" name="Rectangle 218"/>
            <xdr:cNvSpPr>
              <a:spLocks noChangeArrowheads="1"/>
            </xdr:cNvSpPr>
          </xdr:nvSpPr>
          <xdr:spPr bwMode="auto">
            <a:xfrm>
              <a:off x="8174558" y="23725623"/>
              <a:ext cx="722288" cy="2571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975" name="Rectangle 218"/>
            <xdr:cNvSpPr>
              <a:spLocks noChangeArrowheads="1"/>
            </xdr:cNvSpPr>
          </xdr:nvSpPr>
          <xdr:spPr bwMode="auto">
            <a:xfrm>
              <a:off x="7120552" y="23757730"/>
              <a:ext cx="714269" cy="2571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cxnSp macro="">
          <xdr:nvCxnSpPr>
            <xdr:cNvPr id="3288500" name="直線コネクタ 16"/>
            <xdr:cNvCxnSpPr>
              <a:cxnSpLocks noChangeShapeType="1"/>
            </xdr:cNvCxnSpPr>
          </xdr:nvCxnSpPr>
          <xdr:spPr bwMode="auto">
            <a:xfrm>
              <a:off x="7277100" y="23402925"/>
              <a:ext cx="0" cy="390525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8501" name="直線コネクタ 18"/>
            <xdr:cNvCxnSpPr>
              <a:cxnSpLocks noChangeShapeType="1"/>
            </xdr:cNvCxnSpPr>
          </xdr:nvCxnSpPr>
          <xdr:spPr bwMode="auto">
            <a:xfrm>
              <a:off x="7334250" y="23402925"/>
              <a:ext cx="0" cy="390525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8502" name="直線コネクタ 19"/>
            <xdr:cNvCxnSpPr>
              <a:cxnSpLocks noChangeShapeType="1"/>
            </xdr:cNvCxnSpPr>
          </xdr:nvCxnSpPr>
          <xdr:spPr bwMode="auto">
            <a:xfrm>
              <a:off x="7391400" y="23402925"/>
              <a:ext cx="0" cy="390525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8503" name="直線コネクタ 20"/>
            <xdr:cNvCxnSpPr>
              <a:cxnSpLocks noChangeShapeType="1"/>
            </xdr:cNvCxnSpPr>
          </xdr:nvCxnSpPr>
          <xdr:spPr bwMode="auto">
            <a:xfrm>
              <a:off x="7448550" y="23402925"/>
              <a:ext cx="0" cy="390525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8504" name="直線コネクタ 21"/>
            <xdr:cNvCxnSpPr>
              <a:cxnSpLocks noChangeShapeType="1"/>
            </xdr:cNvCxnSpPr>
          </xdr:nvCxnSpPr>
          <xdr:spPr bwMode="auto">
            <a:xfrm>
              <a:off x="7515225" y="23402925"/>
              <a:ext cx="0" cy="390525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8505" name="直線コネクタ 22"/>
            <xdr:cNvCxnSpPr>
              <a:cxnSpLocks noChangeShapeType="1"/>
            </xdr:cNvCxnSpPr>
          </xdr:nvCxnSpPr>
          <xdr:spPr bwMode="auto">
            <a:xfrm>
              <a:off x="7572375" y="23402925"/>
              <a:ext cx="0" cy="390525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8506" name="直線コネクタ 23"/>
            <xdr:cNvCxnSpPr>
              <a:cxnSpLocks noChangeShapeType="1"/>
            </xdr:cNvCxnSpPr>
          </xdr:nvCxnSpPr>
          <xdr:spPr bwMode="auto">
            <a:xfrm>
              <a:off x="7629525" y="23402925"/>
              <a:ext cx="0" cy="390525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4985" name="Rectangle 218"/>
            <xdr:cNvSpPr>
              <a:spLocks noChangeArrowheads="1"/>
            </xdr:cNvSpPr>
          </xdr:nvSpPr>
          <xdr:spPr bwMode="auto">
            <a:xfrm>
              <a:off x="7833709" y="23769328"/>
              <a:ext cx="712520" cy="2571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986" name="Rectangle 218"/>
            <xdr:cNvSpPr>
              <a:spLocks noChangeArrowheads="1"/>
            </xdr:cNvSpPr>
          </xdr:nvSpPr>
          <xdr:spPr bwMode="auto">
            <a:xfrm>
              <a:off x="7475273" y="23738894"/>
              <a:ext cx="722288" cy="2571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</xdr:grpSp>
    <xdr:clientData/>
  </xdr:twoCellAnchor>
  <xdr:twoCellAnchor>
    <xdr:from>
      <xdr:col>29</xdr:col>
      <xdr:colOff>38100</xdr:colOff>
      <xdr:row>238</xdr:row>
      <xdr:rowOff>19050</xdr:rowOff>
    </xdr:from>
    <xdr:to>
      <xdr:col>34</xdr:col>
      <xdr:colOff>0</xdr:colOff>
      <xdr:row>239</xdr:row>
      <xdr:rowOff>66675</xdr:rowOff>
    </xdr:to>
    <xdr:grpSp>
      <xdr:nvGrpSpPr>
        <xdr:cNvPr id="3288509" name="Group 350"/>
        <xdr:cNvGrpSpPr>
          <a:grpSpLocks/>
        </xdr:cNvGrpSpPr>
      </xdr:nvGrpSpPr>
      <xdr:grpSpPr bwMode="auto">
        <a:xfrm>
          <a:off x="2687782" y="20991368"/>
          <a:ext cx="394854" cy="134216"/>
          <a:chOff x="340" y="51"/>
          <a:chExt cx="60" cy="20"/>
        </a:xfrm>
        <a:solidFill>
          <a:srgbClr val="7030A0"/>
        </a:solidFill>
      </xdr:grpSpPr>
      <xdr:sp macro="" textlink="">
        <xdr:nvSpPr>
          <xdr:cNvPr id="3291192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1193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1194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oneCellAnchor>
    <xdr:from>
      <xdr:col>29</xdr:col>
      <xdr:colOff>62593</xdr:colOff>
      <xdr:row>240</xdr:row>
      <xdr:rowOff>16600</xdr:rowOff>
    </xdr:from>
    <xdr:ext cx="423193" cy="183384"/>
    <xdr:sp macro="" textlink="">
      <xdr:nvSpPr>
        <xdr:cNvPr id="4991" name="Rectangle 217"/>
        <xdr:cNvSpPr>
          <a:spLocks noChangeArrowheads="1"/>
        </xdr:cNvSpPr>
      </xdr:nvSpPr>
      <xdr:spPr bwMode="auto">
        <a:xfrm>
          <a:off x="2681968" y="2097160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38</xdr:col>
      <xdr:colOff>66675</xdr:colOff>
      <xdr:row>282</xdr:row>
      <xdr:rowOff>0</xdr:rowOff>
    </xdr:from>
    <xdr:to>
      <xdr:col>39</xdr:col>
      <xdr:colOff>47625</xdr:colOff>
      <xdr:row>284</xdr:row>
      <xdr:rowOff>0</xdr:rowOff>
    </xdr:to>
    <xdr:grpSp>
      <xdr:nvGrpSpPr>
        <xdr:cNvPr id="3288515" name="グループ化 700"/>
        <xdr:cNvGrpSpPr>
          <a:grpSpLocks/>
        </xdr:cNvGrpSpPr>
      </xdr:nvGrpSpPr>
      <xdr:grpSpPr bwMode="auto">
        <a:xfrm>
          <a:off x="3495675" y="24782318"/>
          <a:ext cx="67541" cy="173182"/>
          <a:chOff x="3165758" y="15657662"/>
          <a:chExt cx="67219" cy="163244"/>
        </a:xfrm>
      </xdr:grpSpPr>
      <xdr:sp macro="" textlink="">
        <xdr:nvSpPr>
          <xdr:cNvPr id="3291183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184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185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280</xdr:row>
      <xdr:rowOff>0</xdr:rowOff>
    </xdr:from>
    <xdr:to>
      <xdr:col>54</xdr:col>
      <xdr:colOff>28575</xdr:colOff>
      <xdr:row>286</xdr:row>
      <xdr:rowOff>0</xdr:rowOff>
    </xdr:to>
    <xdr:grpSp>
      <xdr:nvGrpSpPr>
        <xdr:cNvPr id="3288516" name="グループ化 702"/>
        <xdr:cNvGrpSpPr>
          <a:grpSpLocks/>
        </xdr:cNvGrpSpPr>
      </xdr:nvGrpSpPr>
      <xdr:grpSpPr bwMode="auto">
        <a:xfrm>
          <a:off x="3649807" y="24609136"/>
          <a:ext cx="1193223" cy="519546"/>
          <a:chOff x="3634154" y="15404026"/>
          <a:chExt cx="1158481" cy="488338"/>
        </a:xfrm>
      </xdr:grpSpPr>
      <xdr:sp macro="" textlink="">
        <xdr:nvSpPr>
          <xdr:cNvPr id="5066" name="Rectangle 218"/>
          <xdr:cNvSpPr>
            <a:spLocks noChangeArrowheads="1"/>
          </xdr:cNvSpPr>
        </xdr:nvSpPr>
        <xdr:spPr bwMode="auto">
          <a:xfrm>
            <a:off x="3979830" y="15648195"/>
            <a:ext cx="373704" cy="2441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1179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180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181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070" name="Rectangle 228"/>
          <xdr:cNvSpPr>
            <a:spLocks noChangeArrowheads="1"/>
          </xdr:cNvSpPr>
        </xdr:nvSpPr>
        <xdr:spPr bwMode="auto">
          <a:xfrm>
            <a:off x="4344191" y="15404026"/>
            <a:ext cx="373704" cy="271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34</xdr:col>
      <xdr:colOff>19050</xdr:colOff>
      <xdr:row>259</xdr:row>
      <xdr:rowOff>9525</xdr:rowOff>
    </xdr:from>
    <xdr:to>
      <xdr:col>38</xdr:col>
      <xdr:colOff>9525</xdr:colOff>
      <xdr:row>266</xdr:row>
      <xdr:rowOff>19050</xdr:rowOff>
    </xdr:to>
    <xdr:grpSp>
      <xdr:nvGrpSpPr>
        <xdr:cNvPr id="3288517" name="グループ化 3"/>
        <xdr:cNvGrpSpPr>
          <a:grpSpLocks/>
        </xdr:cNvGrpSpPr>
      </xdr:nvGrpSpPr>
      <xdr:grpSpPr bwMode="auto">
        <a:xfrm>
          <a:off x="3101686" y="22800252"/>
          <a:ext cx="336839" cy="615662"/>
          <a:chOff x="4956932" y="1715005"/>
          <a:chExt cx="367492" cy="648892"/>
        </a:xfrm>
      </xdr:grpSpPr>
      <xdr:grpSp>
        <xdr:nvGrpSpPr>
          <xdr:cNvPr id="3291174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1176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1177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5073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53</xdr:col>
      <xdr:colOff>0</xdr:colOff>
      <xdr:row>261</xdr:row>
      <xdr:rowOff>57150</xdr:rowOff>
    </xdr:from>
    <xdr:to>
      <xdr:col>60</xdr:col>
      <xdr:colOff>38100</xdr:colOff>
      <xdr:row>263</xdr:row>
      <xdr:rowOff>0</xdr:rowOff>
    </xdr:to>
    <xdr:grpSp>
      <xdr:nvGrpSpPr>
        <xdr:cNvPr id="3288518" name="グループ化 5"/>
        <xdr:cNvGrpSpPr>
          <a:grpSpLocks/>
        </xdr:cNvGrpSpPr>
      </xdr:nvGrpSpPr>
      <xdr:grpSpPr bwMode="auto">
        <a:xfrm>
          <a:off x="4727864" y="23021059"/>
          <a:ext cx="644236" cy="116032"/>
          <a:chOff x="4791075" y="2762250"/>
          <a:chExt cx="714375" cy="142875"/>
        </a:xfrm>
      </xdr:grpSpPr>
      <xdr:sp macro="" textlink="">
        <xdr:nvSpPr>
          <xdr:cNvPr id="3291172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1173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9524</xdr:colOff>
      <xdr:row>265</xdr:row>
      <xdr:rowOff>76200</xdr:rowOff>
    </xdr:from>
    <xdr:to>
      <xdr:col>61</xdr:col>
      <xdr:colOff>38099</xdr:colOff>
      <xdr:row>276</xdr:row>
      <xdr:rowOff>28575</xdr:rowOff>
    </xdr:to>
    <xdr:grpSp>
      <xdr:nvGrpSpPr>
        <xdr:cNvPr id="3288520" name="グループ化 1"/>
        <xdr:cNvGrpSpPr>
          <a:grpSpLocks/>
        </xdr:cNvGrpSpPr>
      </xdr:nvGrpSpPr>
      <xdr:grpSpPr bwMode="auto">
        <a:xfrm>
          <a:off x="3005569" y="23386473"/>
          <a:ext cx="2453121" cy="904875"/>
          <a:chOff x="2952393" y="35772612"/>
          <a:chExt cx="2413206" cy="885220"/>
        </a:xfrm>
      </xdr:grpSpPr>
      <xdr:grpSp>
        <xdr:nvGrpSpPr>
          <xdr:cNvPr id="3291142" name="グループ化 31"/>
          <xdr:cNvGrpSpPr>
            <a:grpSpLocks/>
          </xdr:cNvGrpSpPr>
        </xdr:nvGrpSpPr>
        <xdr:grpSpPr bwMode="auto">
          <a:xfrm>
            <a:off x="3122159" y="35948371"/>
            <a:ext cx="2192791" cy="482373"/>
            <a:chOff x="2070308" y="2363715"/>
            <a:chExt cx="2820993" cy="695788"/>
          </a:xfrm>
        </xdr:grpSpPr>
        <xdr:cxnSp macro="">
          <xdr:nvCxnSpPr>
            <xdr:cNvPr id="3291157" name="直線コネクタ 4"/>
            <xdr:cNvCxnSpPr>
              <a:cxnSpLocks noChangeShapeType="1"/>
            </xdr:cNvCxnSpPr>
          </xdr:nvCxnSpPr>
          <xdr:spPr bwMode="auto">
            <a:xfrm>
              <a:off x="2070308" y="2546902"/>
              <a:ext cx="2602119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58" name="直線コネクタ 5"/>
            <xdr:cNvCxnSpPr>
              <a:cxnSpLocks noChangeShapeType="1"/>
            </xdr:cNvCxnSpPr>
          </xdr:nvCxnSpPr>
          <xdr:spPr bwMode="auto">
            <a:xfrm>
              <a:off x="2079833" y="2999201"/>
              <a:ext cx="2602119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59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0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1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2" name="直線コネクタ 16"/>
            <xdr:cNvCxnSpPr>
              <a:cxnSpLocks noChangeShapeType="1"/>
            </xdr:cNvCxnSpPr>
          </xdr:nvCxnSpPr>
          <xdr:spPr bwMode="auto">
            <a:xfrm>
              <a:off x="2584807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3" name="直線コネクタ 18"/>
            <xdr:cNvCxnSpPr>
              <a:cxnSpLocks noChangeShapeType="1"/>
            </xdr:cNvCxnSpPr>
          </xdr:nvCxnSpPr>
          <xdr:spPr bwMode="auto">
            <a:xfrm>
              <a:off x="2672267" y="250466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4" name="直線コネクタ 19"/>
            <xdr:cNvCxnSpPr>
              <a:cxnSpLocks noChangeShapeType="1"/>
            </xdr:cNvCxnSpPr>
          </xdr:nvCxnSpPr>
          <xdr:spPr bwMode="auto">
            <a:xfrm>
              <a:off x="2766371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5" name="直線コネクタ 20"/>
            <xdr:cNvCxnSpPr>
              <a:cxnSpLocks noChangeShapeType="1"/>
            </xdr:cNvCxnSpPr>
          </xdr:nvCxnSpPr>
          <xdr:spPr bwMode="auto">
            <a:xfrm>
              <a:off x="2847753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6" name="直線コネクタ 21"/>
            <xdr:cNvCxnSpPr>
              <a:cxnSpLocks noChangeShapeType="1"/>
            </xdr:cNvCxnSpPr>
          </xdr:nvCxnSpPr>
          <xdr:spPr bwMode="auto">
            <a:xfrm>
              <a:off x="2935778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7" name="直線コネクタ 22"/>
            <xdr:cNvCxnSpPr>
              <a:cxnSpLocks noChangeShapeType="1"/>
            </xdr:cNvCxnSpPr>
          </xdr:nvCxnSpPr>
          <xdr:spPr bwMode="auto">
            <a:xfrm>
              <a:off x="3011081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8" name="直線コネクタ 23"/>
            <xdr:cNvCxnSpPr>
              <a:cxnSpLocks noChangeShapeType="1"/>
            </xdr:cNvCxnSpPr>
          </xdr:nvCxnSpPr>
          <xdr:spPr bwMode="auto">
            <a:xfrm>
              <a:off x="3103509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69" name="直線コネクタ 25"/>
            <xdr:cNvCxnSpPr>
              <a:cxnSpLocks noChangeShapeType="1"/>
            </xdr:cNvCxnSpPr>
          </xdr:nvCxnSpPr>
          <xdr:spPr bwMode="auto">
            <a:xfrm>
              <a:off x="2072378" y="2420918"/>
              <a:ext cx="2591204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70" name="直線コネクタ 26"/>
            <xdr:cNvCxnSpPr>
              <a:cxnSpLocks noChangeShapeType="1"/>
            </xdr:cNvCxnSpPr>
          </xdr:nvCxnSpPr>
          <xdr:spPr bwMode="auto">
            <a:xfrm>
              <a:off x="2078529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1171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sp macro="" textlink="">
        <xdr:nvSpPr>
          <xdr:cNvPr id="5082" name="Rectangle 218"/>
          <xdr:cNvSpPr>
            <a:spLocks noChangeArrowheads="1"/>
          </xdr:cNvSpPr>
        </xdr:nvSpPr>
        <xdr:spPr bwMode="auto">
          <a:xfrm>
            <a:off x="3823040" y="35772612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3550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083" name="Rectangle 218"/>
          <xdr:cNvSpPr>
            <a:spLocks noChangeArrowheads="1"/>
          </xdr:cNvSpPr>
        </xdr:nvSpPr>
        <xdr:spPr bwMode="auto">
          <a:xfrm>
            <a:off x="2952393" y="36356481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084" name="Rectangle 218"/>
          <xdr:cNvSpPr>
            <a:spLocks noChangeArrowheads="1"/>
          </xdr:cNvSpPr>
        </xdr:nvSpPr>
        <xdr:spPr bwMode="auto">
          <a:xfrm>
            <a:off x="4655833" y="36356481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085" name="Rectangle 218"/>
          <xdr:cNvSpPr>
            <a:spLocks noChangeArrowheads="1"/>
          </xdr:cNvSpPr>
        </xdr:nvSpPr>
        <xdr:spPr bwMode="auto">
          <a:xfrm>
            <a:off x="3359326" y="36394149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D10@100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3291148" name="直線コネクタ 18"/>
          <xdr:cNvCxnSpPr>
            <a:cxnSpLocks noChangeShapeType="1"/>
          </xdr:cNvCxnSpPr>
        </xdr:nvCxnSpPr>
        <xdr:spPr bwMode="auto">
          <a:xfrm>
            <a:off x="4397829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149" name="直線コネクタ 19"/>
          <xdr:cNvCxnSpPr>
            <a:cxnSpLocks noChangeShapeType="1"/>
          </xdr:cNvCxnSpPr>
        </xdr:nvCxnSpPr>
        <xdr:spPr bwMode="auto">
          <a:xfrm>
            <a:off x="4474029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150" name="直線コネクタ 20"/>
          <xdr:cNvCxnSpPr>
            <a:cxnSpLocks noChangeShapeType="1"/>
          </xdr:cNvCxnSpPr>
        </xdr:nvCxnSpPr>
        <xdr:spPr bwMode="auto">
          <a:xfrm>
            <a:off x="4540023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151" name="直線コネクタ 21"/>
          <xdr:cNvCxnSpPr>
            <a:cxnSpLocks noChangeShapeType="1"/>
          </xdr:cNvCxnSpPr>
        </xdr:nvCxnSpPr>
        <xdr:spPr bwMode="auto">
          <a:xfrm>
            <a:off x="4606018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152" name="直線コネクタ 22"/>
          <xdr:cNvCxnSpPr>
            <a:cxnSpLocks noChangeShapeType="1"/>
          </xdr:cNvCxnSpPr>
        </xdr:nvCxnSpPr>
        <xdr:spPr bwMode="auto">
          <a:xfrm>
            <a:off x="4662488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153" name="直線コネクタ 23"/>
          <xdr:cNvCxnSpPr>
            <a:cxnSpLocks noChangeShapeType="1"/>
          </xdr:cNvCxnSpPr>
        </xdr:nvCxnSpPr>
        <xdr:spPr bwMode="auto">
          <a:xfrm>
            <a:off x="4738007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1154" name="直線コネクタ 24"/>
          <xdr:cNvCxnSpPr>
            <a:cxnSpLocks noChangeShapeType="1"/>
          </xdr:cNvCxnSpPr>
        </xdr:nvCxnSpPr>
        <xdr:spPr bwMode="auto">
          <a:xfrm>
            <a:off x="4804682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5095" name="Rectangle 218"/>
          <xdr:cNvSpPr>
            <a:spLocks noChangeArrowheads="1"/>
          </xdr:cNvSpPr>
        </xdr:nvSpPr>
        <xdr:spPr bwMode="auto">
          <a:xfrm>
            <a:off x="4239436" y="36403567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D10@100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096" name="Rectangle 218"/>
          <xdr:cNvSpPr>
            <a:spLocks noChangeArrowheads="1"/>
          </xdr:cNvSpPr>
        </xdr:nvSpPr>
        <xdr:spPr bwMode="auto">
          <a:xfrm>
            <a:off x="3804113" y="36356481"/>
            <a:ext cx="719230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oneCellAnchor>
    <xdr:from>
      <xdr:col>69</xdr:col>
      <xdr:colOff>62593</xdr:colOff>
      <xdr:row>190</xdr:row>
      <xdr:rowOff>16600</xdr:rowOff>
    </xdr:from>
    <xdr:ext cx="423193" cy="183384"/>
    <xdr:sp macro="" textlink="">
      <xdr:nvSpPr>
        <xdr:cNvPr id="5113" name="Rectangle 217"/>
        <xdr:cNvSpPr>
          <a:spLocks noChangeArrowheads="1"/>
        </xdr:cNvSpPr>
      </xdr:nvSpPr>
      <xdr:spPr bwMode="auto">
        <a:xfrm>
          <a:off x="6110968" y="16637725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188</xdr:row>
      <xdr:rowOff>19050</xdr:rowOff>
    </xdr:from>
    <xdr:to>
      <xdr:col>74</xdr:col>
      <xdr:colOff>0</xdr:colOff>
      <xdr:row>189</xdr:row>
      <xdr:rowOff>66675</xdr:rowOff>
    </xdr:to>
    <xdr:grpSp>
      <xdr:nvGrpSpPr>
        <xdr:cNvPr id="3288522" name="Group 350"/>
        <xdr:cNvGrpSpPr>
          <a:grpSpLocks/>
        </xdr:cNvGrpSpPr>
      </xdr:nvGrpSpPr>
      <xdr:grpSpPr bwMode="auto">
        <a:xfrm>
          <a:off x="6151418" y="16609868"/>
          <a:ext cx="394855" cy="134216"/>
          <a:chOff x="340" y="51"/>
          <a:chExt cx="60" cy="20"/>
        </a:xfrm>
        <a:solidFill>
          <a:srgbClr val="7030A0"/>
        </a:solidFill>
      </xdr:grpSpPr>
      <xdr:sp macro="" textlink="">
        <xdr:nvSpPr>
          <xdr:cNvPr id="3273328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291140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1141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twoCellAnchor>
    <xdr:from>
      <xdr:col>70</xdr:col>
      <xdr:colOff>19384</xdr:colOff>
      <xdr:row>200</xdr:row>
      <xdr:rowOff>3038</xdr:rowOff>
    </xdr:from>
    <xdr:to>
      <xdr:col>71</xdr:col>
      <xdr:colOff>3354</xdr:colOff>
      <xdr:row>200</xdr:row>
      <xdr:rowOff>3038</xdr:rowOff>
    </xdr:to>
    <xdr:cxnSp macro="">
      <xdr:nvCxnSpPr>
        <xdr:cNvPr id="5145" name="直線コネクタ 5144"/>
        <xdr:cNvCxnSpPr/>
      </xdr:nvCxnSpPr>
      <xdr:spPr bwMode="auto">
        <a:xfrm>
          <a:off x="6399150" y="13645616"/>
          <a:ext cx="73267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78607</xdr:colOff>
      <xdr:row>209</xdr:row>
      <xdr:rowOff>17109</xdr:rowOff>
    </xdr:from>
    <xdr:to>
      <xdr:col>70</xdr:col>
      <xdr:colOff>67138</xdr:colOff>
      <xdr:row>209</xdr:row>
      <xdr:rowOff>17208</xdr:rowOff>
    </xdr:to>
    <xdr:cxnSp macro="">
      <xdr:nvCxnSpPr>
        <xdr:cNvPr id="5146" name="直線コネクタ 5145"/>
        <xdr:cNvCxnSpPr/>
      </xdr:nvCxnSpPr>
      <xdr:spPr>
        <a:xfrm flipH="1" flipV="1">
          <a:off x="6369076" y="14463359"/>
          <a:ext cx="77828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6046</xdr:colOff>
      <xdr:row>230</xdr:row>
      <xdr:rowOff>87337</xdr:rowOff>
    </xdr:from>
    <xdr:to>
      <xdr:col>70</xdr:col>
      <xdr:colOff>79516</xdr:colOff>
      <xdr:row>230</xdr:row>
      <xdr:rowOff>87337</xdr:rowOff>
    </xdr:to>
    <xdr:cxnSp macro="">
      <xdr:nvCxnSpPr>
        <xdr:cNvPr id="5147" name="直線コネクタ 5146"/>
        <xdr:cNvCxnSpPr/>
      </xdr:nvCxnSpPr>
      <xdr:spPr bwMode="auto">
        <a:xfrm>
          <a:off x="6385812" y="16408821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66675</xdr:colOff>
      <xdr:row>232</xdr:row>
      <xdr:rowOff>0</xdr:rowOff>
    </xdr:from>
    <xdr:to>
      <xdr:col>79</xdr:col>
      <xdr:colOff>47625</xdr:colOff>
      <xdr:row>234</xdr:row>
      <xdr:rowOff>0</xdr:rowOff>
    </xdr:to>
    <xdr:grpSp>
      <xdr:nvGrpSpPr>
        <xdr:cNvPr id="3288527" name="グループ化 700"/>
        <xdr:cNvGrpSpPr>
          <a:grpSpLocks/>
        </xdr:cNvGrpSpPr>
      </xdr:nvGrpSpPr>
      <xdr:grpSpPr bwMode="auto">
        <a:xfrm>
          <a:off x="6959311" y="20400818"/>
          <a:ext cx="67541" cy="173182"/>
          <a:chOff x="3165758" y="15657662"/>
          <a:chExt cx="67219" cy="163244"/>
        </a:xfrm>
      </xdr:grpSpPr>
      <xdr:sp macro="" textlink="">
        <xdr:nvSpPr>
          <xdr:cNvPr id="3291133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134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1135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86</xdr:col>
      <xdr:colOff>50402</xdr:colOff>
      <xdr:row>215</xdr:row>
      <xdr:rowOff>49609</xdr:rowOff>
    </xdr:from>
    <xdr:to>
      <xdr:col>94</xdr:col>
      <xdr:colOff>86783</xdr:colOff>
      <xdr:row>218</xdr:row>
      <xdr:rowOff>49609</xdr:rowOff>
    </xdr:to>
    <xdr:sp macro="" textlink="">
      <xdr:nvSpPr>
        <xdr:cNvPr id="5171" name="Rectangle 218"/>
        <xdr:cNvSpPr>
          <a:spLocks noChangeArrowheads="1"/>
        </xdr:cNvSpPr>
      </xdr:nvSpPr>
      <xdr:spPr bwMode="auto">
        <a:xfrm>
          <a:off x="7858918" y="15031640"/>
          <a:ext cx="750756" cy="267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6804</xdr:colOff>
      <xdr:row>220</xdr:row>
      <xdr:rowOff>83046</xdr:rowOff>
    </xdr:from>
    <xdr:to>
      <xdr:col>70</xdr:col>
      <xdr:colOff>81311</xdr:colOff>
      <xdr:row>220</xdr:row>
      <xdr:rowOff>83046</xdr:rowOff>
    </xdr:to>
    <xdr:cxnSp macro="">
      <xdr:nvCxnSpPr>
        <xdr:cNvPr id="5172" name="直線コネクタ 5171"/>
        <xdr:cNvCxnSpPr/>
      </xdr:nvCxnSpPr>
      <xdr:spPr bwMode="auto">
        <a:xfrm>
          <a:off x="6386570" y="15511562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9921</xdr:colOff>
      <xdr:row>222</xdr:row>
      <xdr:rowOff>79374</xdr:rowOff>
    </xdr:from>
    <xdr:to>
      <xdr:col>100</xdr:col>
      <xdr:colOff>46302</xdr:colOff>
      <xdr:row>225</xdr:row>
      <xdr:rowOff>79375</xdr:rowOff>
    </xdr:to>
    <xdr:sp macro="" textlink="">
      <xdr:nvSpPr>
        <xdr:cNvPr id="5193" name="Rectangle 218"/>
        <xdr:cNvSpPr>
          <a:spLocks noChangeArrowheads="1"/>
        </xdr:cNvSpPr>
      </xdr:nvSpPr>
      <xdr:spPr bwMode="auto">
        <a:xfrm>
          <a:off x="8354218" y="15686483"/>
          <a:ext cx="750756" cy="267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83</xdr:col>
      <xdr:colOff>34083</xdr:colOff>
      <xdr:row>222</xdr:row>
      <xdr:rowOff>79374</xdr:rowOff>
    </xdr:from>
    <xdr:to>
      <xdr:col>91</xdr:col>
      <xdr:colOff>64186</xdr:colOff>
      <xdr:row>225</xdr:row>
      <xdr:rowOff>79375</xdr:rowOff>
    </xdr:to>
    <xdr:sp macro="" textlink="">
      <xdr:nvSpPr>
        <xdr:cNvPr id="5194" name="Rectangle 218"/>
        <xdr:cNvSpPr>
          <a:spLocks noChangeArrowheads="1"/>
        </xdr:cNvSpPr>
      </xdr:nvSpPr>
      <xdr:spPr bwMode="auto">
        <a:xfrm>
          <a:off x="7403234" y="19769221"/>
          <a:ext cx="728118" cy="2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79715</xdr:colOff>
      <xdr:row>223</xdr:row>
      <xdr:rowOff>55256</xdr:rowOff>
    </xdr:from>
    <xdr:to>
      <xdr:col>85</xdr:col>
      <xdr:colOff>26799</xdr:colOff>
      <xdr:row>226</xdr:row>
      <xdr:rowOff>55257</xdr:rowOff>
    </xdr:to>
    <xdr:sp macro="" textlink="">
      <xdr:nvSpPr>
        <xdr:cNvPr id="5195" name="Rectangle 218"/>
        <xdr:cNvSpPr>
          <a:spLocks noChangeArrowheads="1"/>
        </xdr:cNvSpPr>
      </xdr:nvSpPr>
      <xdr:spPr bwMode="auto">
        <a:xfrm>
          <a:off x="6995262" y="15751662"/>
          <a:ext cx="750756" cy="267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13</xdr:col>
      <xdr:colOff>28575</xdr:colOff>
      <xdr:row>189</xdr:row>
      <xdr:rowOff>38100</xdr:rowOff>
    </xdr:from>
    <xdr:to>
      <xdr:col>22</xdr:col>
      <xdr:colOff>9525</xdr:colOff>
      <xdr:row>196</xdr:row>
      <xdr:rowOff>66675</xdr:rowOff>
    </xdr:to>
    <xdr:grpSp>
      <xdr:nvGrpSpPr>
        <xdr:cNvPr id="3288538" name="グループ化 5308"/>
        <xdr:cNvGrpSpPr>
          <a:grpSpLocks/>
        </xdr:cNvGrpSpPr>
      </xdr:nvGrpSpPr>
      <xdr:grpSpPr bwMode="auto">
        <a:xfrm>
          <a:off x="1154257" y="16715509"/>
          <a:ext cx="725632" cy="634711"/>
          <a:chOff x="4803326" y="18182033"/>
          <a:chExt cx="781236" cy="655137"/>
        </a:xfrm>
      </xdr:grpSpPr>
      <xdr:grpSp>
        <xdr:nvGrpSpPr>
          <xdr:cNvPr id="3291074" name="グループ化 648"/>
          <xdr:cNvGrpSpPr>
            <a:grpSpLocks/>
          </xdr:cNvGrpSpPr>
        </xdr:nvGrpSpPr>
        <xdr:grpSpPr bwMode="auto">
          <a:xfrm flipH="1">
            <a:off x="4899819" y="18274506"/>
            <a:ext cx="564356" cy="436960"/>
            <a:chOff x="1767052" y="985345"/>
            <a:chExt cx="1193995" cy="785448"/>
          </a:xfrm>
        </xdr:grpSpPr>
        <xdr:cxnSp macro="">
          <xdr:nvCxnSpPr>
            <xdr:cNvPr id="5316" name="直線コネクタ 5315"/>
            <xdr:cNvCxnSpPr/>
          </xdr:nvCxnSpPr>
          <xdr:spPr>
            <a:xfrm flipV="1">
              <a:off x="1776807" y="979708"/>
              <a:ext cx="815403" cy="2854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17" name="直線コネクタ 5316"/>
            <xdr:cNvCxnSpPr/>
          </xdr:nvCxnSpPr>
          <xdr:spPr>
            <a:xfrm>
              <a:off x="2592210" y="979708"/>
              <a:ext cx="374645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18" name="直線コネクタ 5317"/>
            <xdr:cNvCxnSpPr/>
          </xdr:nvCxnSpPr>
          <xdr:spPr>
            <a:xfrm>
              <a:off x="2592210" y="1550679"/>
              <a:ext cx="374645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19" name="直線コネクタ 5318"/>
            <xdr:cNvCxnSpPr/>
          </xdr:nvCxnSpPr>
          <xdr:spPr>
            <a:xfrm>
              <a:off x="2966854" y="1175979"/>
              <a:ext cx="0" cy="58881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20" name="直線コネクタ 5319"/>
            <xdr:cNvCxnSpPr/>
          </xdr:nvCxnSpPr>
          <xdr:spPr>
            <a:xfrm>
              <a:off x="2592210" y="979708"/>
              <a:ext cx="0" cy="588813"/>
            </a:xfrm>
            <a:prstGeom prst="line">
              <a:avLst/>
            </a:prstGeom>
            <a:ln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5311" name="テキスト ボックス 5310"/>
          <xdr:cNvSpPr txBox="1"/>
        </xdr:nvSpPr>
        <xdr:spPr>
          <a:xfrm>
            <a:off x="4803326" y="18648570"/>
            <a:ext cx="510408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312" name="テキスト ボックス 5311"/>
          <xdr:cNvSpPr txBox="1"/>
        </xdr:nvSpPr>
        <xdr:spPr>
          <a:xfrm>
            <a:off x="5074154" y="18182033"/>
            <a:ext cx="510408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313" name="正方形/長方形 5312"/>
          <xdr:cNvSpPr/>
        </xdr:nvSpPr>
        <xdr:spPr>
          <a:xfrm>
            <a:off x="4949157" y="18360707"/>
            <a:ext cx="218746" cy="1290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5314" name="テキスト ボックス 5313"/>
          <xdr:cNvSpPr txBox="1"/>
        </xdr:nvSpPr>
        <xdr:spPr>
          <a:xfrm>
            <a:off x="4813742" y="18321001"/>
            <a:ext cx="489575" cy="208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550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5315" name="直線コネクタ 5314"/>
          <xdr:cNvCxnSpPr/>
        </xdr:nvCxnSpPr>
        <xdr:spPr bwMode="auto">
          <a:xfrm flipH="1" flipV="1">
            <a:off x="5074154" y="18608865"/>
            <a:ext cx="270828" cy="11911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200</xdr:row>
      <xdr:rowOff>57150</xdr:rowOff>
    </xdr:from>
    <xdr:to>
      <xdr:col>21</xdr:col>
      <xdr:colOff>38100</xdr:colOff>
      <xdr:row>209</xdr:row>
      <xdr:rowOff>0</xdr:rowOff>
    </xdr:to>
    <xdr:grpSp>
      <xdr:nvGrpSpPr>
        <xdr:cNvPr id="3288539" name="グループ化 13"/>
        <xdr:cNvGrpSpPr>
          <a:grpSpLocks/>
        </xdr:cNvGrpSpPr>
      </xdr:nvGrpSpPr>
      <xdr:grpSpPr bwMode="auto">
        <a:xfrm>
          <a:off x="1039091" y="17687059"/>
          <a:ext cx="817418" cy="722168"/>
          <a:chOff x="1078302" y="18343353"/>
          <a:chExt cx="846826" cy="753741"/>
        </a:xfrm>
      </xdr:grpSpPr>
      <xdr:sp macro="" textlink="">
        <xdr:nvSpPr>
          <xdr:cNvPr id="5321" name="正方形/長方形 5320"/>
          <xdr:cNvSpPr/>
        </xdr:nvSpPr>
        <xdr:spPr>
          <a:xfrm>
            <a:off x="1347294" y="18594600"/>
            <a:ext cx="219178" cy="12059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grpSp>
        <xdr:nvGrpSpPr>
          <xdr:cNvPr id="3291059" name="グループ化 7"/>
          <xdr:cNvGrpSpPr>
            <a:grpSpLocks/>
          </xdr:cNvGrpSpPr>
        </xdr:nvGrpSpPr>
        <xdr:grpSpPr bwMode="auto">
          <a:xfrm>
            <a:off x="1078302" y="18343353"/>
            <a:ext cx="846826" cy="609959"/>
            <a:chOff x="4422336" y="29508777"/>
            <a:chExt cx="779450" cy="558699"/>
          </a:xfrm>
        </xdr:grpSpPr>
        <xdr:grpSp>
          <xdr:nvGrpSpPr>
            <xdr:cNvPr id="3291061" name="グループ化 6"/>
            <xdr:cNvGrpSpPr>
              <a:grpSpLocks/>
            </xdr:cNvGrpSpPr>
          </xdr:nvGrpSpPr>
          <xdr:grpSpPr bwMode="auto">
            <a:xfrm>
              <a:off x="4449366" y="29508777"/>
              <a:ext cx="752420" cy="558699"/>
              <a:chOff x="4592241" y="29520683"/>
              <a:chExt cx="752420" cy="558699"/>
            </a:xfrm>
          </xdr:grpSpPr>
          <xdr:grpSp>
            <xdr:nvGrpSpPr>
              <xdr:cNvPr id="3291063" name="グループ化 5"/>
              <xdr:cNvGrpSpPr>
                <a:grpSpLocks/>
              </xdr:cNvGrpSpPr>
            </xdr:nvGrpSpPr>
            <xdr:grpSpPr bwMode="auto">
              <a:xfrm>
                <a:off x="4592241" y="29648944"/>
                <a:ext cx="528740" cy="430438"/>
                <a:chOff x="4592241" y="29648944"/>
                <a:chExt cx="528740" cy="430438"/>
              </a:xfrm>
            </xdr:grpSpPr>
            <xdr:cxnSp macro="">
              <xdr:nvCxnSpPr>
                <xdr:cNvPr id="5329" name="直線コネクタ 5328"/>
                <xdr:cNvCxnSpPr/>
              </xdr:nvCxnSpPr>
              <xdr:spPr bwMode="auto">
                <a:xfrm flipH="1" flipV="1">
                  <a:off x="4959521" y="29971743"/>
                  <a:ext cx="165060" cy="101258"/>
                </a:xfrm>
                <a:prstGeom prst="line">
                  <a:avLst/>
                </a:prstGeom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30" name="直線コネクタ 5329"/>
                <xdr:cNvCxnSpPr/>
              </xdr:nvCxnSpPr>
              <xdr:spPr bwMode="auto">
                <a:xfrm flipH="1">
                  <a:off x="5115411" y="29760021"/>
                  <a:ext cx="0" cy="303775"/>
                </a:xfrm>
                <a:prstGeom prst="line">
                  <a:avLst/>
                </a:prstGeom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3291068" name="グループ化 4"/>
                <xdr:cNvGrpSpPr>
                  <a:grpSpLocks/>
                </xdr:cNvGrpSpPr>
              </xdr:nvGrpSpPr>
              <xdr:grpSpPr bwMode="auto">
                <a:xfrm>
                  <a:off x="4592241" y="29648944"/>
                  <a:ext cx="523037" cy="430438"/>
                  <a:chOff x="4592241" y="29648944"/>
                  <a:chExt cx="523037" cy="430438"/>
                </a:xfrm>
              </xdr:grpSpPr>
              <xdr:grpSp>
                <xdr:nvGrpSpPr>
                  <xdr:cNvPr id="3291069" name="グループ化 648"/>
                  <xdr:cNvGrpSpPr>
                    <a:grpSpLocks/>
                  </xdr:cNvGrpSpPr>
                </xdr:nvGrpSpPr>
                <xdr:grpSpPr bwMode="auto">
                  <a:xfrm flipH="1">
                    <a:off x="4592241" y="29648944"/>
                    <a:ext cx="523037" cy="323254"/>
                    <a:chOff x="1793146" y="916447"/>
                    <a:chExt cx="1181347" cy="623536"/>
                  </a:xfrm>
                </xdr:grpSpPr>
                <xdr:cxnSp macro="">
                  <xdr:nvCxnSpPr>
                    <xdr:cNvPr id="5334" name="直線コネクタ 5333"/>
                    <xdr:cNvCxnSpPr/>
                  </xdr:nvCxnSpPr>
                  <xdr:spPr>
                    <a:xfrm flipV="1">
                      <a:off x="1792846" y="917631"/>
                      <a:ext cx="372809" cy="195320"/>
                    </a:xfrm>
                    <a:prstGeom prst="line">
                      <a:avLst/>
                    </a:prstGeom>
                    <a:ln w="19050"/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335" name="直線コネクタ 5334"/>
                    <xdr:cNvCxnSpPr/>
                  </xdr:nvCxnSpPr>
                  <xdr:spPr>
                    <a:xfrm>
                      <a:off x="2144943" y="917631"/>
                      <a:ext cx="828465" cy="284102"/>
                    </a:xfrm>
                    <a:prstGeom prst="line">
                      <a:avLst/>
                    </a:prstGeom>
                    <a:ln w="19050"/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336" name="直線コネクタ 5335"/>
                    <xdr:cNvCxnSpPr/>
                  </xdr:nvCxnSpPr>
                  <xdr:spPr>
                    <a:xfrm>
                      <a:off x="2165655" y="953144"/>
                      <a:ext cx="0" cy="585961"/>
                    </a:xfrm>
                    <a:prstGeom prst="line">
                      <a:avLst/>
                    </a:prstGeom>
                    <a:ln>
                      <a:prstDash val="sysDash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5333" name="直線コネクタ 5332"/>
                  <xdr:cNvCxnSpPr/>
                </xdr:nvCxnSpPr>
                <xdr:spPr bwMode="auto">
                  <a:xfrm flipH="1">
                    <a:off x="4684421" y="29971743"/>
                    <a:ext cx="275100" cy="110464"/>
                  </a:xfrm>
                  <a:prstGeom prst="line">
                    <a:avLst/>
                  </a:prstGeom>
                  <a:ln w="3175">
                    <a:prstDash val="sysDot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</xdr:grpSp>
          <xdr:sp macro="" textlink="">
            <xdr:nvSpPr>
              <xdr:cNvPr id="5327" name="正方形/長方形 5326"/>
              <xdr:cNvSpPr/>
            </xdr:nvSpPr>
            <xdr:spPr>
              <a:xfrm>
                <a:off x="4702761" y="29778432"/>
                <a:ext cx="201740" cy="119669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ja-JP" altLang="en-US"/>
              </a:p>
            </xdr:txBody>
          </xdr:sp>
          <xdr:sp macro="" textlink="">
            <xdr:nvSpPr>
              <xdr:cNvPr id="5328" name="テキスト ボックス 5327"/>
              <xdr:cNvSpPr txBox="1"/>
            </xdr:nvSpPr>
            <xdr:spPr>
              <a:xfrm>
                <a:off x="4886161" y="29520683"/>
                <a:ext cx="458500" cy="19331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10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400</a:t>
                </a:r>
                <a:endParaRPr kumimoji="1" lang="ja-JP" altLang="en-US" sz="10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</xdr:grpSp>
        <xdr:sp macro="" textlink="">
          <xdr:nvSpPr>
            <xdr:cNvPr id="5325" name="テキスト ボックス 5324"/>
            <xdr:cNvSpPr txBox="1"/>
          </xdr:nvSpPr>
          <xdr:spPr>
            <a:xfrm>
              <a:off x="4422336" y="29720499"/>
              <a:ext cx="458500" cy="1933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0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350</a:t>
              </a:r>
              <a:endParaRPr kumimoji="1" lang="ja-JP" altLang="en-US" sz="10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5337" name="テキスト ボックス 5336"/>
          <xdr:cNvSpPr txBox="1"/>
        </xdr:nvSpPr>
        <xdr:spPr bwMode="auto">
          <a:xfrm>
            <a:off x="1257630" y="18906146"/>
            <a:ext cx="508096" cy="1909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28575</xdr:colOff>
      <xdr:row>212</xdr:row>
      <xdr:rowOff>38100</xdr:rowOff>
    </xdr:from>
    <xdr:to>
      <xdr:col>22</xdr:col>
      <xdr:colOff>9525</xdr:colOff>
      <xdr:row>219</xdr:row>
      <xdr:rowOff>66675</xdr:rowOff>
    </xdr:to>
    <xdr:grpSp>
      <xdr:nvGrpSpPr>
        <xdr:cNvPr id="3288540" name="グループ化 5371"/>
        <xdr:cNvGrpSpPr>
          <a:grpSpLocks/>
        </xdr:cNvGrpSpPr>
      </xdr:nvGrpSpPr>
      <xdr:grpSpPr bwMode="auto">
        <a:xfrm>
          <a:off x="1154257" y="18707100"/>
          <a:ext cx="725632" cy="634711"/>
          <a:chOff x="3106685" y="46528830"/>
          <a:chExt cx="781236" cy="655136"/>
        </a:xfrm>
      </xdr:grpSpPr>
      <xdr:grpSp>
        <xdr:nvGrpSpPr>
          <xdr:cNvPr id="3291045" name="グループ化 648"/>
          <xdr:cNvGrpSpPr>
            <a:grpSpLocks/>
          </xdr:cNvGrpSpPr>
        </xdr:nvGrpSpPr>
        <xdr:grpSpPr bwMode="auto">
          <a:xfrm flipH="1">
            <a:off x="3203178" y="46621303"/>
            <a:ext cx="564356" cy="436960"/>
            <a:chOff x="1767052" y="985345"/>
            <a:chExt cx="1193995" cy="785448"/>
          </a:xfrm>
        </xdr:grpSpPr>
        <xdr:cxnSp macro="">
          <xdr:nvCxnSpPr>
            <xdr:cNvPr id="5381" name="直線コネクタ 5380"/>
            <xdr:cNvCxnSpPr/>
          </xdr:nvCxnSpPr>
          <xdr:spPr>
            <a:xfrm flipV="1">
              <a:off x="1776807" y="979708"/>
              <a:ext cx="815403" cy="2854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82" name="直線コネクタ 5381"/>
            <xdr:cNvCxnSpPr/>
          </xdr:nvCxnSpPr>
          <xdr:spPr>
            <a:xfrm>
              <a:off x="2592210" y="979708"/>
              <a:ext cx="374645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83" name="直線コネクタ 5382"/>
            <xdr:cNvCxnSpPr/>
          </xdr:nvCxnSpPr>
          <xdr:spPr>
            <a:xfrm>
              <a:off x="2592210" y="1550679"/>
              <a:ext cx="374645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84" name="直線コネクタ 5383"/>
            <xdr:cNvCxnSpPr/>
          </xdr:nvCxnSpPr>
          <xdr:spPr>
            <a:xfrm>
              <a:off x="2966854" y="1175979"/>
              <a:ext cx="0" cy="58881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85" name="直線コネクタ 5384"/>
            <xdr:cNvCxnSpPr/>
          </xdr:nvCxnSpPr>
          <xdr:spPr>
            <a:xfrm>
              <a:off x="2592210" y="979708"/>
              <a:ext cx="0" cy="588813"/>
            </a:xfrm>
            <a:prstGeom prst="line">
              <a:avLst/>
            </a:prstGeom>
            <a:ln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5374" name="テキスト ボックス 5373"/>
          <xdr:cNvSpPr txBox="1"/>
        </xdr:nvSpPr>
        <xdr:spPr>
          <a:xfrm>
            <a:off x="3106685" y="46995366"/>
            <a:ext cx="510408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125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375" name="テキスト ボックス 5374"/>
          <xdr:cNvSpPr txBox="1"/>
        </xdr:nvSpPr>
        <xdr:spPr>
          <a:xfrm>
            <a:off x="3377513" y="46528830"/>
            <a:ext cx="510408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475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376" name="正方形/長方形 5375"/>
          <xdr:cNvSpPr/>
        </xdr:nvSpPr>
        <xdr:spPr>
          <a:xfrm>
            <a:off x="3252516" y="46707503"/>
            <a:ext cx="218746" cy="1290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5377" name="テキスト ボックス 5376"/>
          <xdr:cNvSpPr txBox="1"/>
        </xdr:nvSpPr>
        <xdr:spPr>
          <a:xfrm>
            <a:off x="3117101" y="46667798"/>
            <a:ext cx="489575" cy="2084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125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5378" name="直線コネクタ 5377"/>
          <xdr:cNvCxnSpPr/>
        </xdr:nvCxnSpPr>
        <xdr:spPr bwMode="auto">
          <a:xfrm flipH="1" flipV="1">
            <a:off x="3377513" y="46955661"/>
            <a:ext cx="270828" cy="11911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9" name="直線コネクタ 5378"/>
          <xdr:cNvCxnSpPr/>
        </xdr:nvCxnSpPr>
        <xdr:spPr bwMode="auto">
          <a:xfrm flipH="1" flipV="1">
            <a:off x="3367097" y="46955661"/>
            <a:ext cx="145831" cy="4963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380" name="テキスト ボックス 5379"/>
          <xdr:cNvSpPr txBox="1"/>
        </xdr:nvSpPr>
        <xdr:spPr>
          <a:xfrm>
            <a:off x="3325431" y="46836545"/>
            <a:ext cx="510408" cy="1786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12</xdr:col>
      <xdr:colOff>57150</xdr:colOff>
      <xdr:row>222</xdr:row>
      <xdr:rowOff>19050</xdr:rowOff>
    </xdr:from>
    <xdr:to>
      <xdr:col>23</xdr:col>
      <xdr:colOff>28575</xdr:colOff>
      <xdr:row>230</xdr:row>
      <xdr:rowOff>9525</xdr:rowOff>
    </xdr:to>
    <xdr:grpSp>
      <xdr:nvGrpSpPr>
        <xdr:cNvPr id="3288541" name="グループ化 5385"/>
        <xdr:cNvGrpSpPr>
          <a:grpSpLocks/>
        </xdr:cNvGrpSpPr>
      </xdr:nvGrpSpPr>
      <xdr:grpSpPr bwMode="auto">
        <a:xfrm>
          <a:off x="1096241" y="19553959"/>
          <a:ext cx="889289" cy="683202"/>
          <a:chOff x="8312150" y="18076863"/>
          <a:chExt cx="953691" cy="704850"/>
        </a:xfrm>
      </xdr:grpSpPr>
      <xdr:grpSp>
        <xdr:nvGrpSpPr>
          <xdr:cNvPr id="3291026" name="グループ化 6"/>
          <xdr:cNvGrpSpPr>
            <a:grpSpLocks/>
          </xdr:cNvGrpSpPr>
        </xdr:nvGrpSpPr>
        <xdr:grpSpPr bwMode="auto">
          <a:xfrm>
            <a:off x="8312150" y="18076863"/>
            <a:ext cx="953691" cy="704850"/>
            <a:chOff x="4454106" y="39788533"/>
            <a:chExt cx="918223" cy="680820"/>
          </a:xfrm>
        </xdr:grpSpPr>
        <xdr:grpSp>
          <xdr:nvGrpSpPr>
            <xdr:cNvPr id="3291029" name="グループ化 7"/>
            <xdr:cNvGrpSpPr>
              <a:grpSpLocks/>
            </xdr:cNvGrpSpPr>
          </xdr:nvGrpSpPr>
          <xdr:grpSpPr bwMode="auto">
            <a:xfrm>
              <a:off x="4454106" y="39788533"/>
              <a:ext cx="918223" cy="561514"/>
              <a:chOff x="4354057" y="29523929"/>
              <a:chExt cx="885537" cy="543547"/>
            </a:xfrm>
          </xdr:grpSpPr>
          <xdr:grpSp>
            <xdr:nvGrpSpPr>
              <xdr:cNvPr id="3291032" name="グループ化 6"/>
              <xdr:cNvGrpSpPr>
                <a:grpSpLocks/>
              </xdr:cNvGrpSpPr>
            </xdr:nvGrpSpPr>
            <xdr:grpSpPr bwMode="auto">
              <a:xfrm>
                <a:off x="4449366" y="29523929"/>
                <a:ext cx="790228" cy="543547"/>
                <a:chOff x="4592241" y="29535835"/>
                <a:chExt cx="790228" cy="543547"/>
              </a:xfrm>
            </xdr:grpSpPr>
            <xdr:grpSp>
              <xdr:nvGrpSpPr>
                <xdr:cNvPr id="3291034" name="グループ化 5"/>
                <xdr:cNvGrpSpPr>
                  <a:grpSpLocks/>
                </xdr:cNvGrpSpPr>
              </xdr:nvGrpSpPr>
              <xdr:grpSpPr bwMode="auto">
                <a:xfrm>
                  <a:off x="4592241" y="29648944"/>
                  <a:ext cx="528740" cy="430438"/>
                  <a:chOff x="4592241" y="29648944"/>
                  <a:chExt cx="528740" cy="430438"/>
                </a:xfrm>
              </xdr:grpSpPr>
              <xdr:cxnSp macro="">
                <xdr:nvCxnSpPr>
                  <xdr:cNvPr id="5398" name="直線コネクタ 5397"/>
                  <xdr:cNvCxnSpPr/>
                </xdr:nvCxnSpPr>
                <xdr:spPr bwMode="auto">
                  <a:xfrm flipH="1" flipV="1">
                    <a:off x="4958951" y="29972098"/>
                    <a:ext cx="163632" cy="102104"/>
                  </a:xfrm>
                  <a:prstGeom prst="line">
                    <a:avLst/>
                  </a:prstGeom>
                  <a:ln w="19050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399" name="直線コネクタ 5398"/>
                  <xdr:cNvCxnSpPr/>
                </xdr:nvCxnSpPr>
                <xdr:spPr bwMode="auto">
                  <a:xfrm flipH="1">
                    <a:off x="5112957" y="29758608"/>
                    <a:ext cx="0" cy="306313"/>
                  </a:xfrm>
                  <a:prstGeom prst="line">
                    <a:avLst/>
                  </a:prstGeom>
                  <a:ln w="19050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grpSp>
                <xdr:nvGrpSpPr>
                  <xdr:cNvPr id="3291039" name="グループ化 4"/>
                  <xdr:cNvGrpSpPr>
                    <a:grpSpLocks/>
                  </xdr:cNvGrpSpPr>
                </xdr:nvGrpSpPr>
                <xdr:grpSpPr bwMode="auto">
                  <a:xfrm>
                    <a:off x="4592241" y="29648944"/>
                    <a:ext cx="523037" cy="430438"/>
                    <a:chOff x="4592241" y="29648944"/>
                    <a:chExt cx="523037" cy="430438"/>
                  </a:xfrm>
                </xdr:grpSpPr>
                <xdr:grpSp>
                  <xdr:nvGrpSpPr>
                    <xdr:cNvPr id="3291040" name="グループ化 648"/>
                    <xdr:cNvGrpSpPr>
                      <a:grpSpLocks/>
                    </xdr:cNvGrpSpPr>
                  </xdr:nvGrpSpPr>
                  <xdr:grpSpPr bwMode="auto">
                    <a:xfrm flipH="1">
                      <a:off x="4592241" y="29648944"/>
                      <a:ext cx="523037" cy="323254"/>
                      <a:chOff x="1793146" y="916447"/>
                      <a:chExt cx="1181347" cy="623536"/>
                    </a:xfrm>
                  </xdr:grpSpPr>
                  <xdr:cxnSp macro="">
                    <xdr:nvCxnSpPr>
                      <xdr:cNvPr id="5403" name="直線コネクタ 5402"/>
                      <xdr:cNvCxnSpPr/>
                    </xdr:nvCxnSpPr>
                    <xdr:spPr>
                      <a:xfrm flipV="1">
                        <a:off x="1798386" y="913124"/>
                        <a:ext cx="369584" cy="196953"/>
                      </a:xfrm>
                      <a:prstGeom prst="line">
                        <a:avLst/>
                      </a:prstGeom>
                      <a:ln w="1905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404" name="直線コネクタ 5403"/>
                      <xdr:cNvCxnSpPr/>
                    </xdr:nvCxnSpPr>
                    <xdr:spPr>
                      <a:xfrm>
                        <a:off x="2146230" y="913124"/>
                        <a:ext cx="826129" cy="286477"/>
                      </a:xfrm>
                      <a:prstGeom prst="line">
                        <a:avLst/>
                      </a:prstGeom>
                      <a:ln w="1905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405" name="直線コネクタ 5404"/>
                      <xdr:cNvCxnSpPr/>
                    </xdr:nvCxnSpPr>
                    <xdr:spPr>
                      <a:xfrm>
                        <a:off x="2167970" y="948933"/>
                        <a:ext cx="0" cy="590858"/>
                      </a:xfrm>
                      <a:prstGeom prst="line">
                        <a:avLst/>
                      </a:prstGeom>
                      <a:ln>
                        <a:prstDash val="sysDash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cxnSp macro="">
                  <xdr:nvCxnSpPr>
                    <xdr:cNvPr id="5402" name="直線コネクタ 5401"/>
                    <xdr:cNvCxnSpPr/>
                  </xdr:nvCxnSpPr>
                  <xdr:spPr bwMode="auto">
                    <a:xfrm flipH="1">
                      <a:off x="4679815" y="29972098"/>
                      <a:ext cx="279137" cy="111386"/>
                    </a:xfrm>
                    <a:prstGeom prst="line">
                      <a:avLst/>
                    </a:prstGeom>
                    <a:ln w="3175">
                      <a:prstDash val="sysDot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  <xdr:sp macro="" textlink="">
              <xdr:nvSpPr>
                <xdr:cNvPr id="5396" name="正方形/長方形 5395"/>
                <xdr:cNvSpPr/>
              </xdr:nvSpPr>
              <xdr:spPr>
                <a:xfrm>
                  <a:off x="4699065" y="29777172"/>
                  <a:ext cx="202133" cy="120669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ja-JP" altLang="en-US"/>
                </a:p>
              </xdr:txBody>
            </xdr:sp>
            <xdr:sp macro="" textlink="">
              <xdr:nvSpPr>
                <xdr:cNvPr id="5397" name="テキスト ボックス 5396"/>
                <xdr:cNvSpPr txBox="1"/>
              </xdr:nvSpPr>
              <xdr:spPr>
                <a:xfrm>
                  <a:off x="4920450" y="29535835"/>
                  <a:ext cx="462019" cy="19492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kumimoji="1" lang="en-US" altLang="ja-JP" sz="1000">
                      <a:latin typeface="ＭＳ ゴシック" panose="020B0609070205080204" pitchFamily="49" charset="-128"/>
                      <a:ea typeface="ＭＳ ゴシック" panose="020B0609070205080204" pitchFamily="49" charset="-128"/>
                    </a:rPr>
                    <a:t>500</a:t>
                  </a:r>
                  <a:endParaRPr kumimoji="1" lang="ja-JP" altLang="en-US" sz="1000">
                    <a:latin typeface="ＭＳ ゴシック" panose="020B0609070205080204" pitchFamily="49" charset="-128"/>
                    <a:ea typeface="ＭＳ ゴシック" panose="020B0609070205080204" pitchFamily="49" charset="-128"/>
                  </a:endParaRPr>
                </a:p>
              </xdr:txBody>
            </xdr:sp>
          </xdr:grpSp>
          <xdr:sp macro="" textlink="">
            <xdr:nvSpPr>
              <xdr:cNvPr id="5394" name="テキスト ボックス 5393"/>
              <xdr:cNvSpPr txBox="1"/>
            </xdr:nvSpPr>
            <xdr:spPr>
              <a:xfrm>
                <a:off x="4354057" y="29746702"/>
                <a:ext cx="462019" cy="19492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10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250</a:t>
                </a:r>
                <a:endParaRPr kumimoji="1" lang="ja-JP" altLang="en-US" sz="10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</xdr:grpSp>
        <xdr:cxnSp macro="">
          <xdr:nvCxnSpPr>
            <xdr:cNvPr id="5391" name="直線コネクタ 5390"/>
            <xdr:cNvCxnSpPr/>
          </xdr:nvCxnSpPr>
          <xdr:spPr bwMode="auto">
            <a:xfrm flipH="1">
              <a:off x="4763507" y="40239217"/>
              <a:ext cx="169672" cy="6712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392" name="テキスト ボックス 5391"/>
            <xdr:cNvSpPr txBox="1"/>
          </xdr:nvSpPr>
          <xdr:spPr bwMode="auto">
            <a:xfrm>
              <a:off x="4633758" y="40287162"/>
              <a:ext cx="489054" cy="18219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0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100</a:t>
              </a:r>
              <a:endParaRPr kumimoji="1" lang="ja-JP" altLang="en-US" sz="10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5388" name="正方形/長方形 5387"/>
          <xdr:cNvSpPr/>
        </xdr:nvSpPr>
        <xdr:spPr>
          <a:xfrm>
            <a:off x="8747531" y="18404469"/>
            <a:ext cx="217690" cy="12905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5389" name="テキスト ボックス 5388"/>
          <xdr:cNvSpPr txBox="1"/>
        </xdr:nvSpPr>
        <xdr:spPr bwMode="auto">
          <a:xfrm>
            <a:off x="8602404" y="18374687"/>
            <a:ext cx="497578" cy="1886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oneCellAnchor>
    <xdr:from>
      <xdr:col>69</xdr:col>
      <xdr:colOff>62593</xdr:colOff>
      <xdr:row>290</xdr:row>
      <xdr:rowOff>16600</xdr:rowOff>
    </xdr:from>
    <xdr:ext cx="423193" cy="183384"/>
    <xdr:sp macro="" textlink="">
      <xdr:nvSpPr>
        <xdr:cNvPr id="5524" name="Rectangle 217"/>
        <xdr:cNvSpPr>
          <a:spLocks noChangeArrowheads="1"/>
        </xdr:cNvSpPr>
      </xdr:nvSpPr>
      <xdr:spPr bwMode="auto">
        <a:xfrm>
          <a:off x="6110968" y="252959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288</xdr:row>
      <xdr:rowOff>19050</xdr:rowOff>
    </xdr:from>
    <xdr:to>
      <xdr:col>74</xdr:col>
      <xdr:colOff>0</xdr:colOff>
      <xdr:row>289</xdr:row>
      <xdr:rowOff>66675</xdr:rowOff>
    </xdr:to>
    <xdr:grpSp>
      <xdr:nvGrpSpPr>
        <xdr:cNvPr id="3288565" name="Group 350"/>
        <xdr:cNvGrpSpPr>
          <a:grpSpLocks/>
        </xdr:cNvGrpSpPr>
      </xdr:nvGrpSpPr>
      <xdr:grpSpPr bwMode="auto">
        <a:xfrm>
          <a:off x="6151418" y="25355550"/>
          <a:ext cx="394855" cy="151534"/>
          <a:chOff x="340" y="51"/>
          <a:chExt cx="60" cy="20"/>
        </a:xfrm>
      </xdr:grpSpPr>
      <xdr:sp macro="" textlink="">
        <xdr:nvSpPr>
          <xdr:cNvPr id="3290991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992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93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300</xdr:row>
      <xdr:rowOff>3038</xdr:rowOff>
    </xdr:from>
    <xdr:to>
      <xdr:col>71</xdr:col>
      <xdr:colOff>3354</xdr:colOff>
      <xdr:row>300</xdr:row>
      <xdr:rowOff>3038</xdr:rowOff>
    </xdr:to>
    <xdr:cxnSp macro="">
      <xdr:nvCxnSpPr>
        <xdr:cNvPr id="5559" name="直線コネクタ 5558"/>
        <xdr:cNvCxnSpPr/>
      </xdr:nvCxnSpPr>
      <xdr:spPr bwMode="auto">
        <a:xfrm>
          <a:off x="2840941" y="27409878"/>
          <a:ext cx="73828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76200</xdr:colOff>
      <xdr:row>302</xdr:row>
      <xdr:rowOff>0</xdr:rowOff>
    </xdr:from>
    <xdr:to>
      <xdr:col>80</xdr:col>
      <xdr:colOff>0</xdr:colOff>
      <xdr:row>305</xdr:row>
      <xdr:rowOff>0</xdr:rowOff>
    </xdr:to>
    <xdr:grpSp>
      <xdr:nvGrpSpPr>
        <xdr:cNvPr id="3288567" name="グループ化 1"/>
        <xdr:cNvGrpSpPr>
          <a:grpSpLocks/>
        </xdr:cNvGrpSpPr>
      </xdr:nvGrpSpPr>
      <xdr:grpSpPr bwMode="auto">
        <a:xfrm>
          <a:off x="6709064" y="26566091"/>
          <a:ext cx="356754" cy="259773"/>
          <a:chOff x="3724275" y="1824264"/>
          <a:chExt cx="390526" cy="286252"/>
        </a:xfrm>
      </xdr:grpSpPr>
      <xdr:sp macro="" textlink="">
        <xdr:nvSpPr>
          <xdr:cNvPr id="3290988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89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90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76200</xdr:colOff>
      <xdr:row>302</xdr:row>
      <xdr:rowOff>0</xdr:rowOff>
    </xdr:from>
    <xdr:to>
      <xdr:col>99</xdr:col>
      <xdr:colOff>0</xdr:colOff>
      <xdr:row>305</xdr:row>
      <xdr:rowOff>0</xdr:rowOff>
    </xdr:to>
    <xdr:grpSp>
      <xdr:nvGrpSpPr>
        <xdr:cNvPr id="3288568" name="グループ化 1"/>
        <xdr:cNvGrpSpPr>
          <a:grpSpLocks/>
        </xdr:cNvGrpSpPr>
      </xdr:nvGrpSpPr>
      <xdr:grpSpPr bwMode="auto">
        <a:xfrm>
          <a:off x="8354291" y="26566091"/>
          <a:ext cx="356754" cy="259773"/>
          <a:chOff x="3724275" y="1824264"/>
          <a:chExt cx="390526" cy="286252"/>
        </a:xfrm>
      </xdr:grpSpPr>
      <xdr:sp macro="" textlink="">
        <xdr:nvSpPr>
          <xdr:cNvPr id="3290985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86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87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309</xdr:row>
      <xdr:rowOff>3038</xdr:rowOff>
    </xdr:from>
    <xdr:to>
      <xdr:col>71</xdr:col>
      <xdr:colOff>3354</xdr:colOff>
      <xdr:row>309</xdr:row>
      <xdr:rowOff>3038</xdr:rowOff>
    </xdr:to>
    <xdr:cxnSp macro="">
      <xdr:nvCxnSpPr>
        <xdr:cNvPr id="5568" name="直線コネクタ 5567"/>
        <xdr:cNvCxnSpPr/>
      </xdr:nvCxnSpPr>
      <xdr:spPr bwMode="auto">
        <a:xfrm>
          <a:off x="2840941" y="28218604"/>
          <a:ext cx="73828" cy="0"/>
        </a:xfrm>
        <a:prstGeom prst="line">
          <a:avLst/>
        </a:prstGeom>
        <a:ln w="57150">
          <a:solidFill>
            <a:srgbClr val="00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76200</xdr:colOff>
      <xdr:row>311</xdr:row>
      <xdr:rowOff>0</xdr:rowOff>
    </xdr:from>
    <xdr:to>
      <xdr:col>80</xdr:col>
      <xdr:colOff>0</xdr:colOff>
      <xdr:row>313</xdr:row>
      <xdr:rowOff>85725</xdr:rowOff>
    </xdr:to>
    <xdr:grpSp>
      <xdr:nvGrpSpPr>
        <xdr:cNvPr id="3288570" name="グループ化 1"/>
        <xdr:cNvGrpSpPr>
          <a:grpSpLocks/>
        </xdr:cNvGrpSpPr>
      </xdr:nvGrpSpPr>
      <xdr:grpSpPr bwMode="auto">
        <a:xfrm>
          <a:off x="6709064" y="27345409"/>
          <a:ext cx="356754" cy="258907"/>
          <a:chOff x="3724275" y="1824264"/>
          <a:chExt cx="390526" cy="286252"/>
        </a:xfrm>
      </xdr:grpSpPr>
      <xdr:sp macro="" textlink="">
        <xdr:nvSpPr>
          <xdr:cNvPr id="3290982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83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84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76200</xdr:colOff>
      <xdr:row>311</xdr:row>
      <xdr:rowOff>0</xdr:rowOff>
    </xdr:from>
    <xdr:to>
      <xdr:col>99</xdr:col>
      <xdr:colOff>0</xdr:colOff>
      <xdr:row>313</xdr:row>
      <xdr:rowOff>85725</xdr:rowOff>
    </xdr:to>
    <xdr:grpSp>
      <xdr:nvGrpSpPr>
        <xdr:cNvPr id="3288571" name="グループ化 1"/>
        <xdr:cNvGrpSpPr>
          <a:grpSpLocks/>
        </xdr:cNvGrpSpPr>
      </xdr:nvGrpSpPr>
      <xdr:grpSpPr bwMode="auto">
        <a:xfrm>
          <a:off x="8354291" y="27345409"/>
          <a:ext cx="356754" cy="258907"/>
          <a:chOff x="3724275" y="1824264"/>
          <a:chExt cx="390526" cy="286252"/>
        </a:xfrm>
      </xdr:grpSpPr>
      <xdr:sp macro="" textlink="">
        <xdr:nvSpPr>
          <xdr:cNvPr id="3290979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80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81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69</xdr:col>
      <xdr:colOff>78607</xdr:colOff>
      <xdr:row>318</xdr:row>
      <xdr:rowOff>17109</xdr:rowOff>
    </xdr:from>
    <xdr:to>
      <xdr:col>70</xdr:col>
      <xdr:colOff>67138</xdr:colOff>
      <xdr:row>318</xdr:row>
      <xdr:rowOff>17208</xdr:rowOff>
    </xdr:to>
    <xdr:cxnSp macro="">
      <xdr:nvCxnSpPr>
        <xdr:cNvPr id="5577" name="直線コネクタ 5576"/>
        <xdr:cNvCxnSpPr/>
      </xdr:nvCxnSpPr>
      <xdr:spPr>
        <a:xfrm flipH="1" flipV="1">
          <a:off x="2810305" y="29041401"/>
          <a:ext cx="78390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6046</xdr:colOff>
      <xdr:row>339</xdr:row>
      <xdr:rowOff>87337</xdr:rowOff>
    </xdr:from>
    <xdr:to>
      <xdr:col>70</xdr:col>
      <xdr:colOff>79516</xdr:colOff>
      <xdr:row>339</xdr:row>
      <xdr:rowOff>87337</xdr:rowOff>
    </xdr:to>
    <xdr:cxnSp macro="">
      <xdr:nvCxnSpPr>
        <xdr:cNvPr id="5578" name="直線コネクタ 5577"/>
        <xdr:cNvCxnSpPr/>
      </xdr:nvCxnSpPr>
      <xdr:spPr bwMode="auto">
        <a:xfrm>
          <a:off x="2827603" y="30998658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66675</xdr:colOff>
      <xdr:row>341</xdr:row>
      <xdr:rowOff>0</xdr:rowOff>
    </xdr:from>
    <xdr:to>
      <xdr:col>79</xdr:col>
      <xdr:colOff>47625</xdr:colOff>
      <xdr:row>343</xdr:row>
      <xdr:rowOff>0</xdr:rowOff>
    </xdr:to>
    <xdr:grpSp>
      <xdr:nvGrpSpPr>
        <xdr:cNvPr id="3288574" name="グループ化 700"/>
        <xdr:cNvGrpSpPr>
          <a:grpSpLocks/>
        </xdr:cNvGrpSpPr>
      </xdr:nvGrpSpPr>
      <xdr:grpSpPr bwMode="auto">
        <a:xfrm>
          <a:off x="6959311" y="29943136"/>
          <a:ext cx="67541" cy="173182"/>
          <a:chOff x="3165758" y="15657662"/>
          <a:chExt cx="67219" cy="163244"/>
        </a:xfrm>
      </xdr:grpSpPr>
      <xdr:sp macro="" textlink="">
        <xdr:nvSpPr>
          <xdr:cNvPr id="3290976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77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78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339</xdr:row>
      <xdr:rowOff>47625</xdr:rowOff>
    </xdr:from>
    <xdr:to>
      <xdr:col>94</xdr:col>
      <xdr:colOff>28575</xdr:colOff>
      <xdr:row>345</xdr:row>
      <xdr:rowOff>47625</xdr:rowOff>
    </xdr:to>
    <xdr:grpSp>
      <xdr:nvGrpSpPr>
        <xdr:cNvPr id="3288575" name="グループ化 702"/>
        <xdr:cNvGrpSpPr>
          <a:grpSpLocks/>
        </xdr:cNvGrpSpPr>
      </xdr:nvGrpSpPr>
      <xdr:grpSpPr bwMode="auto">
        <a:xfrm>
          <a:off x="7113443" y="29817580"/>
          <a:ext cx="1193223" cy="519545"/>
          <a:chOff x="3634154" y="15404026"/>
          <a:chExt cx="1158481" cy="504350"/>
        </a:xfrm>
      </xdr:grpSpPr>
      <xdr:sp macro="" textlink="">
        <xdr:nvSpPr>
          <xdr:cNvPr id="5605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972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73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74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609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74</xdr:col>
      <xdr:colOff>19050</xdr:colOff>
      <xdr:row>318</xdr:row>
      <xdr:rowOff>9525</xdr:rowOff>
    </xdr:from>
    <xdr:to>
      <xdr:col>78</xdr:col>
      <xdr:colOff>9525</xdr:colOff>
      <xdr:row>325</xdr:row>
      <xdr:rowOff>19050</xdr:rowOff>
    </xdr:to>
    <xdr:grpSp>
      <xdr:nvGrpSpPr>
        <xdr:cNvPr id="3288576" name="グループ化 3"/>
        <xdr:cNvGrpSpPr>
          <a:grpSpLocks/>
        </xdr:cNvGrpSpPr>
      </xdr:nvGrpSpPr>
      <xdr:grpSpPr bwMode="auto">
        <a:xfrm>
          <a:off x="6565323" y="27961070"/>
          <a:ext cx="336838" cy="615662"/>
          <a:chOff x="4956932" y="1715005"/>
          <a:chExt cx="367492" cy="648892"/>
        </a:xfrm>
      </xdr:grpSpPr>
      <xdr:grpSp>
        <xdr:nvGrpSpPr>
          <xdr:cNvPr id="3290967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969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970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5612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88</xdr:col>
      <xdr:colOff>68037</xdr:colOff>
      <xdr:row>318</xdr:row>
      <xdr:rowOff>11864</xdr:rowOff>
    </xdr:from>
    <xdr:to>
      <xdr:col>89</xdr:col>
      <xdr:colOff>77331</xdr:colOff>
      <xdr:row>318</xdr:row>
      <xdr:rowOff>11864</xdr:rowOff>
    </xdr:to>
    <xdr:cxnSp macro="">
      <xdr:nvCxnSpPr>
        <xdr:cNvPr id="5615" name="直線コネクタ 5614"/>
        <xdr:cNvCxnSpPr/>
      </xdr:nvCxnSpPr>
      <xdr:spPr bwMode="auto">
        <a:xfrm>
          <a:off x="7754400" y="27743667"/>
          <a:ext cx="95175" cy="0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0</xdr:colOff>
      <xdr:row>320</xdr:row>
      <xdr:rowOff>57150</xdr:rowOff>
    </xdr:from>
    <xdr:to>
      <xdr:col>100</xdr:col>
      <xdr:colOff>38100</xdr:colOff>
      <xdr:row>322</xdr:row>
      <xdr:rowOff>0</xdr:rowOff>
    </xdr:to>
    <xdr:grpSp>
      <xdr:nvGrpSpPr>
        <xdr:cNvPr id="3288578" name="グループ化 5"/>
        <xdr:cNvGrpSpPr>
          <a:grpSpLocks/>
        </xdr:cNvGrpSpPr>
      </xdr:nvGrpSpPr>
      <xdr:grpSpPr bwMode="auto">
        <a:xfrm>
          <a:off x="8191500" y="28181877"/>
          <a:ext cx="644236" cy="116032"/>
          <a:chOff x="4791075" y="2762250"/>
          <a:chExt cx="714375" cy="142875"/>
        </a:xfrm>
      </xdr:grpSpPr>
      <xdr:sp macro="" textlink="">
        <xdr:nvSpPr>
          <xdr:cNvPr id="3290965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66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86</xdr:col>
      <xdr:colOff>50402</xdr:colOff>
      <xdr:row>324</xdr:row>
      <xdr:rowOff>49609</xdr:rowOff>
    </xdr:from>
    <xdr:to>
      <xdr:col>94</xdr:col>
      <xdr:colOff>86783</xdr:colOff>
      <xdr:row>327</xdr:row>
      <xdr:rowOff>49609</xdr:rowOff>
    </xdr:to>
    <xdr:sp macro="" textlink="">
      <xdr:nvSpPr>
        <xdr:cNvPr id="5620" name="Rectangle 218"/>
        <xdr:cNvSpPr>
          <a:spLocks noChangeArrowheads="1"/>
        </xdr:cNvSpPr>
      </xdr:nvSpPr>
      <xdr:spPr bwMode="auto">
        <a:xfrm>
          <a:off x="7904034" y="19683689"/>
          <a:ext cx="755249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6804</xdr:colOff>
      <xdr:row>329</xdr:row>
      <xdr:rowOff>83046</xdr:rowOff>
    </xdr:from>
    <xdr:to>
      <xdr:col>70</xdr:col>
      <xdr:colOff>81311</xdr:colOff>
      <xdr:row>329</xdr:row>
      <xdr:rowOff>83046</xdr:rowOff>
    </xdr:to>
    <xdr:cxnSp macro="">
      <xdr:nvCxnSpPr>
        <xdr:cNvPr id="5621" name="直線コネクタ 5620"/>
        <xdr:cNvCxnSpPr/>
      </xdr:nvCxnSpPr>
      <xdr:spPr bwMode="auto">
        <a:xfrm>
          <a:off x="6422700" y="20166419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66675</xdr:colOff>
      <xdr:row>326</xdr:row>
      <xdr:rowOff>57150</xdr:rowOff>
    </xdr:from>
    <xdr:to>
      <xdr:col>100</xdr:col>
      <xdr:colOff>85725</xdr:colOff>
      <xdr:row>334</xdr:row>
      <xdr:rowOff>28575</xdr:rowOff>
    </xdr:to>
    <xdr:grpSp>
      <xdr:nvGrpSpPr>
        <xdr:cNvPr id="3288581" name="グループ化 2528"/>
        <xdr:cNvGrpSpPr>
          <a:grpSpLocks/>
        </xdr:cNvGrpSpPr>
      </xdr:nvGrpSpPr>
      <xdr:grpSpPr bwMode="auto">
        <a:xfrm>
          <a:off x="6786130" y="28701423"/>
          <a:ext cx="2097231" cy="664152"/>
          <a:chOff x="13451336" y="18108261"/>
          <a:chExt cx="2108441" cy="662519"/>
        </a:xfrm>
      </xdr:grpSpPr>
      <xdr:grpSp>
        <xdr:nvGrpSpPr>
          <xdr:cNvPr id="3290947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290950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1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2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3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4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5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6" name="直線コネクタ 18"/>
            <xdr:cNvCxnSpPr>
              <a:cxnSpLocks noChangeShapeType="1"/>
            </xdr:cNvCxnSpPr>
          </xdr:nvCxnSpPr>
          <xdr:spPr bwMode="auto">
            <a:xfrm>
              <a:off x="3085688" y="250466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7" name="直線コネクタ 19"/>
            <xdr:cNvCxnSpPr>
              <a:cxnSpLocks noChangeShapeType="1"/>
            </xdr:cNvCxnSpPr>
          </xdr:nvCxnSpPr>
          <xdr:spPr bwMode="auto">
            <a:xfrm>
              <a:off x="3222350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8" name="直線コネクタ 20"/>
            <xdr:cNvCxnSpPr>
              <a:cxnSpLocks noChangeShapeType="1"/>
            </xdr:cNvCxnSpPr>
          </xdr:nvCxnSpPr>
          <xdr:spPr bwMode="auto">
            <a:xfrm>
              <a:off x="3370609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59" name="直線コネクタ 21"/>
            <xdr:cNvCxnSpPr>
              <a:cxnSpLocks noChangeShapeType="1"/>
            </xdr:cNvCxnSpPr>
          </xdr:nvCxnSpPr>
          <xdr:spPr bwMode="auto">
            <a:xfrm>
              <a:off x="3507271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60" name="直線コネクタ 22"/>
            <xdr:cNvCxnSpPr>
              <a:cxnSpLocks noChangeShapeType="1"/>
            </xdr:cNvCxnSpPr>
          </xdr:nvCxnSpPr>
          <xdr:spPr bwMode="auto">
            <a:xfrm>
              <a:off x="3655530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61" name="直線コネクタ 23"/>
            <xdr:cNvCxnSpPr>
              <a:cxnSpLocks noChangeShapeType="1"/>
            </xdr:cNvCxnSpPr>
          </xdr:nvCxnSpPr>
          <xdr:spPr bwMode="auto">
            <a:xfrm>
              <a:off x="3808758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62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63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964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290948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49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92</xdr:col>
      <xdr:colOff>9921</xdr:colOff>
      <xdr:row>331</xdr:row>
      <xdr:rowOff>79374</xdr:rowOff>
    </xdr:from>
    <xdr:to>
      <xdr:col>100</xdr:col>
      <xdr:colOff>46302</xdr:colOff>
      <xdr:row>334</xdr:row>
      <xdr:rowOff>79375</xdr:rowOff>
    </xdr:to>
    <xdr:sp macro="" textlink="">
      <xdr:nvSpPr>
        <xdr:cNvPr id="5642" name="Rectangle 218"/>
        <xdr:cNvSpPr>
          <a:spLocks noChangeArrowheads="1"/>
        </xdr:cNvSpPr>
      </xdr:nvSpPr>
      <xdr:spPr bwMode="auto">
        <a:xfrm>
          <a:off x="8402704" y="20342464"/>
          <a:ext cx="755249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83</xdr:col>
      <xdr:colOff>11159</xdr:colOff>
      <xdr:row>331</xdr:row>
      <xdr:rowOff>79374</xdr:rowOff>
    </xdr:from>
    <xdr:to>
      <xdr:col>91</xdr:col>
      <xdr:colOff>39586</xdr:colOff>
      <xdr:row>334</xdr:row>
      <xdr:rowOff>79375</xdr:rowOff>
    </xdr:to>
    <xdr:sp macro="" textlink="">
      <xdr:nvSpPr>
        <xdr:cNvPr id="5643" name="Rectangle 218"/>
        <xdr:cNvSpPr>
          <a:spLocks noChangeArrowheads="1"/>
        </xdr:cNvSpPr>
      </xdr:nvSpPr>
      <xdr:spPr bwMode="auto">
        <a:xfrm>
          <a:off x="7251647" y="28821806"/>
          <a:ext cx="713037" cy="256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79715</xdr:colOff>
      <xdr:row>332</xdr:row>
      <xdr:rowOff>55256</xdr:rowOff>
    </xdr:from>
    <xdr:to>
      <xdr:col>85</xdr:col>
      <xdr:colOff>26799</xdr:colOff>
      <xdr:row>335</xdr:row>
      <xdr:rowOff>55257</xdr:rowOff>
    </xdr:to>
    <xdr:sp macro="" textlink="">
      <xdr:nvSpPr>
        <xdr:cNvPr id="5644" name="Rectangle 218"/>
        <xdr:cNvSpPr>
          <a:spLocks noChangeArrowheads="1"/>
        </xdr:cNvSpPr>
      </xdr:nvSpPr>
      <xdr:spPr bwMode="auto">
        <a:xfrm>
          <a:off x="7034762" y="20408204"/>
          <a:ext cx="755811" cy="269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29</xdr:col>
      <xdr:colOff>62593</xdr:colOff>
      <xdr:row>348</xdr:row>
      <xdr:rowOff>16600</xdr:rowOff>
    </xdr:from>
    <xdr:ext cx="423193" cy="183384"/>
    <xdr:sp macro="" textlink="">
      <xdr:nvSpPr>
        <xdr:cNvPr id="5645" name="Rectangle 217"/>
        <xdr:cNvSpPr>
          <a:spLocks noChangeArrowheads="1"/>
        </xdr:cNvSpPr>
      </xdr:nvSpPr>
      <xdr:spPr bwMode="auto">
        <a:xfrm>
          <a:off x="2681968" y="3026800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38</xdr:col>
      <xdr:colOff>47625</xdr:colOff>
      <xdr:row>348</xdr:row>
      <xdr:rowOff>76200</xdr:rowOff>
    </xdr:from>
    <xdr:to>
      <xdr:col>60</xdr:col>
      <xdr:colOff>9525</xdr:colOff>
      <xdr:row>356</xdr:row>
      <xdr:rowOff>19050</xdr:rowOff>
    </xdr:to>
    <xdr:grpSp>
      <xdr:nvGrpSpPr>
        <xdr:cNvPr id="3288586" name="グループ化 1141"/>
        <xdr:cNvGrpSpPr>
          <a:grpSpLocks/>
        </xdr:cNvGrpSpPr>
      </xdr:nvGrpSpPr>
      <xdr:grpSpPr bwMode="auto">
        <a:xfrm>
          <a:off x="3476625" y="30625473"/>
          <a:ext cx="1866900" cy="635577"/>
          <a:chOff x="16566173" y="778212"/>
          <a:chExt cx="1824404" cy="612438"/>
        </a:xfrm>
      </xdr:grpSpPr>
      <xdr:cxnSp macro="">
        <xdr:nvCxnSpPr>
          <xdr:cNvPr id="5647" name="直線コネクタ 5646"/>
          <xdr:cNvCxnSpPr/>
        </xdr:nvCxnSpPr>
        <xdr:spPr>
          <a:xfrm>
            <a:off x="16566173" y="787491"/>
            <a:ext cx="592461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48" name="直線コネクタ 5647"/>
          <xdr:cNvCxnSpPr/>
        </xdr:nvCxnSpPr>
        <xdr:spPr>
          <a:xfrm>
            <a:off x="16566173" y="1167945"/>
            <a:ext cx="18150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49" name="直線コネクタ 5648"/>
          <xdr:cNvCxnSpPr/>
        </xdr:nvCxnSpPr>
        <xdr:spPr>
          <a:xfrm>
            <a:off x="17798116" y="787491"/>
            <a:ext cx="592461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0" name="直線コネクタ 5649"/>
          <xdr:cNvCxnSpPr/>
        </xdr:nvCxnSpPr>
        <xdr:spPr bwMode="auto">
          <a:xfrm>
            <a:off x="17798116" y="815329"/>
            <a:ext cx="40437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1" name="直線コネクタ 5650"/>
          <xdr:cNvCxnSpPr/>
        </xdr:nvCxnSpPr>
        <xdr:spPr bwMode="auto">
          <a:xfrm>
            <a:off x="16754256" y="815329"/>
            <a:ext cx="40437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2" name="直線コネクタ 5651"/>
          <xdr:cNvCxnSpPr/>
        </xdr:nvCxnSpPr>
        <xdr:spPr bwMode="auto">
          <a:xfrm>
            <a:off x="17158634" y="815329"/>
            <a:ext cx="0" cy="519644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3" name="直線コネクタ 5652"/>
          <xdr:cNvCxnSpPr/>
        </xdr:nvCxnSpPr>
        <xdr:spPr bwMode="auto">
          <a:xfrm>
            <a:off x="16951743" y="1334974"/>
            <a:ext cx="206891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4" name="直線コネクタ 5653"/>
          <xdr:cNvCxnSpPr/>
        </xdr:nvCxnSpPr>
        <xdr:spPr bwMode="auto">
          <a:xfrm>
            <a:off x="17807520" y="815329"/>
            <a:ext cx="0" cy="519644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5" name="直線コネクタ 5654"/>
          <xdr:cNvCxnSpPr/>
        </xdr:nvCxnSpPr>
        <xdr:spPr bwMode="auto">
          <a:xfrm>
            <a:off x="17807520" y="1334974"/>
            <a:ext cx="197487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6" name="直線コネクタ 5655"/>
          <xdr:cNvCxnSpPr/>
        </xdr:nvCxnSpPr>
        <xdr:spPr bwMode="auto">
          <a:xfrm>
            <a:off x="16857701" y="1362812"/>
            <a:ext cx="1231943" cy="0"/>
          </a:xfrm>
          <a:prstGeom prst="line">
            <a:avLst/>
          </a:prstGeom>
          <a:ln w="1905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7" name="直線コネクタ 5656"/>
          <xdr:cNvCxnSpPr/>
        </xdr:nvCxnSpPr>
        <xdr:spPr bwMode="auto">
          <a:xfrm flipH="1">
            <a:off x="18089644" y="1149387"/>
            <a:ext cx="216295" cy="213425"/>
          </a:xfrm>
          <a:prstGeom prst="line">
            <a:avLst/>
          </a:prstGeom>
          <a:ln w="1905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8" name="直線コネクタ 5657"/>
          <xdr:cNvCxnSpPr/>
        </xdr:nvCxnSpPr>
        <xdr:spPr>
          <a:xfrm>
            <a:off x="17854541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9" name="直線コネクタ 5658"/>
          <xdr:cNvCxnSpPr/>
        </xdr:nvCxnSpPr>
        <xdr:spPr>
          <a:xfrm>
            <a:off x="17976795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0" name="直線コネクタ 5659"/>
          <xdr:cNvCxnSpPr/>
        </xdr:nvCxnSpPr>
        <xdr:spPr>
          <a:xfrm>
            <a:off x="18089644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1" name="直線コネクタ 5660"/>
          <xdr:cNvCxnSpPr/>
        </xdr:nvCxnSpPr>
        <xdr:spPr>
          <a:xfrm>
            <a:off x="17130422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2" name="直線コネクタ 5661"/>
          <xdr:cNvCxnSpPr/>
        </xdr:nvCxnSpPr>
        <xdr:spPr>
          <a:xfrm>
            <a:off x="17008168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3" name="直線コネクタ 5662"/>
          <xdr:cNvCxnSpPr/>
        </xdr:nvCxnSpPr>
        <xdr:spPr>
          <a:xfrm>
            <a:off x="16885914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4" name="直線コネクタ 5663"/>
          <xdr:cNvCxnSpPr/>
        </xdr:nvCxnSpPr>
        <xdr:spPr bwMode="auto">
          <a:xfrm>
            <a:off x="16857701" y="1140107"/>
            <a:ext cx="1231943" cy="0"/>
          </a:xfrm>
          <a:prstGeom prst="line">
            <a:avLst/>
          </a:prstGeom>
          <a:ln w="12700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5" name="直線コネクタ 5664"/>
          <xdr:cNvCxnSpPr/>
        </xdr:nvCxnSpPr>
        <xdr:spPr bwMode="auto">
          <a:xfrm>
            <a:off x="17478375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6" name="直線コネクタ 5665"/>
          <xdr:cNvCxnSpPr/>
        </xdr:nvCxnSpPr>
        <xdr:spPr bwMode="auto">
          <a:xfrm>
            <a:off x="17572416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7" name="直線コネクタ 5666"/>
          <xdr:cNvCxnSpPr/>
        </xdr:nvCxnSpPr>
        <xdr:spPr bwMode="auto">
          <a:xfrm>
            <a:off x="17666458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8" name="直線コネクタ 5667"/>
          <xdr:cNvCxnSpPr/>
        </xdr:nvCxnSpPr>
        <xdr:spPr bwMode="auto">
          <a:xfrm>
            <a:off x="17741691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9" name="直線コネクタ 5668"/>
          <xdr:cNvCxnSpPr/>
        </xdr:nvCxnSpPr>
        <xdr:spPr bwMode="auto">
          <a:xfrm>
            <a:off x="17384334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70" name="直線コネクタ 5669"/>
          <xdr:cNvCxnSpPr/>
        </xdr:nvCxnSpPr>
        <xdr:spPr bwMode="auto">
          <a:xfrm>
            <a:off x="17290292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71" name="直線コネクタ 5670"/>
          <xdr:cNvCxnSpPr/>
        </xdr:nvCxnSpPr>
        <xdr:spPr bwMode="auto">
          <a:xfrm>
            <a:off x="17215059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72" name="直線コネクタ 5671"/>
          <xdr:cNvCxnSpPr/>
        </xdr:nvCxnSpPr>
        <xdr:spPr bwMode="auto">
          <a:xfrm>
            <a:off x="17450163" y="1325694"/>
            <a:ext cx="225699" cy="0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73" name="直線コネクタ 5672"/>
          <xdr:cNvCxnSpPr/>
        </xdr:nvCxnSpPr>
        <xdr:spPr bwMode="auto">
          <a:xfrm flipV="1">
            <a:off x="17675862" y="926682"/>
            <a:ext cx="385570" cy="399013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74" name="直線コネクタ 5673"/>
          <xdr:cNvCxnSpPr/>
        </xdr:nvCxnSpPr>
        <xdr:spPr bwMode="auto">
          <a:xfrm>
            <a:off x="17299696" y="1344253"/>
            <a:ext cx="225699" cy="0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75" name="直線コネクタ 5674"/>
          <xdr:cNvCxnSpPr/>
        </xdr:nvCxnSpPr>
        <xdr:spPr bwMode="auto">
          <a:xfrm flipH="1" flipV="1">
            <a:off x="16895318" y="954520"/>
            <a:ext cx="413782" cy="389733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38100</xdr:colOff>
      <xdr:row>346</xdr:row>
      <xdr:rowOff>19050</xdr:rowOff>
    </xdr:from>
    <xdr:to>
      <xdr:col>34</xdr:col>
      <xdr:colOff>0</xdr:colOff>
      <xdr:row>347</xdr:row>
      <xdr:rowOff>66675</xdr:rowOff>
    </xdr:to>
    <xdr:grpSp>
      <xdr:nvGrpSpPr>
        <xdr:cNvPr id="3288587" name="Group 350"/>
        <xdr:cNvGrpSpPr>
          <a:grpSpLocks/>
        </xdr:cNvGrpSpPr>
      </xdr:nvGrpSpPr>
      <xdr:grpSpPr bwMode="auto">
        <a:xfrm>
          <a:off x="2687782" y="30395141"/>
          <a:ext cx="394854" cy="134216"/>
          <a:chOff x="340" y="51"/>
          <a:chExt cx="60" cy="20"/>
        </a:xfrm>
      </xdr:grpSpPr>
      <xdr:sp macro="" textlink="">
        <xdr:nvSpPr>
          <xdr:cNvPr id="3290915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916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17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19384</xdr:colOff>
      <xdr:row>358</xdr:row>
      <xdr:rowOff>3038</xdr:rowOff>
    </xdr:from>
    <xdr:to>
      <xdr:col>31</xdr:col>
      <xdr:colOff>3354</xdr:colOff>
      <xdr:row>358</xdr:row>
      <xdr:rowOff>3038</xdr:rowOff>
    </xdr:to>
    <xdr:cxnSp macro="">
      <xdr:nvCxnSpPr>
        <xdr:cNvPr id="5680" name="直線コネクタ 5679"/>
        <xdr:cNvCxnSpPr/>
      </xdr:nvCxnSpPr>
      <xdr:spPr bwMode="auto">
        <a:xfrm>
          <a:off x="2840941" y="40655019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360</xdr:row>
      <xdr:rowOff>0</xdr:rowOff>
    </xdr:from>
    <xdr:to>
      <xdr:col>40</xdr:col>
      <xdr:colOff>0</xdr:colOff>
      <xdr:row>363</xdr:row>
      <xdr:rowOff>0</xdr:rowOff>
    </xdr:to>
    <xdr:grpSp>
      <xdr:nvGrpSpPr>
        <xdr:cNvPr id="3288589" name="グループ化 1"/>
        <xdr:cNvGrpSpPr>
          <a:grpSpLocks/>
        </xdr:cNvGrpSpPr>
      </xdr:nvGrpSpPr>
      <xdr:grpSpPr bwMode="auto">
        <a:xfrm>
          <a:off x="3245427" y="31588364"/>
          <a:ext cx="356755" cy="259772"/>
          <a:chOff x="3724275" y="1824264"/>
          <a:chExt cx="390526" cy="286252"/>
        </a:xfrm>
      </xdr:grpSpPr>
      <xdr:sp macro="" textlink="">
        <xdr:nvSpPr>
          <xdr:cNvPr id="3290912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13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14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54</xdr:col>
      <xdr:colOff>76200</xdr:colOff>
      <xdr:row>360</xdr:row>
      <xdr:rowOff>0</xdr:rowOff>
    </xdr:from>
    <xdr:to>
      <xdr:col>59</xdr:col>
      <xdr:colOff>0</xdr:colOff>
      <xdr:row>363</xdr:row>
      <xdr:rowOff>0</xdr:rowOff>
    </xdr:to>
    <xdr:grpSp>
      <xdr:nvGrpSpPr>
        <xdr:cNvPr id="3288590" name="グループ化 1"/>
        <xdr:cNvGrpSpPr>
          <a:grpSpLocks/>
        </xdr:cNvGrpSpPr>
      </xdr:nvGrpSpPr>
      <xdr:grpSpPr bwMode="auto">
        <a:xfrm>
          <a:off x="4890655" y="31588364"/>
          <a:ext cx="356754" cy="259772"/>
          <a:chOff x="3724275" y="1824264"/>
          <a:chExt cx="390526" cy="286252"/>
        </a:xfrm>
      </xdr:grpSpPr>
      <xdr:sp macro="" textlink="">
        <xdr:nvSpPr>
          <xdr:cNvPr id="3290909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910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911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78607</xdr:colOff>
      <xdr:row>376</xdr:row>
      <xdr:rowOff>17109</xdr:rowOff>
    </xdr:from>
    <xdr:to>
      <xdr:col>30</xdr:col>
      <xdr:colOff>67138</xdr:colOff>
      <xdr:row>376</xdr:row>
      <xdr:rowOff>17208</xdr:rowOff>
    </xdr:to>
    <xdr:cxnSp macro="">
      <xdr:nvCxnSpPr>
        <xdr:cNvPr id="5689" name="直線コネクタ 5688"/>
        <xdr:cNvCxnSpPr/>
      </xdr:nvCxnSpPr>
      <xdr:spPr>
        <a:xfrm flipH="1" flipV="1">
          <a:off x="2810305" y="42286543"/>
          <a:ext cx="78390" cy="99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6046</xdr:colOff>
      <xdr:row>397</xdr:row>
      <xdr:rowOff>87337</xdr:rowOff>
    </xdr:from>
    <xdr:to>
      <xdr:col>30</xdr:col>
      <xdr:colOff>79516</xdr:colOff>
      <xdr:row>397</xdr:row>
      <xdr:rowOff>87337</xdr:rowOff>
    </xdr:to>
    <xdr:cxnSp macro="">
      <xdr:nvCxnSpPr>
        <xdr:cNvPr id="5690" name="直線コネクタ 5689"/>
        <xdr:cNvCxnSpPr/>
      </xdr:nvCxnSpPr>
      <xdr:spPr bwMode="auto">
        <a:xfrm>
          <a:off x="2827603" y="44243799"/>
          <a:ext cx="7347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385</xdr:row>
      <xdr:rowOff>0</xdr:rowOff>
    </xdr:from>
    <xdr:to>
      <xdr:col>60</xdr:col>
      <xdr:colOff>76200</xdr:colOff>
      <xdr:row>390</xdr:row>
      <xdr:rowOff>57150</xdr:rowOff>
    </xdr:to>
    <xdr:grpSp>
      <xdr:nvGrpSpPr>
        <xdr:cNvPr id="3288593" name="グループ化 31"/>
        <xdr:cNvGrpSpPr>
          <a:grpSpLocks/>
        </xdr:cNvGrpSpPr>
      </xdr:nvGrpSpPr>
      <xdr:grpSpPr bwMode="auto">
        <a:xfrm>
          <a:off x="3178752" y="33753136"/>
          <a:ext cx="2231448" cy="490105"/>
          <a:chOff x="2070308" y="2363715"/>
          <a:chExt cx="2820993" cy="695788"/>
        </a:xfrm>
      </xdr:grpSpPr>
      <xdr:cxnSp macro="">
        <xdr:nvCxnSpPr>
          <xdr:cNvPr id="3290893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894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895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896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897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898" name="直線コネクタ 16"/>
          <xdr:cNvCxnSpPr>
            <a:cxnSpLocks noChangeShapeType="1"/>
          </xdr:cNvCxnSpPr>
        </xdr:nvCxnSpPr>
        <xdr:spPr bwMode="auto">
          <a:xfrm>
            <a:off x="2937429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899" name="直線コネクタ 18"/>
          <xdr:cNvCxnSpPr>
            <a:cxnSpLocks noChangeShapeType="1"/>
          </xdr:cNvCxnSpPr>
        </xdr:nvCxnSpPr>
        <xdr:spPr bwMode="auto">
          <a:xfrm>
            <a:off x="3085688" y="2504661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0" name="直線コネクタ 19"/>
          <xdr:cNvCxnSpPr>
            <a:cxnSpLocks noChangeShapeType="1"/>
          </xdr:cNvCxnSpPr>
        </xdr:nvCxnSpPr>
        <xdr:spPr bwMode="auto">
          <a:xfrm>
            <a:off x="3222350" y="250051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1" name="直線コネクタ 20"/>
          <xdr:cNvCxnSpPr>
            <a:cxnSpLocks noChangeShapeType="1"/>
          </xdr:cNvCxnSpPr>
        </xdr:nvCxnSpPr>
        <xdr:spPr bwMode="auto">
          <a:xfrm>
            <a:off x="3370609" y="2499691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2" name="直線コネクタ 21"/>
          <xdr:cNvCxnSpPr>
            <a:cxnSpLocks noChangeShapeType="1"/>
          </xdr:cNvCxnSpPr>
        </xdr:nvCxnSpPr>
        <xdr:spPr bwMode="auto">
          <a:xfrm>
            <a:off x="3507271" y="2503832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3" name="直線コネクタ 22"/>
          <xdr:cNvCxnSpPr>
            <a:cxnSpLocks noChangeShapeType="1"/>
          </xdr:cNvCxnSpPr>
        </xdr:nvCxnSpPr>
        <xdr:spPr bwMode="auto">
          <a:xfrm>
            <a:off x="3655530" y="2503004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4" name="直線コネクタ 23"/>
          <xdr:cNvCxnSpPr>
            <a:cxnSpLocks noChangeShapeType="1"/>
          </xdr:cNvCxnSpPr>
        </xdr:nvCxnSpPr>
        <xdr:spPr bwMode="auto">
          <a:xfrm>
            <a:off x="3808758" y="2503004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5" name="直線コネクタ 24"/>
          <xdr:cNvCxnSpPr>
            <a:cxnSpLocks noChangeShapeType="1"/>
          </xdr:cNvCxnSpPr>
        </xdr:nvCxnSpPr>
        <xdr:spPr bwMode="auto">
          <a:xfrm>
            <a:off x="3957017" y="2502176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6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7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908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43</xdr:col>
      <xdr:colOff>60324</xdr:colOff>
      <xdr:row>382</xdr:row>
      <xdr:rowOff>79375</xdr:rowOff>
    </xdr:from>
    <xdr:to>
      <xdr:col>52</xdr:col>
      <xdr:colOff>7408</xdr:colOff>
      <xdr:row>385</xdr:row>
      <xdr:rowOff>79375</xdr:rowOff>
    </xdr:to>
    <xdr:sp macro="" textlink="">
      <xdr:nvSpPr>
        <xdr:cNvPr id="5708" name="Rectangle 218"/>
        <xdr:cNvSpPr>
          <a:spLocks noChangeArrowheads="1"/>
        </xdr:cNvSpPr>
      </xdr:nvSpPr>
      <xdr:spPr bwMode="auto">
        <a:xfrm>
          <a:off x="4050041" y="42887960"/>
          <a:ext cx="755810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14816</xdr:colOff>
      <xdr:row>389</xdr:row>
      <xdr:rowOff>65616</xdr:rowOff>
    </xdr:from>
    <xdr:to>
      <xdr:col>42</xdr:col>
      <xdr:colOff>46567</xdr:colOff>
      <xdr:row>392</xdr:row>
      <xdr:rowOff>65616</xdr:rowOff>
    </xdr:to>
    <xdr:sp macro="" textlink="">
      <xdr:nvSpPr>
        <xdr:cNvPr id="5709" name="Rectangle 218"/>
        <xdr:cNvSpPr>
          <a:spLocks noChangeArrowheads="1"/>
        </xdr:cNvSpPr>
      </xdr:nvSpPr>
      <xdr:spPr bwMode="auto">
        <a:xfrm>
          <a:off x="3195807" y="43503210"/>
          <a:ext cx="750618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61383</xdr:colOff>
      <xdr:row>389</xdr:row>
      <xdr:rowOff>69849</xdr:rowOff>
    </xdr:from>
    <xdr:to>
      <xdr:col>60</xdr:col>
      <xdr:colOff>8467</xdr:colOff>
      <xdr:row>392</xdr:row>
      <xdr:rowOff>69849</xdr:rowOff>
    </xdr:to>
    <xdr:sp macro="" textlink="">
      <xdr:nvSpPr>
        <xdr:cNvPr id="5710" name="Rectangle 218"/>
        <xdr:cNvSpPr>
          <a:spLocks noChangeArrowheads="1"/>
        </xdr:cNvSpPr>
      </xdr:nvSpPr>
      <xdr:spPr bwMode="auto">
        <a:xfrm>
          <a:off x="4769968" y="43507443"/>
          <a:ext cx="755810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84666</xdr:colOff>
      <xdr:row>390</xdr:row>
      <xdr:rowOff>14816</xdr:rowOff>
    </xdr:from>
    <xdr:to>
      <xdr:col>52</xdr:col>
      <xdr:colOff>27517</xdr:colOff>
      <xdr:row>393</xdr:row>
      <xdr:rowOff>14816</xdr:rowOff>
    </xdr:to>
    <xdr:sp macro="" textlink="">
      <xdr:nvSpPr>
        <xdr:cNvPr id="5711" name="Rectangle 218"/>
        <xdr:cNvSpPr>
          <a:spLocks noChangeArrowheads="1"/>
        </xdr:cNvSpPr>
      </xdr:nvSpPr>
      <xdr:spPr bwMode="auto">
        <a:xfrm>
          <a:off x="4074383" y="43542269"/>
          <a:ext cx="751577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66675</xdr:colOff>
      <xdr:row>399</xdr:row>
      <xdr:rowOff>0</xdr:rowOff>
    </xdr:from>
    <xdr:to>
      <xdr:col>39</xdr:col>
      <xdr:colOff>47625</xdr:colOff>
      <xdr:row>401</xdr:row>
      <xdr:rowOff>0</xdr:rowOff>
    </xdr:to>
    <xdr:grpSp>
      <xdr:nvGrpSpPr>
        <xdr:cNvPr id="3288598" name="グループ化 700"/>
        <xdr:cNvGrpSpPr>
          <a:grpSpLocks/>
        </xdr:cNvGrpSpPr>
      </xdr:nvGrpSpPr>
      <xdr:grpSpPr bwMode="auto">
        <a:xfrm>
          <a:off x="3495675" y="34965409"/>
          <a:ext cx="67541" cy="173182"/>
          <a:chOff x="3165758" y="15657662"/>
          <a:chExt cx="67219" cy="163244"/>
        </a:xfrm>
      </xdr:grpSpPr>
      <xdr:sp macro="" textlink="">
        <xdr:nvSpPr>
          <xdr:cNvPr id="3290890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91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92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397</xdr:row>
      <xdr:rowOff>47625</xdr:rowOff>
    </xdr:from>
    <xdr:to>
      <xdr:col>54</xdr:col>
      <xdr:colOff>28575</xdr:colOff>
      <xdr:row>403</xdr:row>
      <xdr:rowOff>47625</xdr:rowOff>
    </xdr:to>
    <xdr:grpSp>
      <xdr:nvGrpSpPr>
        <xdr:cNvPr id="3288599" name="グループ化 702"/>
        <xdr:cNvGrpSpPr>
          <a:grpSpLocks/>
        </xdr:cNvGrpSpPr>
      </xdr:nvGrpSpPr>
      <xdr:grpSpPr bwMode="auto">
        <a:xfrm>
          <a:off x="3649807" y="34839852"/>
          <a:ext cx="1193223" cy="519546"/>
          <a:chOff x="3634154" y="15404026"/>
          <a:chExt cx="1158481" cy="504350"/>
        </a:xfrm>
      </xdr:grpSpPr>
      <xdr:sp macro="" textlink="">
        <xdr:nvSpPr>
          <xdr:cNvPr id="5717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886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87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88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721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34</xdr:col>
      <xdr:colOff>19050</xdr:colOff>
      <xdr:row>376</xdr:row>
      <xdr:rowOff>9525</xdr:rowOff>
    </xdr:from>
    <xdr:to>
      <xdr:col>38</xdr:col>
      <xdr:colOff>9525</xdr:colOff>
      <xdr:row>383</xdr:row>
      <xdr:rowOff>19050</xdr:rowOff>
    </xdr:to>
    <xdr:grpSp>
      <xdr:nvGrpSpPr>
        <xdr:cNvPr id="3288600" name="グループ化 3"/>
        <xdr:cNvGrpSpPr>
          <a:grpSpLocks/>
        </xdr:cNvGrpSpPr>
      </xdr:nvGrpSpPr>
      <xdr:grpSpPr bwMode="auto">
        <a:xfrm>
          <a:off x="3101686" y="32983343"/>
          <a:ext cx="336839" cy="615662"/>
          <a:chOff x="4956932" y="1715005"/>
          <a:chExt cx="367492" cy="648892"/>
        </a:xfrm>
      </xdr:grpSpPr>
      <xdr:grpSp>
        <xdr:nvGrpSpPr>
          <xdr:cNvPr id="3290881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883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884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5724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48</xdr:col>
      <xdr:colOff>68037</xdr:colOff>
      <xdr:row>376</xdr:row>
      <xdr:rowOff>13775</xdr:rowOff>
    </xdr:from>
    <xdr:to>
      <xdr:col>49</xdr:col>
      <xdr:colOff>77331</xdr:colOff>
      <xdr:row>376</xdr:row>
      <xdr:rowOff>13775</xdr:rowOff>
    </xdr:to>
    <xdr:cxnSp macro="">
      <xdr:nvCxnSpPr>
        <xdr:cNvPr id="5727" name="直線コネクタ 5726"/>
        <xdr:cNvCxnSpPr/>
      </xdr:nvCxnSpPr>
      <xdr:spPr bwMode="auto">
        <a:xfrm>
          <a:off x="4507046" y="42283209"/>
          <a:ext cx="99153" cy="0"/>
        </a:xfrm>
        <a:prstGeom prst="line">
          <a:avLst/>
        </a:prstGeom>
        <a:ln w="12700"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6804</xdr:colOff>
      <xdr:row>387</xdr:row>
      <xdr:rowOff>6804</xdr:rowOff>
    </xdr:from>
    <xdr:to>
      <xdr:col>30</xdr:col>
      <xdr:colOff>81311</xdr:colOff>
      <xdr:row>387</xdr:row>
      <xdr:rowOff>6804</xdr:rowOff>
    </xdr:to>
    <xdr:cxnSp macro="">
      <xdr:nvCxnSpPr>
        <xdr:cNvPr id="5728" name="直線コネクタ 5727"/>
        <xdr:cNvCxnSpPr/>
      </xdr:nvCxnSpPr>
      <xdr:spPr bwMode="auto">
        <a:xfrm>
          <a:off x="2828361" y="43264681"/>
          <a:ext cx="74507" cy="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378</xdr:row>
      <xdr:rowOff>57150</xdr:rowOff>
    </xdr:from>
    <xdr:to>
      <xdr:col>60</xdr:col>
      <xdr:colOff>38100</xdr:colOff>
      <xdr:row>380</xdr:row>
      <xdr:rowOff>0</xdr:rowOff>
    </xdr:to>
    <xdr:grpSp>
      <xdr:nvGrpSpPr>
        <xdr:cNvPr id="3288603" name="グループ化 5"/>
        <xdr:cNvGrpSpPr>
          <a:grpSpLocks/>
        </xdr:cNvGrpSpPr>
      </xdr:nvGrpSpPr>
      <xdr:grpSpPr bwMode="auto">
        <a:xfrm>
          <a:off x="4727864" y="33204150"/>
          <a:ext cx="644236" cy="116032"/>
          <a:chOff x="4791075" y="2762250"/>
          <a:chExt cx="714375" cy="142875"/>
        </a:xfrm>
      </xdr:grpSpPr>
      <xdr:sp macro="" textlink="">
        <xdr:nvSpPr>
          <xdr:cNvPr id="3290879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80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19384</xdr:colOff>
      <xdr:row>367</xdr:row>
      <xdr:rowOff>3038</xdr:rowOff>
    </xdr:from>
    <xdr:to>
      <xdr:col>31</xdr:col>
      <xdr:colOff>3354</xdr:colOff>
      <xdr:row>367</xdr:row>
      <xdr:rowOff>3038</xdr:rowOff>
    </xdr:to>
    <xdr:cxnSp macro="">
      <xdr:nvCxnSpPr>
        <xdr:cNvPr id="5732" name="直線コネクタ 5731"/>
        <xdr:cNvCxnSpPr/>
      </xdr:nvCxnSpPr>
      <xdr:spPr bwMode="auto">
        <a:xfrm>
          <a:off x="2840941" y="41463746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19384</xdr:colOff>
      <xdr:row>367</xdr:row>
      <xdr:rowOff>3038</xdr:rowOff>
    </xdr:from>
    <xdr:to>
      <xdr:col>31</xdr:col>
      <xdr:colOff>3354</xdr:colOff>
      <xdr:row>367</xdr:row>
      <xdr:rowOff>3038</xdr:rowOff>
    </xdr:to>
    <xdr:cxnSp macro="">
      <xdr:nvCxnSpPr>
        <xdr:cNvPr id="5733" name="直線コネクタ 5732"/>
        <xdr:cNvCxnSpPr/>
      </xdr:nvCxnSpPr>
      <xdr:spPr bwMode="auto">
        <a:xfrm>
          <a:off x="2840941" y="41463746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</xdr:colOff>
      <xdr:row>368</xdr:row>
      <xdr:rowOff>38100</xdr:rowOff>
    </xdr:from>
    <xdr:to>
      <xdr:col>40</xdr:col>
      <xdr:colOff>66675</xdr:colOff>
      <xdr:row>373</xdr:row>
      <xdr:rowOff>28575</xdr:rowOff>
    </xdr:to>
    <xdr:grpSp>
      <xdr:nvGrpSpPr>
        <xdr:cNvPr id="3288606" name="グループ化 648"/>
        <xdr:cNvGrpSpPr>
          <a:grpSpLocks/>
        </xdr:cNvGrpSpPr>
      </xdr:nvGrpSpPr>
      <xdr:grpSpPr bwMode="auto">
        <a:xfrm flipH="1">
          <a:off x="3120736" y="32319191"/>
          <a:ext cx="548121" cy="423429"/>
          <a:chOff x="1767052" y="985345"/>
          <a:chExt cx="1193995" cy="785448"/>
        </a:xfrm>
      </xdr:grpSpPr>
      <xdr:cxnSp macro="">
        <xdr:nvCxnSpPr>
          <xdr:cNvPr id="5735" name="直線コネクタ 5734"/>
          <xdr:cNvCxnSpPr/>
        </xdr:nvCxnSpPr>
        <xdr:spPr>
          <a:xfrm flipV="1">
            <a:off x="1767052" y="985345"/>
            <a:ext cx="816944" cy="285617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36" name="直線コネクタ 5735"/>
          <xdr:cNvCxnSpPr/>
        </xdr:nvCxnSpPr>
        <xdr:spPr>
          <a:xfrm>
            <a:off x="2583996" y="985345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37" name="直線コネクタ 5736"/>
          <xdr:cNvCxnSpPr/>
        </xdr:nvCxnSpPr>
        <xdr:spPr>
          <a:xfrm>
            <a:off x="2583996" y="1556580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38" name="直線コネクタ 5737"/>
          <xdr:cNvCxnSpPr/>
        </xdr:nvCxnSpPr>
        <xdr:spPr>
          <a:xfrm>
            <a:off x="2961047" y="1181707"/>
            <a:ext cx="0" cy="58908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39" name="直線コネクタ 5738"/>
          <xdr:cNvCxnSpPr/>
        </xdr:nvCxnSpPr>
        <xdr:spPr>
          <a:xfrm>
            <a:off x="2583996" y="985345"/>
            <a:ext cx="0" cy="58908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30904</xdr:colOff>
      <xdr:row>372</xdr:row>
      <xdr:rowOff>59690</xdr:rowOff>
    </xdr:from>
    <xdr:to>
      <xdr:col>39</xdr:col>
      <xdr:colOff>4446</xdr:colOff>
      <xdr:row>374</xdr:row>
      <xdr:rowOff>64982</xdr:rowOff>
    </xdr:to>
    <xdr:sp macro="" textlink="">
      <xdr:nvSpPr>
        <xdr:cNvPr id="5740" name="テキスト ボックス 5739"/>
        <xdr:cNvSpPr txBox="1"/>
      </xdr:nvSpPr>
      <xdr:spPr>
        <a:xfrm>
          <a:off x="3122036" y="41969690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350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34926</xdr:colOff>
      <xdr:row>367</xdr:row>
      <xdr:rowOff>34924</xdr:rowOff>
    </xdr:from>
    <xdr:to>
      <xdr:col>42</xdr:col>
      <xdr:colOff>8468</xdr:colOff>
      <xdr:row>369</xdr:row>
      <xdr:rowOff>40216</xdr:rowOff>
    </xdr:to>
    <xdr:sp macro="" textlink="">
      <xdr:nvSpPr>
        <xdr:cNvPr id="5741" name="テキスト ボックス 5740"/>
        <xdr:cNvSpPr txBox="1"/>
      </xdr:nvSpPr>
      <xdr:spPr>
        <a:xfrm>
          <a:off x="3395634" y="41495632"/>
          <a:ext cx="512692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3085</xdr:colOff>
      <xdr:row>369</xdr:row>
      <xdr:rowOff>35922</xdr:rowOff>
    </xdr:from>
    <xdr:to>
      <xdr:col>37</xdr:col>
      <xdr:colOff>41185</xdr:colOff>
      <xdr:row>370</xdr:row>
      <xdr:rowOff>70212</xdr:rowOff>
    </xdr:to>
    <xdr:sp macro="" textlink="">
      <xdr:nvSpPr>
        <xdr:cNvPr id="5742" name="正方形/長方形 5741"/>
        <xdr:cNvSpPr/>
      </xdr:nvSpPr>
      <xdr:spPr>
        <a:xfrm>
          <a:off x="3273934" y="41676347"/>
          <a:ext cx="217817" cy="1241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33</xdr:col>
      <xdr:colOff>41632</xdr:colOff>
      <xdr:row>368</xdr:row>
      <xdr:rowOff>80493</xdr:rowOff>
    </xdr:from>
    <xdr:to>
      <xdr:col>39</xdr:col>
      <xdr:colOff>90</xdr:colOff>
      <xdr:row>371</xdr:row>
      <xdr:rowOff>21408</xdr:rowOff>
    </xdr:to>
    <xdr:sp macro="" textlink="">
      <xdr:nvSpPr>
        <xdr:cNvPr id="5743" name="テキスト ボックス 5742"/>
        <xdr:cNvSpPr txBox="1"/>
      </xdr:nvSpPr>
      <xdr:spPr>
        <a:xfrm>
          <a:off x="3132764" y="41631059"/>
          <a:ext cx="497609" cy="210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550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29767</xdr:colOff>
      <xdr:row>372</xdr:row>
      <xdr:rowOff>11906</xdr:rowOff>
    </xdr:from>
    <xdr:to>
      <xdr:col>39</xdr:col>
      <xdr:colOff>33566</xdr:colOff>
      <xdr:row>373</xdr:row>
      <xdr:rowOff>41672</xdr:rowOff>
    </xdr:to>
    <xdr:cxnSp macro="">
      <xdr:nvCxnSpPr>
        <xdr:cNvPr id="5744" name="直線コネクタ 5743"/>
        <xdr:cNvCxnSpPr/>
      </xdr:nvCxnSpPr>
      <xdr:spPr bwMode="auto">
        <a:xfrm flipH="1" flipV="1">
          <a:off x="3390475" y="41921906"/>
          <a:ext cx="273374" cy="119624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19384</xdr:colOff>
      <xdr:row>367</xdr:row>
      <xdr:rowOff>3038</xdr:rowOff>
    </xdr:from>
    <xdr:to>
      <xdr:col>50</xdr:col>
      <xdr:colOff>3354</xdr:colOff>
      <xdr:row>367</xdr:row>
      <xdr:rowOff>3038</xdr:rowOff>
    </xdr:to>
    <xdr:cxnSp macro="">
      <xdr:nvCxnSpPr>
        <xdr:cNvPr id="5745" name="直線コネクタ 5744"/>
        <xdr:cNvCxnSpPr/>
      </xdr:nvCxnSpPr>
      <xdr:spPr bwMode="auto">
        <a:xfrm>
          <a:off x="4548252" y="41463746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38100</xdr:colOff>
      <xdr:row>368</xdr:row>
      <xdr:rowOff>38100</xdr:rowOff>
    </xdr:from>
    <xdr:to>
      <xdr:col>59</xdr:col>
      <xdr:colOff>66675</xdr:colOff>
      <xdr:row>373</xdr:row>
      <xdr:rowOff>28575</xdr:rowOff>
    </xdr:to>
    <xdr:grpSp>
      <xdr:nvGrpSpPr>
        <xdr:cNvPr id="3288613" name="グループ化 648"/>
        <xdr:cNvGrpSpPr>
          <a:grpSpLocks/>
        </xdr:cNvGrpSpPr>
      </xdr:nvGrpSpPr>
      <xdr:grpSpPr bwMode="auto">
        <a:xfrm flipH="1">
          <a:off x="4765964" y="32319191"/>
          <a:ext cx="548120" cy="423429"/>
          <a:chOff x="1767052" y="985345"/>
          <a:chExt cx="1193995" cy="785448"/>
        </a:xfrm>
      </xdr:grpSpPr>
      <xdr:cxnSp macro="">
        <xdr:nvCxnSpPr>
          <xdr:cNvPr id="5747" name="直線コネクタ 5746"/>
          <xdr:cNvCxnSpPr/>
        </xdr:nvCxnSpPr>
        <xdr:spPr>
          <a:xfrm flipV="1">
            <a:off x="1767052" y="985345"/>
            <a:ext cx="816944" cy="285617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48" name="直線コネクタ 5747"/>
          <xdr:cNvCxnSpPr/>
        </xdr:nvCxnSpPr>
        <xdr:spPr>
          <a:xfrm>
            <a:off x="2583996" y="985345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49" name="直線コネクタ 5748"/>
          <xdr:cNvCxnSpPr/>
        </xdr:nvCxnSpPr>
        <xdr:spPr>
          <a:xfrm>
            <a:off x="2583996" y="1556580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50" name="直線コネクタ 5749"/>
          <xdr:cNvCxnSpPr/>
        </xdr:nvCxnSpPr>
        <xdr:spPr>
          <a:xfrm>
            <a:off x="2961047" y="1181707"/>
            <a:ext cx="0" cy="58908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51" name="直線コネクタ 5750"/>
          <xdr:cNvCxnSpPr/>
        </xdr:nvCxnSpPr>
        <xdr:spPr>
          <a:xfrm>
            <a:off x="2583996" y="985345"/>
            <a:ext cx="0" cy="58908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30904</xdr:colOff>
      <xdr:row>372</xdr:row>
      <xdr:rowOff>59690</xdr:rowOff>
    </xdr:from>
    <xdr:to>
      <xdr:col>58</xdr:col>
      <xdr:colOff>4446</xdr:colOff>
      <xdr:row>374</xdr:row>
      <xdr:rowOff>64982</xdr:rowOff>
    </xdr:to>
    <xdr:sp macro="" textlink="">
      <xdr:nvSpPr>
        <xdr:cNvPr id="5752" name="テキスト ボックス 5751"/>
        <xdr:cNvSpPr txBox="1"/>
      </xdr:nvSpPr>
      <xdr:spPr>
        <a:xfrm>
          <a:off x="4829347" y="41969690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34926</xdr:colOff>
      <xdr:row>367</xdr:row>
      <xdr:rowOff>34924</xdr:rowOff>
    </xdr:from>
    <xdr:to>
      <xdr:col>61</xdr:col>
      <xdr:colOff>8468</xdr:colOff>
      <xdr:row>369</xdr:row>
      <xdr:rowOff>40216</xdr:rowOff>
    </xdr:to>
    <xdr:sp macro="" textlink="">
      <xdr:nvSpPr>
        <xdr:cNvPr id="5753" name="テキスト ボックス 5752"/>
        <xdr:cNvSpPr txBox="1"/>
      </xdr:nvSpPr>
      <xdr:spPr>
        <a:xfrm>
          <a:off x="5102945" y="41495632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3085</xdr:colOff>
      <xdr:row>369</xdr:row>
      <xdr:rowOff>35922</xdr:rowOff>
    </xdr:from>
    <xdr:to>
      <xdr:col>56</xdr:col>
      <xdr:colOff>41185</xdr:colOff>
      <xdr:row>370</xdr:row>
      <xdr:rowOff>70212</xdr:rowOff>
    </xdr:to>
    <xdr:sp macro="" textlink="">
      <xdr:nvSpPr>
        <xdr:cNvPr id="5754" name="正方形/長方形 5753"/>
        <xdr:cNvSpPr/>
      </xdr:nvSpPr>
      <xdr:spPr>
        <a:xfrm>
          <a:off x="4981245" y="41676347"/>
          <a:ext cx="217817" cy="1241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52</xdr:col>
      <xdr:colOff>37822</xdr:colOff>
      <xdr:row>368</xdr:row>
      <xdr:rowOff>84303</xdr:rowOff>
    </xdr:from>
    <xdr:to>
      <xdr:col>57</xdr:col>
      <xdr:colOff>83910</xdr:colOff>
      <xdr:row>371</xdr:row>
      <xdr:rowOff>25218</xdr:rowOff>
    </xdr:to>
    <xdr:sp macro="" textlink="">
      <xdr:nvSpPr>
        <xdr:cNvPr id="5755" name="テキスト ボックス 5754"/>
        <xdr:cNvSpPr txBox="1"/>
      </xdr:nvSpPr>
      <xdr:spPr>
        <a:xfrm>
          <a:off x="4836265" y="41634869"/>
          <a:ext cx="495381" cy="210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500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29767</xdr:colOff>
      <xdr:row>372</xdr:row>
      <xdr:rowOff>11906</xdr:rowOff>
    </xdr:from>
    <xdr:to>
      <xdr:col>58</xdr:col>
      <xdr:colOff>33566</xdr:colOff>
      <xdr:row>373</xdr:row>
      <xdr:rowOff>41672</xdr:rowOff>
    </xdr:to>
    <xdr:cxnSp macro="">
      <xdr:nvCxnSpPr>
        <xdr:cNvPr id="5756" name="直線コネクタ 5755"/>
        <xdr:cNvCxnSpPr/>
      </xdr:nvCxnSpPr>
      <xdr:spPr bwMode="auto">
        <a:xfrm flipH="1" flipV="1">
          <a:off x="5097786" y="41921906"/>
          <a:ext cx="273374" cy="119624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62593</xdr:colOff>
      <xdr:row>348</xdr:row>
      <xdr:rowOff>16600</xdr:rowOff>
    </xdr:from>
    <xdr:ext cx="423193" cy="183384"/>
    <xdr:sp macro="" textlink="">
      <xdr:nvSpPr>
        <xdr:cNvPr id="5757" name="Rectangle 217"/>
        <xdr:cNvSpPr>
          <a:spLocks noChangeArrowheads="1"/>
        </xdr:cNvSpPr>
      </xdr:nvSpPr>
      <xdr:spPr bwMode="auto">
        <a:xfrm>
          <a:off x="6110968" y="3026800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346</xdr:row>
      <xdr:rowOff>19050</xdr:rowOff>
    </xdr:from>
    <xdr:to>
      <xdr:col>74</xdr:col>
      <xdr:colOff>0</xdr:colOff>
      <xdr:row>347</xdr:row>
      <xdr:rowOff>66675</xdr:rowOff>
    </xdr:to>
    <xdr:grpSp>
      <xdr:nvGrpSpPr>
        <xdr:cNvPr id="3288620" name="Group 350"/>
        <xdr:cNvGrpSpPr>
          <a:grpSpLocks/>
        </xdr:cNvGrpSpPr>
      </xdr:nvGrpSpPr>
      <xdr:grpSpPr bwMode="auto">
        <a:xfrm>
          <a:off x="6151418" y="30395141"/>
          <a:ext cx="394855" cy="134216"/>
          <a:chOff x="340" y="51"/>
          <a:chExt cx="60" cy="20"/>
        </a:xfrm>
      </xdr:grpSpPr>
      <xdr:sp macro="" textlink="">
        <xdr:nvSpPr>
          <xdr:cNvPr id="3290866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867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68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358</xdr:row>
      <xdr:rowOff>3038</xdr:rowOff>
    </xdr:from>
    <xdr:to>
      <xdr:col>71</xdr:col>
      <xdr:colOff>3354</xdr:colOff>
      <xdr:row>358</xdr:row>
      <xdr:rowOff>3038</xdr:rowOff>
    </xdr:to>
    <xdr:cxnSp macro="">
      <xdr:nvCxnSpPr>
        <xdr:cNvPr id="5792" name="直線コネクタ 5791"/>
        <xdr:cNvCxnSpPr/>
      </xdr:nvCxnSpPr>
      <xdr:spPr bwMode="auto">
        <a:xfrm>
          <a:off x="2840941" y="70757613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76200</xdr:colOff>
      <xdr:row>360</xdr:row>
      <xdr:rowOff>0</xdr:rowOff>
    </xdr:from>
    <xdr:to>
      <xdr:col>80</xdr:col>
      <xdr:colOff>0</xdr:colOff>
      <xdr:row>363</xdr:row>
      <xdr:rowOff>0</xdr:rowOff>
    </xdr:to>
    <xdr:grpSp>
      <xdr:nvGrpSpPr>
        <xdr:cNvPr id="3288622" name="グループ化 1"/>
        <xdr:cNvGrpSpPr>
          <a:grpSpLocks/>
        </xdr:cNvGrpSpPr>
      </xdr:nvGrpSpPr>
      <xdr:grpSpPr bwMode="auto">
        <a:xfrm>
          <a:off x="6709064" y="31588364"/>
          <a:ext cx="356754" cy="259772"/>
          <a:chOff x="3724275" y="1824264"/>
          <a:chExt cx="390526" cy="286252"/>
        </a:xfrm>
      </xdr:grpSpPr>
      <xdr:sp macro="" textlink="">
        <xdr:nvSpPr>
          <xdr:cNvPr id="3290863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64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65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76200</xdr:colOff>
      <xdr:row>360</xdr:row>
      <xdr:rowOff>0</xdr:rowOff>
    </xdr:from>
    <xdr:to>
      <xdr:col>99</xdr:col>
      <xdr:colOff>0</xdr:colOff>
      <xdr:row>363</xdr:row>
      <xdr:rowOff>0</xdr:rowOff>
    </xdr:to>
    <xdr:grpSp>
      <xdr:nvGrpSpPr>
        <xdr:cNvPr id="3288623" name="グループ化 1"/>
        <xdr:cNvGrpSpPr>
          <a:grpSpLocks/>
        </xdr:cNvGrpSpPr>
      </xdr:nvGrpSpPr>
      <xdr:grpSpPr bwMode="auto">
        <a:xfrm>
          <a:off x="8354291" y="31588364"/>
          <a:ext cx="356754" cy="259772"/>
          <a:chOff x="3724275" y="1824264"/>
          <a:chExt cx="390526" cy="286252"/>
        </a:xfrm>
      </xdr:grpSpPr>
      <xdr:sp macro="" textlink="">
        <xdr:nvSpPr>
          <xdr:cNvPr id="3290860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61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62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69</xdr:col>
      <xdr:colOff>78607</xdr:colOff>
      <xdr:row>376</xdr:row>
      <xdr:rowOff>17109</xdr:rowOff>
    </xdr:from>
    <xdr:to>
      <xdr:col>70</xdr:col>
      <xdr:colOff>67138</xdr:colOff>
      <xdr:row>376</xdr:row>
      <xdr:rowOff>17208</xdr:rowOff>
    </xdr:to>
    <xdr:cxnSp macro="">
      <xdr:nvCxnSpPr>
        <xdr:cNvPr id="5801" name="直線コネクタ 5800"/>
        <xdr:cNvCxnSpPr/>
      </xdr:nvCxnSpPr>
      <xdr:spPr>
        <a:xfrm flipH="1" flipV="1">
          <a:off x="2810305" y="72389137"/>
          <a:ext cx="78390" cy="99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83588</xdr:colOff>
      <xdr:row>390</xdr:row>
      <xdr:rowOff>14816</xdr:rowOff>
    </xdr:from>
    <xdr:to>
      <xdr:col>91</xdr:col>
      <xdr:colOff>26438</xdr:colOff>
      <xdr:row>393</xdr:row>
      <xdr:rowOff>14816</xdr:rowOff>
    </xdr:to>
    <xdr:sp macro="" textlink="">
      <xdr:nvSpPr>
        <xdr:cNvPr id="5802" name="Rectangle 218"/>
        <xdr:cNvSpPr>
          <a:spLocks noChangeArrowheads="1"/>
        </xdr:cNvSpPr>
      </xdr:nvSpPr>
      <xdr:spPr bwMode="auto">
        <a:xfrm>
          <a:off x="3983446" y="73644863"/>
          <a:ext cx="751577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74</xdr:col>
      <xdr:colOff>19050</xdr:colOff>
      <xdr:row>376</xdr:row>
      <xdr:rowOff>9525</xdr:rowOff>
    </xdr:from>
    <xdr:to>
      <xdr:col>78</xdr:col>
      <xdr:colOff>9525</xdr:colOff>
      <xdr:row>383</xdr:row>
      <xdr:rowOff>19050</xdr:rowOff>
    </xdr:to>
    <xdr:grpSp>
      <xdr:nvGrpSpPr>
        <xdr:cNvPr id="3288626" name="グループ化 3"/>
        <xdr:cNvGrpSpPr>
          <a:grpSpLocks/>
        </xdr:cNvGrpSpPr>
      </xdr:nvGrpSpPr>
      <xdr:grpSpPr bwMode="auto">
        <a:xfrm>
          <a:off x="6565323" y="32983343"/>
          <a:ext cx="336838" cy="615662"/>
          <a:chOff x="4956932" y="1715005"/>
          <a:chExt cx="367492" cy="648892"/>
        </a:xfrm>
      </xdr:grpSpPr>
      <xdr:grpSp>
        <xdr:nvGrpSpPr>
          <xdr:cNvPr id="3290856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858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859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5805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88</xdr:col>
      <xdr:colOff>68037</xdr:colOff>
      <xdr:row>376</xdr:row>
      <xdr:rowOff>13775</xdr:rowOff>
    </xdr:from>
    <xdr:to>
      <xdr:col>89</xdr:col>
      <xdr:colOff>77331</xdr:colOff>
      <xdr:row>376</xdr:row>
      <xdr:rowOff>13775</xdr:rowOff>
    </xdr:to>
    <xdr:cxnSp macro="">
      <xdr:nvCxnSpPr>
        <xdr:cNvPr id="5808" name="直線コネクタ 5807"/>
        <xdr:cNvCxnSpPr/>
      </xdr:nvCxnSpPr>
      <xdr:spPr bwMode="auto">
        <a:xfrm>
          <a:off x="4507046" y="72385803"/>
          <a:ext cx="99153" cy="0"/>
        </a:xfrm>
        <a:prstGeom prst="line">
          <a:avLst/>
        </a:prstGeom>
        <a:ln w="12700"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19384</xdr:colOff>
      <xdr:row>367</xdr:row>
      <xdr:rowOff>3038</xdr:rowOff>
    </xdr:from>
    <xdr:to>
      <xdr:col>71</xdr:col>
      <xdr:colOff>3354</xdr:colOff>
      <xdr:row>367</xdr:row>
      <xdr:rowOff>3038</xdr:rowOff>
    </xdr:to>
    <xdr:cxnSp macro="">
      <xdr:nvCxnSpPr>
        <xdr:cNvPr id="5809" name="直線コネクタ 5808"/>
        <xdr:cNvCxnSpPr/>
      </xdr:nvCxnSpPr>
      <xdr:spPr bwMode="auto">
        <a:xfrm>
          <a:off x="2840941" y="71566340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19384</xdr:colOff>
      <xdr:row>367</xdr:row>
      <xdr:rowOff>3038</xdr:rowOff>
    </xdr:from>
    <xdr:to>
      <xdr:col>71</xdr:col>
      <xdr:colOff>3354</xdr:colOff>
      <xdr:row>367</xdr:row>
      <xdr:rowOff>3038</xdr:rowOff>
    </xdr:to>
    <xdr:cxnSp macro="">
      <xdr:nvCxnSpPr>
        <xdr:cNvPr id="5810" name="直線コネクタ 5809"/>
        <xdr:cNvCxnSpPr/>
      </xdr:nvCxnSpPr>
      <xdr:spPr bwMode="auto">
        <a:xfrm>
          <a:off x="2840941" y="71566340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38100</xdr:colOff>
      <xdr:row>368</xdr:row>
      <xdr:rowOff>38100</xdr:rowOff>
    </xdr:from>
    <xdr:to>
      <xdr:col>80</xdr:col>
      <xdr:colOff>66675</xdr:colOff>
      <xdr:row>373</xdr:row>
      <xdr:rowOff>28575</xdr:rowOff>
    </xdr:to>
    <xdr:grpSp>
      <xdr:nvGrpSpPr>
        <xdr:cNvPr id="3288630" name="グループ化 648"/>
        <xdr:cNvGrpSpPr>
          <a:grpSpLocks/>
        </xdr:cNvGrpSpPr>
      </xdr:nvGrpSpPr>
      <xdr:grpSpPr bwMode="auto">
        <a:xfrm flipH="1">
          <a:off x="6584373" y="32319191"/>
          <a:ext cx="548120" cy="423429"/>
          <a:chOff x="1767052" y="985345"/>
          <a:chExt cx="1193995" cy="785448"/>
        </a:xfrm>
      </xdr:grpSpPr>
      <xdr:cxnSp macro="">
        <xdr:nvCxnSpPr>
          <xdr:cNvPr id="5812" name="直線コネクタ 5811"/>
          <xdr:cNvCxnSpPr/>
        </xdr:nvCxnSpPr>
        <xdr:spPr>
          <a:xfrm flipV="1">
            <a:off x="1767052" y="985345"/>
            <a:ext cx="816944" cy="285617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13" name="直線コネクタ 5812"/>
          <xdr:cNvCxnSpPr/>
        </xdr:nvCxnSpPr>
        <xdr:spPr>
          <a:xfrm>
            <a:off x="2583996" y="985345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14" name="直線コネクタ 5813"/>
          <xdr:cNvCxnSpPr/>
        </xdr:nvCxnSpPr>
        <xdr:spPr>
          <a:xfrm>
            <a:off x="2583996" y="1556580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15" name="直線コネクタ 5814"/>
          <xdr:cNvCxnSpPr/>
        </xdr:nvCxnSpPr>
        <xdr:spPr>
          <a:xfrm>
            <a:off x="2961047" y="1181707"/>
            <a:ext cx="0" cy="58908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16" name="直線コネクタ 5815"/>
          <xdr:cNvCxnSpPr/>
        </xdr:nvCxnSpPr>
        <xdr:spPr>
          <a:xfrm>
            <a:off x="2583996" y="985345"/>
            <a:ext cx="0" cy="58908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73</xdr:col>
      <xdr:colOff>30904</xdr:colOff>
      <xdr:row>372</xdr:row>
      <xdr:rowOff>59690</xdr:rowOff>
    </xdr:from>
    <xdr:to>
      <xdr:col>79</xdr:col>
      <xdr:colOff>4446</xdr:colOff>
      <xdr:row>374</xdr:row>
      <xdr:rowOff>64982</xdr:rowOff>
    </xdr:to>
    <xdr:sp macro="" textlink="">
      <xdr:nvSpPr>
        <xdr:cNvPr id="5817" name="テキスト ボックス 5816"/>
        <xdr:cNvSpPr txBox="1"/>
      </xdr:nvSpPr>
      <xdr:spPr>
        <a:xfrm>
          <a:off x="3122036" y="72072284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350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34926</xdr:colOff>
      <xdr:row>367</xdr:row>
      <xdr:rowOff>34924</xdr:rowOff>
    </xdr:from>
    <xdr:to>
      <xdr:col>82</xdr:col>
      <xdr:colOff>8468</xdr:colOff>
      <xdr:row>369</xdr:row>
      <xdr:rowOff>40216</xdr:rowOff>
    </xdr:to>
    <xdr:sp macro="" textlink="">
      <xdr:nvSpPr>
        <xdr:cNvPr id="5818" name="テキスト ボックス 5817"/>
        <xdr:cNvSpPr txBox="1"/>
      </xdr:nvSpPr>
      <xdr:spPr>
        <a:xfrm>
          <a:off x="3395634" y="71598226"/>
          <a:ext cx="512692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100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3085</xdr:colOff>
      <xdr:row>369</xdr:row>
      <xdr:rowOff>35922</xdr:rowOff>
    </xdr:from>
    <xdr:to>
      <xdr:col>77</xdr:col>
      <xdr:colOff>41185</xdr:colOff>
      <xdr:row>370</xdr:row>
      <xdr:rowOff>70212</xdr:rowOff>
    </xdr:to>
    <xdr:sp macro="" textlink="">
      <xdr:nvSpPr>
        <xdr:cNvPr id="5819" name="正方形/長方形 5818"/>
        <xdr:cNvSpPr/>
      </xdr:nvSpPr>
      <xdr:spPr>
        <a:xfrm>
          <a:off x="3273934" y="71778941"/>
          <a:ext cx="217817" cy="1241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73</xdr:col>
      <xdr:colOff>37822</xdr:colOff>
      <xdr:row>368</xdr:row>
      <xdr:rowOff>84303</xdr:rowOff>
    </xdr:from>
    <xdr:to>
      <xdr:col>78</xdr:col>
      <xdr:colOff>83910</xdr:colOff>
      <xdr:row>371</xdr:row>
      <xdr:rowOff>25218</xdr:rowOff>
    </xdr:to>
    <xdr:sp macro="" textlink="">
      <xdr:nvSpPr>
        <xdr:cNvPr id="5820" name="テキスト ボックス 5819"/>
        <xdr:cNvSpPr txBox="1"/>
      </xdr:nvSpPr>
      <xdr:spPr>
        <a:xfrm>
          <a:off x="3128954" y="71737463"/>
          <a:ext cx="495381" cy="210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725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29767</xdr:colOff>
      <xdr:row>372</xdr:row>
      <xdr:rowOff>11906</xdr:rowOff>
    </xdr:from>
    <xdr:to>
      <xdr:col>79</xdr:col>
      <xdr:colOff>33566</xdr:colOff>
      <xdr:row>373</xdr:row>
      <xdr:rowOff>41672</xdr:rowOff>
    </xdr:to>
    <xdr:cxnSp macro="">
      <xdr:nvCxnSpPr>
        <xdr:cNvPr id="5821" name="直線コネクタ 5820"/>
        <xdr:cNvCxnSpPr/>
      </xdr:nvCxnSpPr>
      <xdr:spPr bwMode="auto">
        <a:xfrm flipH="1" flipV="1">
          <a:off x="3390475" y="72024500"/>
          <a:ext cx="273374" cy="1196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19384</xdr:colOff>
      <xdr:row>367</xdr:row>
      <xdr:rowOff>3038</xdr:rowOff>
    </xdr:from>
    <xdr:to>
      <xdr:col>90</xdr:col>
      <xdr:colOff>3354</xdr:colOff>
      <xdr:row>367</xdr:row>
      <xdr:rowOff>3038</xdr:rowOff>
    </xdr:to>
    <xdr:cxnSp macro="">
      <xdr:nvCxnSpPr>
        <xdr:cNvPr id="5822" name="直線コネクタ 5821"/>
        <xdr:cNvCxnSpPr/>
      </xdr:nvCxnSpPr>
      <xdr:spPr bwMode="auto">
        <a:xfrm>
          <a:off x="4548252" y="71566340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38100</xdr:colOff>
      <xdr:row>368</xdr:row>
      <xdr:rowOff>38100</xdr:rowOff>
    </xdr:from>
    <xdr:to>
      <xdr:col>99</xdr:col>
      <xdr:colOff>66675</xdr:colOff>
      <xdr:row>373</xdr:row>
      <xdr:rowOff>28575</xdr:rowOff>
    </xdr:to>
    <xdr:grpSp>
      <xdr:nvGrpSpPr>
        <xdr:cNvPr id="3288637" name="グループ化 648"/>
        <xdr:cNvGrpSpPr>
          <a:grpSpLocks/>
        </xdr:cNvGrpSpPr>
      </xdr:nvGrpSpPr>
      <xdr:grpSpPr bwMode="auto">
        <a:xfrm flipH="1">
          <a:off x="8229600" y="32319191"/>
          <a:ext cx="548120" cy="423429"/>
          <a:chOff x="1767052" y="985345"/>
          <a:chExt cx="1193995" cy="785448"/>
        </a:xfrm>
      </xdr:grpSpPr>
      <xdr:cxnSp macro="">
        <xdr:nvCxnSpPr>
          <xdr:cNvPr id="5824" name="直線コネクタ 5823"/>
          <xdr:cNvCxnSpPr/>
        </xdr:nvCxnSpPr>
        <xdr:spPr>
          <a:xfrm flipV="1">
            <a:off x="1767052" y="985345"/>
            <a:ext cx="816944" cy="285617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25" name="直線コネクタ 5824"/>
          <xdr:cNvCxnSpPr/>
        </xdr:nvCxnSpPr>
        <xdr:spPr>
          <a:xfrm>
            <a:off x="2583996" y="985345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26" name="直線コネクタ 5825"/>
          <xdr:cNvCxnSpPr/>
        </xdr:nvCxnSpPr>
        <xdr:spPr>
          <a:xfrm>
            <a:off x="2583996" y="1556580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27" name="直線コネクタ 5826"/>
          <xdr:cNvCxnSpPr/>
        </xdr:nvCxnSpPr>
        <xdr:spPr>
          <a:xfrm>
            <a:off x="2961047" y="1181707"/>
            <a:ext cx="0" cy="58908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28" name="直線コネクタ 5827"/>
          <xdr:cNvCxnSpPr/>
        </xdr:nvCxnSpPr>
        <xdr:spPr>
          <a:xfrm>
            <a:off x="2583996" y="985345"/>
            <a:ext cx="0" cy="58908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30904</xdr:colOff>
      <xdr:row>372</xdr:row>
      <xdr:rowOff>59690</xdr:rowOff>
    </xdr:from>
    <xdr:to>
      <xdr:col>98</xdr:col>
      <xdr:colOff>4446</xdr:colOff>
      <xdr:row>374</xdr:row>
      <xdr:rowOff>64982</xdr:rowOff>
    </xdr:to>
    <xdr:sp macro="" textlink="">
      <xdr:nvSpPr>
        <xdr:cNvPr id="5829" name="テキスト ボックス 5828"/>
        <xdr:cNvSpPr txBox="1"/>
      </xdr:nvSpPr>
      <xdr:spPr>
        <a:xfrm>
          <a:off x="4829347" y="72072284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95</xdr:col>
      <xdr:colOff>34926</xdr:colOff>
      <xdr:row>367</xdr:row>
      <xdr:rowOff>34924</xdr:rowOff>
    </xdr:from>
    <xdr:to>
      <xdr:col>101</xdr:col>
      <xdr:colOff>8468</xdr:colOff>
      <xdr:row>369</xdr:row>
      <xdr:rowOff>40216</xdr:rowOff>
    </xdr:to>
    <xdr:sp macro="" textlink="">
      <xdr:nvSpPr>
        <xdr:cNvPr id="5830" name="テキスト ボックス 5829"/>
        <xdr:cNvSpPr txBox="1"/>
      </xdr:nvSpPr>
      <xdr:spPr>
        <a:xfrm>
          <a:off x="5102945" y="71598226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100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94</xdr:col>
      <xdr:colOff>3085</xdr:colOff>
      <xdr:row>369</xdr:row>
      <xdr:rowOff>35922</xdr:rowOff>
    </xdr:from>
    <xdr:to>
      <xdr:col>96</xdr:col>
      <xdr:colOff>41185</xdr:colOff>
      <xdr:row>370</xdr:row>
      <xdr:rowOff>70212</xdr:rowOff>
    </xdr:to>
    <xdr:sp macro="" textlink="">
      <xdr:nvSpPr>
        <xdr:cNvPr id="5831" name="正方形/長方形 5830"/>
        <xdr:cNvSpPr/>
      </xdr:nvSpPr>
      <xdr:spPr>
        <a:xfrm>
          <a:off x="4981245" y="71778941"/>
          <a:ext cx="217817" cy="1241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92</xdr:col>
      <xdr:colOff>37822</xdr:colOff>
      <xdr:row>368</xdr:row>
      <xdr:rowOff>84303</xdr:rowOff>
    </xdr:from>
    <xdr:to>
      <xdr:col>97</xdr:col>
      <xdr:colOff>83910</xdr:colOff>
      <xdr:row>371</xdr:row>
      <xdr:rowOff>25218</xdr:rowOff>
    </xdr:to>
    <xdr:sp macro="" textlink="">
      <xdr:nvSpPr>
        <xdr:cNvPr id="5832" name="テキスト ボックス 5831"/>
        <xdr:cNvSpPr txBox="1"/>
      </xdr:nvSpPr>
      <xdr:spPr>
        <a:xfrm>
          <a:off x="4836265" y="71737463"/>
          <a:ext cx="495381" cy="210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675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95</xdr:col>
      <xdr:colOff>29767</xdr:colOff>
      <xdr:row>372</xdr:row>
      <xdr:rowOff>11906</xdr:rowOff>
    </xdr:from>
    <xdr:to>
      <xdr:col>98</xdr:col>
      <xdr:colOff>33566</xdr:colOff>
      <xdr:row>373</xdr:row>
      <xdr:rowOff>41672</xdr:rowOff>
    </xdr:to>
    <xdr:cxnSp macro="">
      <xdr:nvCxnSpPr>
        <xdr:cNvPr id="5833" name="直線コネクタ 5832"/>
        <xdr:cNvCxnSpPr/>
      </xdr:nvCxnSpPr>
      <xdr:spPr bwMode="auto">
        <a:xfrm flipH="1" flipV="1">
          <a:off x="5097786" y="72024500"/>
          <a:ext cx="273374" cy="1196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50402</xdr:colOff>
      <xdr:row>382</xdr:row>
      <xdr:rowOff>49609</xdr:rowOff>
    </xdr:from>
    <xdr:to>
      <xdr:col>94</xdr:col>
      <xdr:colOff>86783</xdr:colOff>
      <xdr:row>385</xdr:row>
      <xdr:rowOff>49609</xdr:rowOff>
    </xdr:to>
    <xdr:sp macro="" textlink="">
      <xdr:nvSpPr>
        <xdr:cNvPr id="5834" name="Rectangle 218"/>
        <xdr:cNvSpPr>
          <a:spLocks noChangeArrowheads="1"/>
        </xdr:cNvSpPr>
      </xdr:nvSpPr>
      <xdr:spPr bwMode="auto">
        <a:xfrm>
          <a:off x="4309694" y="72960788"/>
          <a:ext cx="755249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6804</xdr:colOff>
      <xdr:row>387</xdr:row>
      <xdr:rowOff>83046</xdr:rowOff>
    </xdr:from>
    <xdr:to>
      <xdr:col>70</xdr:col>
      <xdr:colOff>81311</xdr:colOff>
      <xdr:row>387</xdr:row>
      <xdr:rowOff>83046</xdr:rowOff>
    </xdr:to>
    <xdr:cxnSp macro="">
      <xdr:nvCxnSpPr>
        <xdr:cNvPr id="5835" name="直線コネクタ 5834"/>
        <xdr:cNvCxnSpPr/>
      </xdr:nvCxnSpPr>
      <xdr:spPr bwMode="auto">
        <a:xfrm>
          <a:off x="2828361" y="73443518"/>
          <a:ext cx="74507" cy="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66675</xdr:colOff>
      <xdr:row>384</xdr:row>
      <xdr:rowOff>57150</xdr:rowOff>
    </xdr:from>
    <xdr:to>
      <xdr:col>101</xdr:col>
      <xdr:colOff>0</xdr:colOff>
      <xdr:row>392</xdr:row>
      <xdr:rowOff>28575</xdr:rowOff>
    </xdr:to>
    <xdr:grpSp>
      <xdr:nvGrpSpPr>
        <xdr:cNvPr id="3288645" name="グループ化 2528"/>
        <xdr:cNvGrpSpPr>
          <a:grpSpLocks/>
        </xdr:cNvGrpSpPr>
      </xdr:nvGrpSpPr>
      <xdr:grpSpPr bwMode="auto">
        <a:xfrm>
          <a:off x="6786130" y="33723695"/>
          <a:ext cx="2098097" cy="664153"/>
          <a:chOff x="13451336" y="18108261"/>
          <a:chExt cx="2108441" cy="662519"/>
        </a:xfrm>
      </xdr:grpSpPr>
      <xdr:grpSp>
        <xdr:nvGrpSpPr>
          <xdr:cNvPr id="3290827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290830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1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2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3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4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5" name="直線コネクタ 16"/>
            <xdr:cNvCxnSpPr>
              <a:cxnSpLocks noChangeShapeType="1"/>
            </xdr:cNvCxnSpPr>
          </xdr:nvCxnSpPr>
          <xdr:spPr bwMode="auto">
            <a:xfrm>
              <a:off x="2961257" y="2505490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6" name="直線コネクタ 18"/>
            <xdr:cNvCxnSpPr>
              <a:cxnSpLocks noChangeShapeType="1"/>
            </xdr:cNvCxnSpPr>
          </xdr:nvCxnSpPr>
          <xdr:spPr bwMode="auto">
            <a:xfrm>
              <a:off x="3085767" y="2504661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7" name="直線コネクタ 19"/>
            <xdr:cNvCxnSpPr>
              <a:cxnSpLocks noChangeShapeType="1"/>
            </xdr:cNvCxnSpPr>
          </xdr:nvCxnSpPr>
          <xdr:spPr bwMode="auto">
            <a:xfrm>
              <a:off x="3212929" y="2500519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8" name="直線コネクタ 20"/>
            <xdr:cNvCxnSpPr>
              <a:cxnSpLocks noChangeShapeType="1"/>
            </xdr:cNvCxnSpPr>
          </xdr:nvCxnSpPr>
          <xdr:spPr bwMode="auto">
            <a:xfrm>
              <a:off x="3332692" y="2499692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39" name="直線コネクタ 21"/>
            <xdr:cNvCxnSpPr>
              <a:cxnSpLocks noChangeShapeType="1"/>
            </xdr:cNvCxnSpPr>
          </xdr:nvCxnSpPr>
          <xdr:spPr bwMode="auto">
            <a:xfrm>
              <a:off x="3459857" y="2503832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40" name="直線コネクタ 22"/>
            <xdr:cNvCxnSpPr>
              <a:cxnSpLocks noChangeShapeType="1"/>
            </xdr:cNvCxnSpPr>
          </xdr:nvCxnSpPr>
          <xdr:spPr bwMode="auto">
            <a:xfrm>
              <a:off x="3589114" y="2503005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41" name="直線コネクタ 23"/>
            <xdr:cNvCxnSpPr>
              <a:cxnSpLocks noChangeShapeType="1"/>
            </xdr:cNvCxnSpPr>
          </xdr:nvCxnSpPr>
          <xdr:spPr bwMode="auto">
            <a:xfrm>
              <a:off x="3709097" y="2503005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42" name="直線コネクタ 24"/>
            <xdr:cNvCxnSpPr>
              <a:cxnSpLocks noChangeShapeType="1"/>
            </xdr:cNvCxnSpPr>
          </xdr:nvCxnSpPr>
          <xdr:spPr bwMode="auto">
            <a:xfrm>
              <a:off x="3828859" y="2502177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43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44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845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290828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829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90</xdr:col>
      <xdr:colOff>58624</xdr:colOff>
      <xdr:row>389</xdr:row>
      <xdr:rowOff>71932</xdr:rowOff>
    </xdr:from>
    <xdr:to>
      <xdr:col>99</xdr:col>
      <xdr:colOff>9280</xdr:colOff>
      <xdr:row>392</xdr:row>
      <xdr:rowOff>71933</xdr:rowOff>
    </xdr:to>
    <xdr:sp macro="" textlink="">
      <xdr:nvSpPr>
        <xdr:cNvPr id="5856" name="Rectangle 218"/>
        <xdr:cNvSpPr>
          <a:spLocks noChangeArrowheads="1"/>
        </xdr:cNvSpPr>
      </xdr:nvSpPr>
      <xdr:spPr bwMode="auto">
        <a:xfrm>
          <a:off x="4677350" y="73612121"/>
          <a:ext cx="759383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79715</xdr:colOff>
      <xdr:row>390</xdr:row>
      <xdr:rowOff>55256</xdr:rowOff>
    </xdr:from>
    <xdr:to>
      <xdr:col>85</xdr:col>
      <xdr:colOff>26799</xdr:colOff>
      <xdr:row>393</xdr:row>
      <xdr:rowOff>55257</xdr:rowOff>
    </xdr:to>
    <xdr:sp macro="" textlink="">
      <xdr:nvSpPr>
        <xdr:cNvPr id="5857" name="Rectangle 218"/>
        <xdr:cNvSpPr>
          <a:spLocks noChangeArrowheads="1"/>
        </xdr:cNvSpPr>
      </xdr:nvSpPr>
      <xdr:spPr bwMode="auto">
        <a:xfrm>
          <a:off x="3440423" y="73685303"/>
          <a:ext cx="755810" cy="269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93</xdr:col>
      <xdr:colOff>0</xdr:colOff>
      <xdr:row>378</xdr:row>
      <xdr:rowOff>57150</xdr:rowOff>
    </xdr:from>
    <xdr:to>
      <xdr:col>100</xdr:col>
      <xdr:colOff>38100</xdr:colOff>
      <xdr:row>380</xdr:row>
      <xdr:rowOff>0</xdr:rowOff>
    </xdr:to>
    <xdr:grpSp>
      <xdr:nvGrpSpPr>
        <xdr:cNvPr id="3288648" name="グループ化 5"/>
        <xdr:cNvGrpSpPr>
          <a:grpSpLocks/>
        </xdr:cNvGrpSpPr>
      </xdr:nvGrpSpPr>
      <xdr:grpSpPr bwMode="auto">
        <a:xfrm>
          <a:off x="8191500" y="33204150"/>
          <a:ext cx="644236" cy="116032"/>
          <a:chOff x="4791075" y="2762250"/>
          <a:chExt cx="714375" cy="142875"/>
        </a:xfrm>
      </xdr:grpSpPr>
      <xdr:sp macro="" textlink="">
        <xdr:nvSpPr>
          <xdr:cNvPr id="3290825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26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78</xdr:col>
      <xdr:colOff>66675</xdr:colOff>
      <xdr:row>399</xdr:row>
      <xdr:rowOff>0</xdr:rowOff>
    </xdr:from>
    <xdr:to>
      <xdr:col>79</xdr:col>
      <xdr:colOff>47625</xdr:colOff>
      <xdr:row>401</xdr:row>
      <xdr:rowOff>0</xdr:rowOff>
    </xdr:to>
    <xdr:grpSp>
      <xdr:nvGrpSpPr>
        <xdr:cNvPr id="3288649" name="グループ化 700"/>
        <xdr:cNvGrpSpPr>
          <a:grpSpLocks/>
        </xdr:cNvGrpSpPr>
      </xdr:nvGrpSpPr>
      <xdr:grpSpPr bwMode="auto">
        <a:xfrm>
          <a:off x="6959311" y="34965409"/>
          <a:ext cx="67541" cy="173182"/>
          <a:chOff x="3165758" y="15657662"/>
          <a:chExt cx="67219" cy="163244"/>
        </a:xfrm>
      </xdr:grpSpPr>
      <xdr:sp macro="" textlink="">
        <xdr:nvSpPr>
          <xdr:cNvPr id="3290822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23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24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397</xdr:row>
      <xdr:rowOff>47625</xdr:rowOff>
    </xdr:from>
    <xdr:to>
      <xdr:col>94</xdr:col>
      <xdr:colOff>28575</xdr:colOff>
      <xdr:row>403</xdr:row>
      <xdr:rowOff>47625</xdr:rowOff>
    </xdr:to>
    <xdr:grpSp>
      <xdr:nvGrpSpPr>
        <xdr:cNvPr id="3288650" name="グループ化 702"/>
        <xdr:cNvGrpSpPr>
          <a:grpSpLocks/>
        </xdr:cNvGrpSpPr>
      </xdr:nvGrpSpPr>
      <xdr:grpSpPr bwMode="auto">
        <a:xfrm>
          <a:off x="7113443" y="34839852"/>
          <a:ext cx="1193223" cy="519546"/>
          <a:chOff x="3634154" y="15404026"/>
          <a:chExt cx="1158481" cy="504350"/>
        </a:xfrm>
      </xdr:grpSpPr>
      <xdr:sp macro="" textlink="">
        <xdr:nvSpPr>
          <xdr:cNvPr id="5894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818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19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20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898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oneCellAnchor>
    <xdr:from>
      <xdr:col>29</xdr:col>
      <xdr:colOff>62593</xdr:colOff>
      <xdr:row>406</xdr:row>
      <xdr:rowOff>16600</xdr:rowOff>
    </xdr:from>
    <xdr:ext cx="423193" cy="183384"/>
    <xdr:sp macro="" textlink="">
      <xdr:nvSpPr>
        <xdr:cNvPr id="5899" name="Rectangle 217"/>
        <xdr:cNvSpPr>
          <a:spLocks noChangeArrowheads="1"/>
        </xdr:cNvSpPr>
      </xdr:nvSpPr>
      <xdr:spPr bwMode="auto">
        <a:xfrm>
          <a:off x="2681968" y="352400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29</xdr:col>
      <xdr:colOff>38100</xdr:colOff>
      <xdr:row>404</xdr:row>
      <xdr:rowOff>19050</xdr:rowOff>
    </xdr:from>
    <xdr:to>
      <xdr:col>34</xdr:col>
      <xdr:colOff>0</xdr:colOff>
      <xdr:row>405</xdr:row>
      <xdr:rowOff>66675</xdr:rowOff>
    </xdr:to>
    <xdr:grpSp>
      <xdr:nvGrpSpPr>
        <xdr:cNvPr id="3288652" name="Group 350"/>
        <xdr:cNvGrpSpPr>
          <a:grpSpLocks/>
        </xdr:cNvGrpSpPr>
      </xdr:nvGrpSpPr>
      <xdr:grpSpPr bwMode="auto">
        <a:xfrm>
          <a:off x="2687782" y="35417414"/>
          <a:ext cx="394854" cy="134216"/>
          <a:chOff x="340" y="51"/>
          <a:chExt cx="60" cy="20"/>
        </a:xfrm>
      </xdr:grpSpPr>
      <xdr:sp macro="" textlink="">
        <xdr:nvSpPr>
          <xdr:cNvPr id="3290814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815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16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78607</xdr:colOff>
      <xdr:row>425</xdr:row>
      <xdr:rowOff>17109</xdr:rowOff>
    </xdr:from>
    <xdr:to>
      <xdr:col>30</xdr:col>
      <xdr:colOff>67138</xdr:colOff>
      <xdr:row>425</xdr:row>
      <xdr:rowOff>17208</xdr:rowOff>
    </xdr:to>
    <xdr:cxnSp macro="">
      <xdr:nvCxnSpPr>
        <xdr:cNvPr id="5935" name="直線コネクタ 5934"/>
        <xdr:cNvCxnSpPr/>
      </xdr:nvCxnSpPr>
      <xdr:spPr>
        <a:xfrm flipH="1" flipV="1">
          <a:off x="2810305" y="66728052"/>
          <a:ext cx="78390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</xdr:colOff>
      <xdr:row>425</xdr:row>
      <xdr:rowOff>9525</xdr:rowOff>
    </xdr:from>
    <xdr:to>
      <xdr:col>38</xdr:col>
      <xdr:colOff>9525</xdr:colOff>
      <xdr:row>432</xdr:row>
      <xdr:rowOff>19050</xdr:rowOff>
    </xdr:to>
    <xdr:grpSp>
      <xdr:nvGrpSpPr>
        <xdr:cNvPr id="3288654" name="グループ化 3"/>
        <xdr:cNvGrpSpPr>
          <a:grpSpLocks/>
        </xdr:cNvGrpSpPr>
      </xdr:nvGrpSpPr>
      <xdr:grpSpPr bwMode="auto">
        <a:xfrm>
          <a:off x="3101686" y="37226298"/>
          <a:ext cx="336839" cy="615661"/>
          <a:chOff x="4956932" y="1715005"/>
          <a:chExt cx="367492" cy="648892"/>
        </a:xfrm>
      </xdr:grpSpPr>
      <xdr:grpSp>
        <xdr:nvGrpSpPr>
          <xdr:cNvPr id="3290810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812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813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5938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53</xdr:col>
      <xdr:colOff>0</xdr:colOff>
      <xdr:row>427</xdr:row>
      <xdr:rowOff>57150</xdr:rowOff>
    </xdr:from>
    <xdr:to>
      <xdr:col>60</xdr:col>
      <xdr:colOff>38100</xdr:colOff>
      <xdr:row>429</xdr:row>
      <xdr:rowOff>0</xdr:rowOff>
    </xdr:to>
    <xdr:grpSp>
      <xdr:nvGrpSpPr>
        <xdr:cNvPr id="3288655" name="グループ化 5"/>
        <xdr:cNvGrpSpPr>
          <a:grpSpLocks/>
        </xdr:cNvGrpSpPr>
      </xdr:nvGrpSpPr>
      <xdr:grpSpPr bwMode="auto">
        <a:xfrm>
          <a:off x="4727864" y="37447105"/>
          <a:ext cx="644236" cy="116031"/>
          <a:chOff x="4791075" y="2762250"/>
          <a:chExt cx="714375" cy="142875"/>
        </a:xfrm>
      </xdr:grpSpPr>
      <xdr:sp macro="" textlink="">
        <xdr:nvSpPr>
          <xdr:cNvPr id="3290808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09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19384</xdr:colOff>
      <xdr:row>416</xdr:row>
      <xdr:rowOff>3038</xdr:rowOff>
    </xdr:from>
    <xdr:to>
      <xdr:col>31</xdr:col>
      <xdr:colOff>3354</xdr:colOff>
      <xdr:row>416</xdr:row>
      <xdr:rowOff>3038</xdr:rowOff>
    </xdr:to>
    <xdr:cxnSp macro="">
      <xdr:nvCxnSpPr>
        <xdr:cNvPr id="5944" name="直線コネクタ 5943"/>
        <xdr:cNvCxnSpPr/>
      </xdr:nvCxnSpPr>
      <xdr:spPr bwMode="auto">
        <a:xfrm>
          <a:off x="2840941" y="65905255"/>
          <a:ext cx="73828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418</xdr:row>
      <xdr:rowOff>0</xdr:rowOff>
    </xdr:from>
    <xdr:to>
      <xdr:col>40</xdr:col>
      <xdr:colOff>0</xdr:colOff>
      <xdr:row>421</xdr:row>
      <xdr:rowOff>0</xdr:rowOff>
    </xdr:to>
    <xdr:grpSp>
      <xdr:nvGrpSpPr>
        <xdr:cNvPr id="3288657" name="グループ化 1"/>
        <xdr:cNvGrpSpPr>
          <a:grpSpLocks/>
        </xdr:cNvGrpSpPr>
      </xdr:nvGrpSpPr>
      <xdr:grpSpPr bwMode="auto">
        <a:xfrm>
          <a:off x="3245427" y="36610636"/>
          <a:ext cx="356755" cy="259773"/>
          <a:chOff x="3724275" y="1824264"/>
          <a:chExt cx="390526" cy="286252"/>
        </a:xfrm>
      </xdr:grpSpPr>
      <xdr:sp macro="" textlink="">
        <xdr:nvSpPr>
          <xdr:cNvPr id="3290805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06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07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54</xdr:col>
      <xdr:colOff>76200</xdr:colOff>
      <xdr:row>418</xdr:row>
      <xdr:rowOff>0</xdr:rowOff>
    </xdr:from>
    <xdr:to>
      <xdr:col>59</xdr:col>
      <xdr:colOff>0</xdr:colOff>
      <xdr:row>421</xdr:row>
      <xdr:rowOff>0</xdr:rowOff>
    </xdr:to>
    <xdr:grpSp>
      <xdr:nvGrpSpPr>
        <xdr:cNvPr id="3288658" name="グループ化 1"/>
        <xdr:cNvGrpSpPr>
          <a:grpSpLocks/>
        </xdr:cNvGrpSpPr>
      </xdr:nvGrpSpPr>
      <xdr:grpSpPr bwMode="auto">
        <a:xfrm>
          <a:off x="4890655" y="36610636"/>
          <a:ext cx="356754" cy="259773"/>
          <a:chOff x="3724275" y="1824264"/>
          <a:chExt cx="390526" cy="286252"/>
        </a:xfrm>
      </xdr:grpSpPr>
      <xdr:sp macro="" textlink="">
        <xdr:nvSpPr>
          <xdr:cNvPr id="3290802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03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804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43</xdr:col>
      <xdr:colOff>60324</xdr:colOff>
      <xdr:row>431</xdr:row>
      <xdr:rowOff>79375</xdr:rowOff>
    </xdr:from>
    <xdr:to>
      <xdr:col>52</xdr:col>
      <xdr:colOff>7408</xdr:colOff>
      <xdr:row>434</xdr:row>
      <xdr:rowOff>79375</xdr:rowOff>
    </xdr:to>
    <xdr:sp macro="" textlink="">
      <xdr:nvSpPr>
        <xdr:cNvPr id="5970" name="Rectangle 218"/>
        <xdr:cNvSpPr>
          <a:spLocks noChangeArrowheads="1"/>
        </xdr:cNvSpPr>
      </xdr:nvSpPr>
      <xdr:spPr bwMode="auto">
        <a:xfrm>
          <a:off x="4050041" y="67329469"/>
          <a:ext cx="755810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14816</xdr:colOff>
      <xdr:row>438</xdr:row>
      <xdr:rowOff>65616</xdr:rowOff>
    </xdr:from>
    <xdr:to>
      <xdr:col>42</xdr:col>
      <xdr:colOff>46567</xdr:colOff>
      <xdr:row>441</xdr:row>
      <xdr:rowOff>65616</xdr:rowOff>
    </xdr:to>
    <xdr:sp macro="" textlink="">
      <xdr:nvSpPr>
        <xdr:cNvPr id="5971" name="Rectangle 218"/>
        <xdr:cNvSpPr>
          <a:spLocks noChangeArrowheads="1"/>
        </xdr:cNvSpPr>
      </xdr:nvSpPr>
      <xdr:spPr bwMode="auto">
        <a:xfrm>
          <a:off x="3195807" y="67944720"/>
          <a:ext cx="750618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61383</xdr:colOff>
      <xdr:row>438</xdr:row>
      <xdr:rowOff>69849</xdr:rowOff>
    </xdr:from>
    <xdr:to>
      <xdr:col>60</xdr:col>
      <xdr:colOff>8467</xdr:colOff>
      <xdr:row>441</xdr:row>
      <xdr:rowOff>69849</xdr:rowOff>
    </xdr:to>
    <xdr:sp macro="" textlink="">
      <xdr:nvSpPr>
        <xdr:cNvPr id="5972" name="Rectangle 218"/>
        <xdr:cNvSpPr>
          <a:spLocks noChangeArrowheads="1"/>
        </xdr:cNvSpPr>
      </xdr:nvSpPr>
      <xdr:spPr bwMode="auto">
        <a:xfrm>
          <a:off x="4769968" y="67948953"/>
          <a:ext cx="755810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84666</xdr:colOff>
      <xdr:row>439</xdr:row>
      <xdr:rowOff>14816</xdr:rowOff>
    </xdr:from>
    <xdr:to>
      <xdr:col>52</xdr:col>
      <xdr:colOff>27517</xdr:colOff>
      <xdr:row>442</xdr:row>
      <xdr:rowOff>14816</xdr:rowOff>
    </xdr:to>
    <xdr:sp macro="" textlink="">
      <xdr:nvSpPr>
        <xdr:cNvPr id="5973" name="Rectangle 218"/>
        <xdr:cNvSpPr>
          <a:spLocks noChangeArrowheads="1"/>
        </xdr:cNvSpPr>
      </xdr:nvSpPr>
      <xdr:spPr bwMode="auto">
        <a:xfrm>
          <a:off x="4074383" y="67983778"/>
          <a:ext cx="751577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30</xdr:col>
      <xdr:colOff>6804</xdr:colOff>
      <xdr:row>436</xdr:row>
      <xdr:rowOff>6804</xdr:rowOff>
    </xdr:from>
    <xdr:to>
      <xdr:col>30</xdr:col>
      <xdr:colOff>81311</xdr:colOff>
      <xdr:row>436</xdr:row>
      <xdr:rowOff>6804</xdr:rowOff>
    </xdr:to>
    <xdr:cxnSp macro="">
      <xdr:nvCxnSpPr>
        <xdr:cNvPr id="5974" name="直線コネクタ 5973"/>
        <xdr:cNvCxnSpPr/>
      </xdr:nvCxnSpPr>
      <xdr:spPr bwMode="auto">
        <a:xfrm>
          <a:off x="2750272" y="38422068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66675</xdr:colOff>
      <xdr:row>445</xdr:row>
      <xdr:rowOff>47625</xdr:rowOff>
    </xdr:from>
    <xdr:to>
      <xdr:col>39</xdr:col>
      <xdr:colOff>47625</xdr:colOff>
      <xdr:row>447</xdr:row>
      <xdr:rowOff>47625</xdr:rowOff>
    </xdr:to>
    <xdr:grpSp>
      <xdr:nvGrpSpPr>
        <xdr:cNvPr id="3288664" name="グループ化 700"/>
        <xdr:cNvGrpSpPr>
          <a:grpSpLocks/>
        </xdr:cNvGrpSpPr>
      </xdr:nvGrpSpPr>
      <xdr:grpSpPr bwMode="auto">
        <a:xfrm>
          <a:off x="3495675" y="38996216"/>
          <a:ext cx="67541" cy="173182"/>
          <a:chOff x="3165758" y="15657662"/>
          <a:chExt cx="67219" cy="163244"/>
        </a:xfrm>
      </xdr:grpSpPr>
      <xdr:sp macro="" textlink="">
        <xdr:nvSpPr>
          <xdr:cNvPr id="3290799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00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801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444</xdr:row>
      <xdr:rowOff>9525</xdr:rowOff>
    </xdr:from>
    <xdr:to>
      <xdr:col>54</xdr:col>
      <xdr:colOff>28575</xdr:colOff>
      <xdr:row>450</xdr:row>
      <xdr:rowOff>9525</xdr:rowOff>
    </xdr:to>
    <xdr:grpSp>
      <xdr:nvGrpSpPr>
        <xdr:cNvPr id="3288665" name="グループ化 702"/>
        <xdr:cNvGrpSpPr>
          <a:grpSpLocks/>
        </xdr:cNvGrpSpPr>
      </xdr:nvGrpSpPr>
      <xdr:grpSpPr bwMode="auto">
        <a:xfrm>
          <a:off x="3649807" y="38871525"/>
          <a:ext cx="1193223" cy="519545"/>
          <a:chOff x="3634154" y="15407680"/>
          <a:chExt cx="1158481" cy="500696"/>
        </a:xfrm>
      </xdr:grpSpPr>
      <xdr:sp macro="" textlink="">
        <xdr:nvSpPr>
          <xdr:cNvPr id="5980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795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96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97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984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oneCellAnchor>
    <xdr:from>
      <xdr:col>69</xdr:col>
      <xdr:colOff>62593</xdr:colOff>
      <xdr:row>406</xdr:row>
      <xdr:rowOff>16600</xdr:rowOff>
    </xdr:from>
    <xdr:ext cx="423193" cy="183384"/>
    <xdr:sp macro="" textlink="">
      <xdr:nvSpPr>
        <xdr:cNvPr id="6003" name="Rectangle 217"/>
        <xdr:cNvSpPr>
          <a:spLocks noChangeArrowheads="1"/>
        </xdr:cNvSpPr>
      </xdr:nvSpPr>
      <xdr:spPr bwMode="auto">
        <a:xfrm>
          <a:off x="6110968" y="352400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404</xdr:row>
      <xdr:rowOff>19050</xdr:rowOff>
    </xdr:from>
    <xdr:to>
      <xdr:col>74</xdr:col>
      <xdr:colOff>0</xdr:colOff>
      <xdr:row>405</xdr:row>
      <xdr:rowOff>66675</xdr:rowOff>
    </xdr:to>
    <xdr:grpSp>
      <xdr:nvGrpSpPr>
        <xdr:cNvPr id="3288667" name="Group 350"/>
        <xdr:cNvGrpSpPr>
          <a:grpSpLocks/>
        </xdr:cNvGrpSpPr>
      </xdr:nvGrpSpPr>
      <xdr:grpSpPr bwMode="auto">
        <a:xfrm>
          <a:off x="6151418" y="35417414"/>
          <a:ext cx="394855" cy="134216"/>
          <a:chOff x="340" y="51"/>
          <a:chExt cx="60" cy="20"/>
        </a:xfrm>
      </xdr:grpSpPr>
      <xdr:sp macro="" textlink="">
        <xdr:nvSpPr>
          <xdr:cNvPr id="3290791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792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793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74</xdr:col>
      <xdr:colOff>19050</xdr:colOff>
      <xdr:row>425</xdr:row>
      <xdr:rowOff>9525</xdr:rowOff>
    </xdr:from>
    <xdr:to>
      <xdr:col>78</xdr:col>
      <xdr:colOff>9525</xdr:colOff>
      <xdr:row>432</xdr:row>
      <xdr:rowOff>19050</xdr:rowOff>
    </xdr:to>
    <xdr:grpSp>
      <xdr:nvGrpSpPr>
        <xdr:cNvPr id="3288668" name="グループ化 3"/>
        <xdr:cNvGrpSpPr>
          <a:grpSpLocks/>
        </xdr:cNvGrpSpPr>
      </xdr:nvGrpSpPr>
      <xdr:grpSpPr bwMode="auto">
        <a:xfrm>
          <a:off x="6565323" y="37226298"/>
          <a:ext cx="336838" cy="615661"/>
          <a:chOff x="4956932" y="1715005"/>
          <a:chExt cx="367492" cy="648892"/>
        </a:xfrm>
      </xdr:grpSpPr>
      <xdr:grpSp>
        <xdr:nvGrpSpPr>
          <xdr:cNvPr id="3290787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789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790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040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78</xdr:col>
      <xdr:colOff>66675</xdr:colOff>
      <xdr:row>445</xdr:row>
      <xdr:rowOff>47625</xdr:rowOff>
    </xdr:from>
    <xdr:to>
      <xdr:col>79</xdr:col>
      <xdr:colOff>47625</xdr:colOff>
      <xdr:row>447</xdr:row>
      <xdr:rowOff>47625</xdr:rowOff>
    </xdr:to>
    <xdr:grpSp>
      <xdr:nvGrpSpPr>
        <xdr:cNvPr id="3288669" name="グループ化 700"/>
        <xdr:cNvGrpSpPr>
          <a:grpSpLocks/>
        </xdr:cNvGrpSpPr>
      </xdr:nvGrpSpPr>
      <xdr:grpSpPr bwMode="auto">
        <a:xfrm>
          <a:off x="6959311" y="38996216"/>
          <a:ext cx="67541" cy="173182"/>
          <a:chOff x="3165758" y="15657662"/>
          <a:chExt cx="67219" cy="163244"/>
        </a:xfrm>
      </xdr:grpSpPr>
      <xdr:sp macro="" textlink="">
        <xdr:nvSpPr>
          <xdr:cNvPr id="3290784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85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86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444</xdr:row>
      <xdr:rowOff>9525</xdr:rowOff>
    </xdr:from>
    <xdr:to>
      <xdr:col>94</xdr:col>
      <xdr:colOff>28575</xdr:colOff>
      <xdr:row>450</xdr:row>
      <xdr:rowOff>9525</xdr:rowOff>
    </xdr:to>
    <xdr:grpSp>
      <xdr:nvGrpSpPr>
        <xdr:cNvPr id="3288670" name="グループ化 702"/>
        <xdr:cNvGrpSpPr>
          <a:grpSpLocks/>
        </xdr:cNvGrpSpPr>
      </xdr:nvGrpSpPr>
      <xdr:grpSpPr bwMode="auto">
        <a:xfrm>
          <a:off x="7113443" y="38871525"/>
          <a:ext cx="1193223" cy="519545"/>
          <a:chOff x="3634154" y="15407680"/>
          <a:chExt cx="1158481" cy="500696"/>
        </a:xfrm>
      </xdr:grpSpPr>
      <xdr:sp macro="" textlink="">
        <xdr:nvSpPr>
          <xdr:cNvPr id="6048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780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81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82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052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93</xdr:col>
      <xdr:colOff>0</xdr:colOff>
      <xdr:row>427</xdr:row>
      <xdr:rowOff>57150</xdr:rowOff>
    </xdr:from>
    <xdr:to>
      <xdr:col>100</xdr:col>
      <xdr:colOff>38100</xdr:colOff>
      <xdr:row>429</xdr:row>
      <xdr:rowOff>0</xdr:rowOff>
    </xdr:to>
    <xdr:grpSp>
      <xdr:nvGrpSpPr>
        <xdr:cNvPr id="3288671" name="グループ化 5"/>
        <xdr:cNvGrpSpPr>
          <a:grpSpLocks/>
        </xdr:cNvGrpSpPr>
      </xdr:nvGrpSpPr>
      <xdr:grpSpPr bwMode="auto">
        <a:xfrm>
          <a:off x="8191500" y="37447105"/>
          <a:ext cx="644236" cy="116031"/>
          <a:chOff x="4791075" y="2762250"/>
          <a:chExt cx="714375" cy="142875"/>
        </a:xfrm>
      </xdr:grpSpPr>
      <xdr:sp macro="" textlink="">
        <xdr:nvSpPr>
          <xdr:cNvPr id="3290777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778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76200</xdr:colOff>
      <xdr:row>418</xdr:row>
      <xdr:rowOff>0</xdr:rowOff>
    </xdr:from>
    <xdr:to>
      <xdr:col>99</xdr:col>
      <xdr:colOff>0</xdr:colOff>
      <xdr:row>421</xdr:row>
      <xdr:rowOff>0</xdr:rowOff>
    </xdr:to>
    <xdr:grpSp>
      <xdr:nvGrpSpPr>
        <xdr:cNvPr id="3288672" name="グループ化 1"/>
        <xdr:cNvGrpSpPr>
          <a:grpSpLocks/>
        </xdr:cNvGrpSpPr>
      </xdr:nvGrpSpPr>
      <xdr:grpSpPr bwMode="auto">
        <a:xfrm>
          <a:off x="8354291" y="36610636"/>
          <a:ext cx="356754" cy="259773"/>
          <a:chOff x="3724275" y="1824264"/>
          <a:chExt cx="390526" cy="286252"/>
        </a:xfrm>
      </xdr:grpSpPr>
      <xdr:sp macro="" textlink="">
        <xdr:nvSpPr>
          <xdr:cNvPr id="3290774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75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776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6804</xdr:colOff>
      <xdr:row>436</xdr:row>
      <xdr:rowOff>83046</xdr:rowOff>
    </xdr:from>
    <xdr:to>
      <xdr:col>70</xdr:col>
      <xdr:colOff>81311</xdr:colOff>
      <xdr:row>436</xdr:row>
      <xdr:rowOff>83046</xdr:rowOff>
    </xdr:to>
    <xdr:cxnSp macro="">
      <xdr:nvCxnSpPr>
        <xdr:cNvPr id="6060" name="直線コネクタ 6059"/>
        <xdr:cNvCxnSpPr/>
      </xdr:nvCxnSpPr>
      <xdr:spPr bwMode="auto">
        <a:xfrm>
          <a:off x="6422700" y="83148235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50402</xdr:colOff>
      <xdr:row>431</xdr:row>
      <xdr:rowOff>49609</xdr:rowOff>
    </xdr:from>
    <xdr:to>
      <xdr:col>94</xdr:col>
      <xdr:colOff>86783</xdr:colOff>
      <xdr:row>434</xdr:row>
      <xdr:rowOff>49609</xdr:rowOff>
    </xdr:to>
    <xdr:sp macro="" textlink="">
      <xdr:nvSpPr>
        <xdr:cNvPr id="6061" name="Rectangle 218"/>
        <xdr:cNvSpPr>
          <a:spLocks noChangeArrowheads="1"/>
        </xdr:cNvSpPr>
      </xdr:nvSpPr>
      <xdr:spPr bwMode="auto">
        <a:xfrm>
          <a:off x="7904034" y="82665505"/>
          <a:ext cx="755249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66675</xdr:colOff>
      <xdr:row>433</xdr:row>
      <xdr:rowOff>57150</xdr:rowOff>
    </xdr:from>
    <xdr:to>
      <xdr:col>101</xdr:col>
      <xdr:colOff>0</xdr:colOff>
      <xdr:row>441</xdr:row>
      <xdr:rowOff>28575</xdr:rowOff>
    </xdr:to>
    <xdr:grpSp>
      <xdr:nvGrpSpPr>
        <xdr:cNvPr id="3288675" name="グループ化 2528"/>
        <xdr:cNvGrpSpPr>
          <a:grpSpLocks/>
        </xdr:cNvGrpSpPr>
      </xdr:nvGrpSpPr>
      <xdr:grpSpPr bwMode="auto">
        <a:xfrm>
          <a:off x="6786130" y="37966650"/>
          <a:ext cx="2098097" cy="664152"/>
          <a:chOff x="13451336" y="18108261"/>
          <a:chExt cx="2108441" cy="662519"/>
        </a:xfrm>
      </xdr:grpSpPr>
      <xdr:grpSp>
        <xdr:nvGrpSpPr>
          <xdr:cNvPr id="3290756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290759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0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1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2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3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4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5" name="直線コネクタ 18"/>
            <xdr:cNvCxnSpPr>
              <a:cxnSpLocks noChangeShapeType="1"/>
            </xdr:cNvCxnSpPr>
          </xdr:nvCxnSpPr>
          <xdr:spPr bwMode="auto">
            <a:xfrm>
              <a:off x="3049499" y="2504662"/>
              <a:ext cx="0" cy="554016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6" name="直線コネクタ 19"/>
            <xdr:cNvCxnSpPr>
              <a:cxnSpLocks noChangeShapeType="1"/>
            </xdr:cNvCxnSpPr>
          </xdr:nvCxnSpPr>
          <xdr:spPr bwMode="auto">
            <a:xfrm>
              <a:off x="3186161" y="2500518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7" name="直線コネクタ 20"/>
            <xdr:cNvCxnSpPr>
              <a:cxnSpLocks noChangeShapeType="1"/>
            </xdr:cNvCxnSpPr>
          </xdr:nvCxnSpPr>
          <xdr:spPr bwMode="auto">
            <a:xfrm>
              <a:off x="3334419" y="2499691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8" name="直線コネクタ 21"/>
            <xdr:cNvCxnSpPr>
              <a:cxnSpLocks noChangeShapeType="1"/>
            </xdr:cNvCxnSpPr>
          </xdr:nvCxnSpPr>
          <xdr:spPr bwMode="auto">
            <a:xfrm>
              <a:off x="3471081" y="2503833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69" name="直線コネクタ 22"/>
            <xdr:cNvCxnSpPr>
              <a:cxnSpLocks noChangeShapeType="1"/>
            </xdr:cNvCxnSpPr>
          </xdr:nvCxnSpPr>
          <xdr:spPr bwMode="auto">
            <a:xfrm>
              <a:off x="3619340" y="2503004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70" name="直線コネクタ 23"/>
            <xdr:cNvCxnSpPr>
              <a:cxnSpLocks noChangeShapeType="1"/>
            </xdr:cNvCxnSpPr>
          </xdr:nvCxnSpPr>
          <xdr:spPr bwMode="auto">
            <a:xfrm>
              <a:off x="3772567" y="2503004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71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72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73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290757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758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92</xdr:col>
      <xdr:colOff>3846</xdr:colOff>
      <xdr:row>438</xdr:row>
      <xdr:rowOff>79374</xdr:rowOff>
    </xdr:from>
    <xdr:to>
      <xdr:col>100</xdr:col>
      <xdr:colOff>42658</xdr:colOff>
      <xdr:row>441</xdr:row>
      <xdr:rowOff>79375</xdr:rowOff>
    </xdr:to>
    <xdr:sp macro="" textlink="">
      <xdr:nvSpPr>
        <xdr:cNvPr id="6082" name="Rectangle 218"/>
        <xdr:cNvSpPr>
          <a:spLocks noChangeArrowheads="1"/>
        </xdr:cNvSpPr>
      </xdr:nvSpPr>
      <xdr:spPr bwMode="auto">
        <a:xfrm>
          <a:off x="8396629" y="83324280"/>
          <a:ext cx="757680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83</xdr:col>
      <xdr:colOff>42716</xdr:colOff>
      <xdr:row>439</xdr:row>
      <xdr:rowOff>11339</xdr:rowOff>
    </xdr:from>
    <xdr:to>
      <xdr:col>91</xdr:col>
      <xdr:colOff>70612</xdr:colOff>
      <xdr:row>442</xdr:row>
      <xdr:rowOff>11339</xdr:rowOff>
    </xdr:to>
    <xdr:sp macro="" textlink="">
      <xdr:nvSpPr>
        <xdr:cNvPr id="6083" name="Rectangle 218"/>
        <xdr:cNvSpPr>
          <a:spLocks noChangeArrowheads="1"/>
        </xdr:cNvSpPr>
      </xdr:nvSpPr>
      <xdr:spPr bwMode="auto">
        <a:xfrm>
          <a:off x="7291241" y="38063714"/>
          <a:ext cx="71369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79715</xdr:colOff>
      <xdr:row>439</xdr:row>
      <xdr:rowOff>55256</xdr:rowOff>
    </xdr:from>
    <xdr:to>
      <xdr:col>85</xdr:col>
      <xdr:colOff>26799</xdr:colOff>
      <xdr:row>442</xdr:row>
      <xdr:rowOff>55257</xdr:rowOff>
    </xdr:to>
    <xdr:sp macro="" textlink="">
      <xdr:nvSpPr>
        <xdr:cNvPr id="6084" name="Rectangle 218"/>
        <xdr:cNvSpPr>
          <a:spLocks noChangeArrowheads="1"/>
        </xdr:cNvSpPr>
      </xdr:nvSpPr>
      <xdr:spPr bwMode="auto">
        <a:xfrm>
          <a:off x="7034762" y="83390020"/>
          <a:ext cx="755811" cy="269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19384</xdr:colOff>
      <xdr:row>416</xdr:row>
      <xdr:rowOff>3038</xdr:rowOff>
    </xdr:from>
    <xdr:to>
      <xdr:col>71</xdr:col>
      <xdr:colOff>3354</xdr:colOff>
      <xdr:row>416</xdr:row>
      <xdr:rowOff>3038</xdr:rowOff>
    </xdr:to>
    <xdr:cxnSp macro="">
      <xdr:nvCxnSpPr>
        <xdr:cNvPr id="6086" name="直線コネクタ 6085"/>
        <xdr:cNvCxnSpPr/>
      </xdr:nvCxnSpPr>
      <xdr:spPr bwMode="auto">
        <a:xfrm>
          <a:off x="6435280" y="81271057"/>
          <a:ext cx="73829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76200</xdr:colOff>
      <xdr:row>418</xdr:row>
      <xdr:rowOff>0</xdr:rowOff>
    </xdr:from>
    <xdr:to>
      <xdr:col>80</xdr:col>
      <xdr:colOff>0</xdr:colOff>
      <xdr:row>421</xdr:row>
      <xdr:rowOff>0</xdr:rowOff>
    </xdr:to>
    <xdr:grpSp>
      <xdr:nvGrpSpPr>
        <xdr:cNvPr id="3288680" name="グループ化 1"/>
        <xdr:cNvGrpSpPr>
          <a:grpSpLocks/>
        </xdr:cNvGrpSpPr>
      </xdr:nvGrpSpPr>
      <xdr:grpSpPr bwMode="auto">
        <a:xfrm>
          <a:off x="6709064" y="36610636"/>
          <a:ext cx="356754" cy="259773"/>
          <a:chOff x="3724275" y="1824264"/>
          <a:chExt cx="390526" cy="286252"/>
        </a:xfrm>
      </xdr:grpSpPr>
      <xdr:sp macro="" textlink="">
        <xdr:nvSpPr>
          <xdr:cNvPr id="3290753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54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755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142</xdr:col>
      <xdr:colOff>66675</xdr:colOff>
      <xdr:row>449</xdr:row>
      <xdr:rowOff>47625</xdr:rowOff>
    </xdr:from>
    <xdr:to>
      <xdr:col>161</xdr:col>
      <xdr:colOff>28575</xdr:colOff>
      <xdr:row>457</xdr:row>
      <xdr:rowOff>19050</xdr:rowOff>
    </xdr:to>
    <xdr:grpSp>
      <xdr:nvGrpSpPr>
        <xdr:cNvPr id="3288681" name="グループ化 2746"/>
        <xdr:cNvGrpSpPr>
          <a:grpSpLocks/>
        </xdr:cNvGrpSpPr>
      </xdr:nvGrpSpPr>
      <xdr:grpSpPr bwMode="auto">
        <a:xfrm>
          <a:off x="12501130" y="39342580"/>
          <a:ext cx="1607127" cy="664152"/>
          <a:chOff x="11757476" y="15796617"/>
          <a:chExt cx="1607289" cy="647446"/>
        </a:xfrm>
      </xdr:grpSpPr>
      <xdr:grpSp>
        <xdr:nvGrpSpPr>
          <xdr:cNvPr id="3290737" name="Group 47"/>
          <xdr:cNvGrpSpPr>
            <a:grpSpLocks/>
          </xdr:cNvGrpSpPr>
        </xdr:nvGrpSpPr>
        <xdr:grpSpPr bwMode="auto">
          <a:xfrm>
            <a:off x="11757476" y="15842535"/>
            <a:ext cx="1537482" cy="482598"/>
            <a:chOff x="1010" y="518"/>
            <a:chExt cx="172" cy="53"/>
          </a:xfrm>
        </xdr:grpSpPr>
        <xdr:sp macro="" textlink="">
          <xdr:nvSpPr>
            <xdr:cNvPr id="3290744" name="Line 48"/>
            <xdr:cNvSpPr>
              <a:spLocks noChangeShapeType="1"/>
            </xdr:cNvSpPr>
          </xdr:nvSpPr>
          <xdr:spPr bwMode="auto">
            <a:xfrm flipH="1">
              <a:off x="1089" y="518"/>
              <a:ext cx="32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45" name="Line 49"/>
            <xdr:cNvSpPr>
              <a:spLocks noChangeShapeType="1"/>
            </xdr:cNvSpPr>
          </xdr:nvSpPr>
          <xdr:spPr bwMode="auto">
            <a:xfrm flipV="1">
              <a:off x="1010" y="544"/>
              <a:ext cx="81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46" name="Line 50"/>
            <xdr:cNvSpPr>
              <a:spLocks noChangeShapeType="1"/>
            </xdr:cNvSpPr>
          </xdr:nvSpPr>
          <xdr:spPr bwMode="auto">
            <a:xfrm>
              <a:off x="1121" y="519"/>
              <a:ext cx="61" cy="26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47" name="Line 51"/>
            <xdr:cNvSpPr>
              <a:spLocks noChangeShapeType="1"/>
            </xdr:cNvSpPr>
          </xdr:nvSpPr>
          <xdr:spPr bwMode="auto">
            <a:xfrm flipV="1">
              <a:off x="1012" y="518"/>
              <a:ext cx="109" cy="34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48" name="Line 52"/>
            <xdr:cNvSpPr>
              <a:spLocks noChangeShapeType="1"/>
            </xdr:cNvSpPr>
          </xdr:nvSpPr>
          <xdr:spPr bwMode="auto">
            <a:xfrm flipH="1">
              <a:off x="1090" y="535"/>
              <a:ext cx="31" cy="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49" name="Line 53"/>
            <xdr:cNvSpPr>
              <a:spLocks noChangeShapeType="1"/>
            </xdr:cNvSpPr>
          </xdr:nvSpPr>
          <xdr:spPr bwMode="auto">
            <a:xfrm>
              <a:off x="1122" y="536"/>
              <a:ext cx="59" cy="26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50" name="Line 54"/>
            <xdr:cNvSpPr>
              <a:spLocks noChangeShapeType="1"/>
            </xdr:cNvSpPr>
          </xdr:nvSpPr>
          <xdr:spPr bwMode="auto">
            <a:xfrm>
              <a:off x="1121" y="519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51" name="Line 55"/>
            <xdr:cNvSpPr>
              <a:spLocks noChangeShapeType="1"/>
            </xdr:cNvSpPr>
          </xdr:nvSpPr>
          <xdr:spPr bwMode="auto">
            <a:xfrm>
              <a:off x="1011" y="552"/>
              <a:ext cx="0" cy="1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752" name="Line 56"/>
            <xdr:cNvSpPr>
              <a:spLocks noChangeShapeType="1"/>
            </xdr:cNvSpPr>
          </xdr:nvSpPr>
          <xdr:spPr bwMode="auto">
            <a:xfrm>
              <a:off x="1181" y="545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290738" name="Freeform 227"/>
          <xdr:cNvSpPr>
            <a:spLocks/>
          </xdr:cNvSpPr>
        </xdr:nvSpPr>
        <xdr:spPr bwMode="auto">
          <a:xfrm rot="-310882">
            <a:off x="12415436" y="16011033"/>
            <a:ext cx="122289" cy="78691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094" name="Rectangle 228"/>
          <xdr:cNvSpPr>
            <a:spLocks noChangeArrowheads="1"/>
          </xdr:cNvSpPr>
        </xdr:nvSpPr>
        <xdr:spPr bwMode="auto">
          <a:xfrm>
            <a:off x="12354194" y="16068732"/>
            <a:ext cx="384979" cy="23458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6095" name="テキスト ボックス 6094"/>
          <xdr:cNvSpPr txBox="1"/>
        </xdr:nvSpPr>
        <xdr:spPr bwMode="auto">
          <a:xfrm>
            <a:off x="12912414" y="15796617"/>
            <a:ext cx="452351" cy="2345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096" name="テキスト ボックス 6095"/>
          <xdr:cNvSpPr txBox="1"/>
        </xdr:nvSpPr>
        <xdr:spPr bwMode="auto">
          <a:xfrm>
            <a:off x="11853721" y="16209481"/>
            <a:ext cx="490849" cy="2345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097" name="正方形/長方形 6096"/>
          <xdr:cNvSpPr/>
        </xdr:nvSpPr>
        <xdr:spPr bwMode="auto">
          <a:xfrm>
            <a:off x="12383068" y="15806000"/>
            <a:ext cx="221363" cy="15013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6098" name="テキスト ボックス 6097"/>
          <xdr:cNvSpPr txBox="1"/>
        </xdr:nvSpPr>
        <xdr:spPr bwMode="auto">
          <a:xfrm>
            <a:off x="12277198" y="15806000"/>
            <a:ext cx="442726" cy="2064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315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oneCellAnchor>
    <xdr:from>
      <xdr:col>29</xdr:col>
      <xdr:colOff>62593</xdr:colOff>
      <xdr:row>460</xdr:row>
      <xdr:rowOff>16600</xdr:rowOff>
    </xdr:from>
    <xdr:ext cx="423193" cy="183384"/>
    <xdr:sp macro="" textlink="">
      <xdr:nvSpPr>
        <xdr:cNvPr id="6108" name="Rectangle 217"/>
        <xdr:cNvSpPr>
          <a:spLocks noChangeArrowheads="1"/>
        </xdr:cNvSpPr>
      </xdr:nvSpPr>
      <xdr:spPr bwMode="auto">
        <a:xfrm>
          <a:off x="2681968" y="3986920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29</xdr:col>
      <xdr:colOff>38100</xdr:colOff>
      <xdr:row>458</xdr:row>
      <xdr:rowOff>19050</xdr:rowOff>
    </xdr:from>
    <xdr:to>
      <xdr:col>34</xdr:col>
      <xdr:colOff>0</xdr:colOff>
      <xdr:row>459</xdr:row>
      <xdr:rowOff>66675</xdr:rowOff>
    </xdr:to>
    <xdr:grpSp>
      <xdr:nvGrpSpPr>
        <xdr:cNvPr id="3288683" name="Group 350"/>
        <xdr:cNvGrpSpPr>
          <a:grpSpLocks/>
        </xdr:cNvGrpSpPr>
      </xdr:nvGrpSpPr>
      <xdr:grpSpPr bwMode="auto">
        <a:xfrm>
          <a:off x="2687782" y="40093323"/>
          <a:ext cx="394854" cy="134216"/>
          <a:chOff x="340" y="51"/>
          <a:chExt cx="60" cy="20"/>
        </a:xfrm>
      </xdr:grpSpPr>
      <xdr:sp macro="" textlink="">
        <xdr:nvSpPr>
          <xdr:cNvPr id="3290734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735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736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479</xdr:row>
      <xdr:rowOff>9525</xdr:rowOff>
    </xdr:from>
    <xdr:to>
      <xdr:col>38</xdr:col>
      <xdr:colOff>9525</xdr:colOff>
      <xdr:row>486</xdr:row>
      <xdr:rowOff>19050</xdr:rowOff>
    </xdr:to>
    <xdr:grpSp>
      <xdr:nvGrpSpPr>
        <xdr:cNvPr id="3288684" name="グループ化 3"/>
        <xdr:cNvGrpSpPr>
          <a:grpSpLocks/>
        </xdr:cNvGrpSpPr>
      </xdr:nvGrpSpPr>
      <xdr:grpSpPr bwMode="auto">
        <a:xfrm>
          <a:off x="3101686" y="41902207"/>
          <a:ext cx="336839" cy="615661"/>
          <a:chOff x="4956932" y="1715005"/>
          <a:chExt cx="367492" cy="648892"/>
        </a:xfrm>
      </xdr:grpSpPr>
      <xdr:grpSp>
        <xdr:nvGrpSpPr>
          <xdr:cNvPr id="3290730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732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733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145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38</xdr:col>
      <xdr:colOff>66675</xdr:colOff>
      <xdr:row>499</xdr:row>
      <xdr:rowOff>47625</xdr:rowOff>
    </xdr:from>
    <xdr:to>
      <xdr:col>39</xdr:col>
      <xdr:colOff>47625</xdr:colOff>
      <xdr:row>501</xdr:row>
      <xdr:rowOff>47625</xdr:rowOff>
    </xdr:to>
    <xdr:grpSp>
      <xdr:nvGrpSpPr>
        <xdr:cNvPr id="3288685" name="グループ化 700"/>
        <xdr:cNvGrpSpPr>
          <a:grpSpLocks/>
        </xdr:cNvGrpSpPr>
      </xdr:nvGrpSpPr>
      <xdr:grpSpPr bwMode="auto">
        <a:xfrm>
          <a:off x="3495675" y="43672125"/>
          <a:ext cx="67541" cy="173182"/>
          <a:chOff x="3165758" y="15657662"/>
          <a:chExt cx="67219" cy="163244"/>
        </a:xfrm>
      </xdr:grpSpPr>
      <xdr:sp macro="" textlink="">
        <xdr:nvSpPr>
          <xdr:cNvPr id="3290727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28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29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498</xdr:row>
      <xdr:rowOff>9525</xdr:rowOff>
    </xdr:from>
    <xdr:to>
      <xdr:col>54</xdr:col>
      <xdr:colOff>28575</xdr:colOff>
      <xdr:row>504</xdr:row>
      <xdr:rowOff>9525</xdr:rowOff>
    </xdr:to>
    <xdr:grpSp>
      <xdr:nvGrpSpPr>
        <xdr:cNvPr id="3288686" name="グループ化 702"/>
        <xdr:cNvGrpSpPr>
          <a:grpSpLocks/>
        </xdr:cNvGrpSpPr>
      </xdr:nvGrpSpPr>
      <xdr:grpSpPr bwMode="auto">
        <a:xfrm>
          <a:off x="3649807" y="43547434"/>
          <a:ext cx="1193223" cy="519546"/>
          <a:chOff x="3634154" y="15407680"/>
          <a:chExt cx="1158481" cy="500696"/>
        </a:xfrm>
      </xdr:grpSpPr>
      <xdr:sp macro="" textlink="">
        <xdr:nvSpPr>
          <xdr:cNvPr id="6153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723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24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25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7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53</xdr:col>
      <xdr:colOff>0</xdr:colOff>
      <xdr:row>481</xdr:row>
      <xdr:rowOff>57150</xdr:rowOff>
    </xdr:from>
    <xdr:to>
      <xdr:col>60</xdr:col>
      <xdr:colOff>38100</xdr:colOff>
      <xdr:row>483</xdr:row>
      <xdr:rowOff>0</xdr:rowOff>
    </xdr:to>
    <xdr:grpSp>
      <xdr:nvGrpSpPr>
        <xdr:cNvPr id="3288687" name="グループ化 5"/>
        <xdr:cNvGrpSpPr>
          <a:grpSpLocks/>
        </xdr:cNvGrpSpPr>
      </xdr:nvGrpSpPr>
      <xdr:grpSpPr bwMode="auto">
        <a:xfrm>
          <a:off x="4727864" y="42123014"/>
          <a:ext cx="644236" cy="116031"/>
          <a:chOff x="4791075" y="2762250"/>
          <a:chExt cx="714375" cy="142875"/>
        </a:xfrm>
      </xdr:grpSpPr>
      <xdr:sp macro="" textlink="">
        <xdr:nvSpPr>
          <xdr:cNvPr id="3290720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721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54</xdr:col>
      <xdr:colOff>76200</xdr:colOff>
      <xdr:row>472</xdr:row>
      <xdr:rowOff>0</xdr:rowOff>
    </xdr:from>
    <xdr:to>
      <xdr:col>59</xdr:col>
      <xdr:colOff>0</xdr:colOff>
      <xdr:row>475</xdr:row>
      <xdr:rowOff>0</xdr:rowOff>
    </xdr:to>
    <xdr:grpSp>
      <xdr:nvGrpSpPr>
        <xdr:cNvPr id="3288688" name="グループ化 1"/>
        <xdr:cNvGrpSpPr>
          <a:grpSpLocks/>
        </xdr:cNvGrpSpPr>
      </xdr:nvGrpSpPr>
      <xdr:grpSpPr bwMode="auto">
        <a:xfrm>
          <a:off x="4890655" y="41286545"/>
          <a:ext cx="356754" cy="259773"/>
          <a:chOff x="3724275" y="1824264"/>
          <a:chExt cx="390526" cy="286252"/>
        </a:xfrm>
      </xdr:grpSpPr>
      <xdr:sp macro="" textlink="">
        <xdr:nvSpPr>
          <xdr:cNvPr id="3290717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718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719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6804</xdr:colOff>
      <xdr:row>490</xdr:row>
      <xdr:rowOff>83046</xdr:rowOff>
    </xdr:from>
    <xdr:to>
      <xdr:col>30</xdr:col>
      <xdr:colOff>81311</xdr:colOff>
      <xdr:row>490</xdr:row>
      <xdr:rowOff>83046</xdr:rowOff>
    </xdr:to>
    <xdr:cxnSp macro="">
      <xdr:nvCxnSpPr>
        <xdr:cNvPr id="6165" name="直線コネクタ 6164"/>
        <xdr:cNvCxnSpPr/>
      </xdr:nvCxnSpPr>
      <xdr:spPr bwMode="auto">
        <a:xfrm>
          <a:off x="6422700" y="78295876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50402</xdr:colOff>
      <xdr:row>485</xdr:row>
      <xdr:rowOff>49609</xdr:rowOff>
    </xdr:from>
    <xdr:to>
      <xdr:col>54</xdr:col>
      <xdr:colOff>86783</xdr:colOff>
      <xdr:row>488</xdr:row>
      <xdr:rowOff>49609</xdr:rowOff>
    </xdr:to>
    <xdr:sp macro="" textlink="">
      <xdr:nvSpPr>
        <xdr:cNvPr id="6166" name="Rectangle 218"/>
        <xdr:cNvSpPr>
          <a:spLocks noChangeArrowheads="1"/>
        </xdr:cNvSpPr>
      </xdr:nvSpPr>
      <xdr:spPr bwMode="auto">
        <a:xfrm>
          <a:off x="7904034" y="77813147"/>
          <a:ext cx="755249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66675</xdr:colOff>
      <xdr:row>487</xdr:row>
      <xdr:rowOff>57150</xdr:rowOff>
    </xdr:from>
    <xdr:to>
      <xdr:col>61</xdr:col>
      <xdr:colOff>0</xdr:colOff>
      <xdr:row>495</xdr:row>
      <xdr:rowOff>28575</xdr:rowOff>
    </xdr:to>
    <xdr:grpSp>
      <xdr:nvGrpSpPr>
        <xdr:cNvPr id="3288691" name="グループ化 2528"/>
        <xdr:cNvGrpSpPr>
          <a:grpSpLocks/>
        </xdr:cNvGrpSpPr>
      </xdr:nvGrpSpPr>
      <xdr:grpSpPr bwMode="auto">
        <a:xfrm>
          <a:off x="3322493" y="42642559"/>
          <a:ext cx="2098098" cy="664152"/>
          <a:chOff x="13451336" y="18108261"/>
          <a:chExt cx="2108441" cy="662519"/>
        </a:xfrm>
      </xdr:grpSpPr>
      <xdr:grpSp>
        <xdr:nvGrpSpPr>
          <xdr:cNvPr id="3290699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290702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03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04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05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06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07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08" name="直線コネクタ 18"/>
            <xdr:cNvCxnSpPr>
              <a:cxnSpLocks noChangeShapeType="1"/>
            </xdr:cNvCxnSpPr>
          </xdr:nvCxnSpPr>
          <xdr:spPr bwMode="auto">
            <a:xfrm>
              <a:off x="3049499" y="2504662"/>
              <a:ext cx="0" cy="554016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09" name="直線コネクタ 19"/>
            <xdr:cNvCxnSpPr>
              <a:cxnSpLocks noChangeShapeType="1"/>
            </xdr:cNvCxnSpPr>
          </xdr:nvCxnSpPr>
          <xdr:spPr bwMode="auto">
            <a:xfrm>
              <a:off x="3186161" y="2500518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10" name="直線コネクタ 20"/>
            <xdr:cNvCxnSpPr>
              <a:cxnSpLocks noChangeShapeType="1"/>
            </xdr:cNvCxnSpPr>
          </xdr:nvCxnSpPr>
          <xdr:spPr bwMode="auto">
            <a:xfrm>
              <a:off x="3334419" y="2499691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11" name="直線コネクタ 21"/>
            <xdr:cNvCxnSpPr>
              <a:cxnSpLocks noChangeShapeType="1"/>
            </xdr:cNvCxnSpPr>
          </xdr:nvCxnSpPr>
          <xdr:spPr bwMode="auto">
            <a:xfrm>
              <a:off x="3471081" y="2503833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12" name="直線コネクタ 22"/>
            <xdr:cNvCxnSpPr>
              <a:cxnSpLocks noChangeShapeType="1"/>
            </xdr:cNvCxnSpPr>
          </xdr:nvCxnSpPr>
          <xdr:spPr bwMode="auto">
            <a:xfrm>
              <a:off x="3619340" y="2503004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13" name="直線コネクタ 23"/>
            <xdr:cNvCxnSpPr>
              <a:cxnSpLocks noChangeShapeType="1"/>
            </xdr:cNvCxnSpPr>
          </xdr:nvCxnSpPr>
          <xdr:spPr bwMode="auto">
            <a:xfrm>
              <a:off x="3772567" y="2503004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14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15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716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290700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701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52</xdr:col>
      <xdr:colOff>3846</xdr:colOff>
      <xdr:row>492</xdr:row>
      <xdr:rowOff>79374</xdr:rowOff>
    </xdr:from>
    <xdr:to>
      <xdr:col>60</xdr:col>
      <xdr:colOff>42658</xdr:colOff>
      <xdr:row>495</xdr:row>
      <xdr:rowOff>79375</xdr:rowOff>
    </xdr:to>
    <xdr:sp macro="" textlink="">
      <xdr:nvSpPr>
        <xdr:cNvPr id="6187" name="Rectangle 218"/>
        <xdr:cNvSpPr>
          <a:spLocks noChangeArrowheads="1"/>
        </xdr:cNvSpPr>
      </xdr:nvSpPr>
      <xdr:spPr bwMode="auto">
        <a:xfrm>
          <a:off x="8396629" y="78471921"/>
          <a:ext cx="757680" cy="269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525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28024</xdr:colOff>
      <xdr:row>493</xdr:row>
      <xdr:rowOff>11339</xdr:rowOff>
    </xdr:from>
    <xdr:to>
      <xdr:col>51</xdr:col>
      <xdr:colOff>55920</xdr:colOff>
      <xdr:row>496</xdr:row>
      <xdr:rowOff>11339</xdr:rowOff>
    </xdr:to>
    <xdr:sp macro="" textlink="">
      <xdr:nvSpPr>
        <xdr:cNvPr id="6188" name="Rectangle 218"/>
        <xdr:cNvSpPr>
          <a:spLocks noChangeArrowheads="1"/>
        </xdr:cNvSpPr>
      </xdr:nvSpPr>
      <xdr:spPr bwMode="auto">
        <a:xfrm>
          <a:off x="3975249" y="44197653"/>
          <a:ext cx="738235" cy="2663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79715</xdr:colOff>
      <xdr:row>493</xdr:row>
      <xdr:rowOff>55256</xdr:rowOff>
    </xdr:from>
    <xdr:to>
      <xdr:col>45</xdr:col>
      <xdr:colOff>26799</xdr:colOff>
      <xdr:row>496</xdr:row>
      <xdr:rowOff>55257</xdr:rowOff>
    </xdr:to>
    <xdr:sp macro="" textlink="">
      <xdr:nvSpPr>
        <xdr:cNvPr id="6189" name="Rectangle 218"/>
        <xdr:cNvSpPr>
          <a:spLocks noChangeArrowheads="1"/>
        </xdr:cNvSpPr>
      </xdr:nvSpPr>
      <xdr:spPr bwMode="auto">
        <a:xfrm>
          <a:off x="7034762" y="78537662"/>
          <a:ext cx="755811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33</xdr:col>
      <xdr:colOff>28575</xdr:colOff>
      <xdr:row>470</xdr:row>
      <xdr:rowOff>38100</xdr:rowOff>
    </xdr:from>
    <xdr:to>
      <xdr:col>42</xdr:col>
      <xdr:colOff>9525</xdr:colOff>
      <xdr:row>477</xdr:row>
      <xdr:rowOff>66675</xdr:rowOff>
    </xdr:to>
    <xdr:grpSp>
      <xdr:nvGrpSpPr>
        <xdr:cNvPr id="3288695" name="グループ化 15"/>
        <xdr:cNvGrpSpPr>
          <a:grpSpLocks/>
        </xdr:cNvGrpSpPr>
      </xdr:nvGrpSpPr>
      <xdr:grpSpPr bwMode="auto">
        <a:xfrm>
          <a:off x="3024620" y="41151464"/>
          <a:ext cx="760269" cy="634711"/>
          <a:chOff x="3122036" y="42663792"/>
          <a:chExt cx="786290" cy="659067"/>
        </a:xfrm>
      </xdr:grpSpPr>
      <xdr:grpSp>
        <xdr:nvGrpSpPr>
          <xdr:cNvPr id="3290688" name="グループ化 648"/>
          <xdr:cNvGrpSpPr>
            <a:grpSpLocks/>
          </xdr:cNvGrpSpPr>
        </xdr:nvGrpSpPr>
        <xdr:grpSpPr bwMode="auto">
          <a:xfrm flipH="1">
            <a:off x="3219091" y="42756826"/>
            <a:ext cx="567726" cy="439768"/>
            <a:chOff x="1767052" y="985345"/>
            <a:chExt cx="1193995" cy="785448"/>
          </a:xfrm>
        </xdr:grpSpPr>
        <xdr:cxnSp macro="">
          <xdr:nvCxnSpPr>
            <xdr:cNvPr id="6191" name="直線コネクタ 6190"/>
            <xdr:cNvCxnSpPr/>
          </xdr:nvCxnSpPr>
          <xdr:spPr>
            <a:xfrm flipV="1">
              <a:off x="1762694" y="979700"/>
              <a:ext cx="816364" cy="28536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92" name="直線コネクタ 6191"/>
            <xdr:cNvCxnSpPr/>
          </xdr:nvCxnSpPr>
          <xdr:spPr>
            <a:xfrm>
              <a:off x="2579058" y="979700"/>
              <a:ext cx="376783" cy="196188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93" name="直線コネクタ 6192"/>
            <xdr:cNvCxnSpPr/>
          </xdr:nvCxnSpPr>
          <xdr:spPr>
            <a:xfrm>
              <a:off x="2579058" y="1550428"/>
              <a:ext cx="376783" cy="196188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94" name="直線コネクタ 6193"/>
            <xdr:cNvCxnSpPr/>
          </xdr:nvCxnSpPr>
          <xdr:spPr>
            <a:xfrm>
              <a:off x="2955841" y="1175887"/>
              <a:ext cx="0" cy="58856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95" name="直線コネクタ 6194"/>
            <xdr:cNvCxnSpPr/>
          </xdr:nvCxnSpPr>
          <xdr:spPr>
            <a:xfrm>
              <a:off x="2579058" y="979700"/>
              <a:ext cx="0" cy="588564"/>
            </a:xfrm>
            <a:prstGeom prst="line">
              <a:avLst/>
            </a:prstGeom>
            <a:ln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6196" name="テキスト ボックス 6195"/>
          <xdr:cNvSpPr txBox="1"/>
        </xdr:nvSpPr>
        <xdr:spPr>
          <a:xfrm>
            <a:off x="3122036" y="43133128"/>
            <a:ext cx="517558" cy="18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197" name="テキスト ボックス 6196"/>
          <xdr:cNvSpPr txBox="1"/>
        </xdr:nvSpPr>
        <xdr:spPr>
          <a:xfrm>
            <a:off x="3390768" y="42663792"/>
            <a:ext cx="517558" cy="18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198" name="正方形/長方形 6197"/>
          <xdr:cNvSpPr/>
        </xdr:nvSpPr>
        <xdr:spPr>
          <a:xfrm>
            <a:off x="3271332" y="42843538"/>
            <a:ext cx="218967" cy="12981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6199" name="テキスト ボックス 6198"/>
          <xdr:cNvSpPr txBox="1"/>
        </xdr:nvSpPr>
        <xdr:spPr>
          <a:xfrm>
            <a:off x="3131989" y="42803594"/>
            <a:ext cx="487699" cy="2097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6200" name="直線コネクタ 6199"/>
          <xdr:cNvCxnSpPr/>
        </xdr:nvCxnSpPr>
        <xdr:spPr bwMode="auto">
          <a:xfrm flipH="1" flipV="1">
            <a:off x="3390768" y="43093184"/>
            <a:ext cx="268732" cy="119830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76200</xdr:colOff>
      <xdr:row>503</xdr:row>
      <xdr:rowOff>19050</xdr:rowOff>
    </xdr:from>
    <xdr:to>
      <xdr:col>55</xdr:col>
      <xdr:colOff>76200</xdr:colOff>
      <xdr:row>509</xdr:row>
      <xdr:rowOff>38100</xdr:rowOff>
    </xdr:to>
    <xdr:grpSp>
      <xdr:nvGrpSpPr>
        <xdr:cNvPr id="3288696" name="グループ化 3689"/>
        <xdr:cNvGrpSpPr>
          <a:grpSpLocks/>
        </xdr:cNvGrpSpPr>
      </xdr:nvGrpSpPr>
      <xdr:grpSpPr bwMode="auto">
        <a:xfrm>
          <a:off x="3505200" y="43989914"/>
          <a:ext cx="1472045" cy="538595"/>
          <a:chOff x="7960181" y="80590912"/>
          <a:chExt cx="1428064" cy="522812"/>
        </a:xfrm>
      </xdr:grpSpPr>
      <xdr:grpSp>
        <xdr:nvGrpSpPr>
          <xdr:cNvPr id="3290666" name="グループ化 27"/>
          <xdr:cNvGrpSpPr>
            <a:grpSpLocks/>
          </xdr:cNvGrpSpPr>
        </xdr:nvGrpSpPr>
        <xdr:grpSpPr bwMode="auto">
          <a:xfrm>
            <a:off x="7960181" y="80590912"/>
            <a:ext cx="1428064" cy="522812"/>
            <a:chOff x="3369580" y="58232499"/>
            <a:chExt cx="1488127" cy="541212"/>
          </a:xfrm>
        </xdr:grpSpPr>
        <xdr:grpSp>
          <xdr:nvGrpSpPr>
            <xdr:cNvPr id="3290671" name="グループ化 22"/>
            <xdr:cNvGrpSpPr>
              <a:grpSpLocks/>
            </xdr:cNvGrpSpPr>
          </xdr:nvGrpSpPr>
          <xdr:grpSpPr bwMode="auto">
            <a:xfrm>
              <a:off x="3369580" y="58244122"/>
              <a:ext cx="1488127" cy="529589"/>
              <a:chOff x="3490869" y="55965953"/>
              <a:chExt cx="1430197" cy="509308"/>
            </a:xfrm>
          </xdr:grpSpPr>
          <xdr:grpSp>
            <xdr:nvGrpSpPr>
              <xdr:cNvPr id="3290674" name="グループ化 12"/>
              <xdr:cNvGrpSpPr>
                <a:grpSpLocks/>
              </xdr:cNvGrpSpPr>
            </xdr:nvGrpSpPr>
            <xdr:grpSpPr bwMode="auto">
              <a:xfrm>
                <a:off x="3490869" y="55965953"/>
                <a:ext cx="1430197" cy="509308"/>
                <a:chOff x="3637403" y="57048559"/>
                <a:chExt cx="1456896" cy="518563"/>
              </a:xfrm>
            </xdr:grpSpPr>
            <xdr:grpSp>
              <xdr:nvGrpSpPr>
                <xdr:cNvPr id="3290676" name="グループ化 7"/>
                <xdr:cNvGrpSpPr>
                  <a:grpSpLocks/>
                </xdr:cNvGrpSpPr>
              </xdr:nvGrpSpPr>
              <xdr:grpSpPr bwMode="auto">
                <a:xfrm>
                  <a:off x="3637403" y="57048559"/>
                  <a:ext cx="1456896" cy="518563"/>
                  <a:chOff x="4070251" y="29759487"/>
                  <a:chExt cx="1411788" cy="504999"/>
                </a:xfrm>
              </xdr:grpSpPr>
              <xdr:grpSp>
                <xdr:nvGrpSpPr>
                  <xdr:cNvPr id="3290680" name="グループ化 6"/>
                  <xdr:cNvGrpSpPr>
                    <a:grpSpLocks/>
                  </xdr:cNvGrpSpPr>
                </xdr:nvGrpSpPr>
                <xdr:grpSpPr bwMode="auto">
                  <a:xfrm>
                    <a:off x="4070251" y="29759487"/>
                    <a:ext cx="1273989" cy="426040"/>
                    <a:chOff x="4213126" y="29771393"/>
                    <a:chExt cx="1273989" cy="426040"/>
                  </a:xfrm>
                </xdr:grpSpPr>
                <xdr:grpSp>
                  <xdr:nvGrpSpPr>
                    <xdr:cNvPr id="3290683" name="グループ化 648"/>
                    <xdr:cNvGrpSpPr>
                      <a:grpSpLocks/>
                    </xdr:cNvGrpSpPr>
                  </xdr:nvGrpSpPr>
                  <xdr:grpSpPr bwMode="auto">
                    <a:xfrm flipH="1">
                      <a:off x="4213126" y="29771393"/>
                      <a:ext cx="1273989" cy="295329"/>
                      <a:chOff x="953302" y="1152644"/>
                      <a:chExt cx="2877471" cy="569669"/>
                    </a:xfrm>
                  </xdr:grpSpPr>
                  <xdr:cxnSp macro="">
                    <xdr:nvCxnSpPr>
                      <xdr:cNvPr id="6221" name="直線コネクタ 6220"/>
                      <xdr:cNvCxnSpPr/>
                    </xdr:nvCxnSpPr>
                    <xdr:spPr>
                      <a:xfrm flipV="1">
                        <a:off x="954683" y="1149042"/>
                        <a:ext cx="1208792" cy="462190"/>
                      </a:xfrm>
                      <a:prstGeom prst="line">
                        <a:avLst/>
                      </a:prstGeom>
                      <a:ln w="3175">
                        <a:prstDash val="sysDot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222" name="直線コネクタ 6221"/>
                      <xdr:cNvCxnSpPr/>
                    </xdr:nvCxnSpPr>
                    <xdr:spPr>
                      <a:xfrm>
                        <a:off x="2184315" y="1149042"/>
                        <a:ext cx="1646458" cy="568850"/>
                      </a:xfrm>
                      <a:prstGeom prst="line">
                        <a:avLst/>
                      </a:prstGeom>
                      <a:ln w="3175">
                        <a:prstDash val="sysDot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223" name="直線コネクタ 6222"/>
                      <xdr:cNvCxnSpPr/>
                    </xdr:nvCxnSpPr>
                    <xdr:spPr>
                      <a:xfrm flipH="1">
                        <a:off x="2163474" y="1149042"/>
                        <a:ext cx="0" cy="391084"/>
                      </a:xfrm>
                      <a:prstGeom prst="line">
                        <a:avLst/>
                      </a:prstGeom>
                      <a:ln w="3175">
                        <a:prstDash val="sysDot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sp macro="" textlink="">
                  <xdr:nvSpPr>
                    <xdr:cNvPr id="6220" name="テキスト ボックス 6219"/>
                    <xdr:cNvSpPr txBox="1"/>
                  </xdr:nvSpPr>
                  <xdr:spPr>
                    <a:xfrm>
                      <a:off x="4766768" y="29999920"/>
                      <a:ext cx="461369" cy="19353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kumimoji="1" lang="en-US" altLang="ja-JP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rPr>
                        <a:t>100</a:t>
                      </a:r>
                      <a:endParaRPr kumimoji="1" lang="ja-JP" altLang="en-US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endParaRPr>
                    </a:p>
                  </xdr:txBody>
                </xdr:sp>
              </xdr:grpSp>
              <xdr:sp macro="" textlink="">
                <xdr:nvSpPr>
                  <xdr:cNvPr id="6217" name="テキスト ボックス 6216"/>
                  <xdr:cNvSpPr txBox="1"/>
                </xdr:nvSpPr>
                <xdr:spPr>
                  <a:xfrm>
                    <a:off x="4291708" y="30089387"/>
                    <a:ext cx="470596" cy="17509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kumimoji="1" lang="en-US" altLang="ja-JP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rPr>
                      <a:t>600</a:t>
                    </a:r>
                    <a:endParaRPr kumimoji="1" lang="ja-JP" altLang="en-US" sz="900">
                      <a:latin typeface="ＭＳ ゴシック" panose="020B0609070205080204" pitchFamily="49" charset="-128"/>
                      <a:ea typeface="ＭＳ ゴシック" panose="020B0609070205080204" pitchFamily="49" charset="-128"/>
                    </a:endParaRPr>
                  </a:p>
                </xdr:txBody>
              </xdr:sp>
              <xdr:sp macro="" textlink="">
                <xdr:nvSpPr>
                  <xdr:cNvPr id="6218" name="テキスト ボックス 6217"/>
                  <xdr:cNvSpPr txBox="1"/>
                </xdr:nvSpPr>
                <xdr:spPr>
                  <a:xfrm>
                    <a:off x="5020670" y="29988013"/>
                    <a:ext cx="461369" cy="19353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kumimoji="1" lang="en-US" altLang="ja-JP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rPr>
                      <a:t>360</a:t>
                    </a:r>
                    <a:endParaRPr kumimoji="1" lang="ja-JP" altLang="en-US" sz="900">
                      <a:latin typeface="ＭＳ ゴシック" panose="020B0609070205080204" pitchFamily="49" charset="-128"/>
                      <a:ea typeface="ＭＳ ゴシック" panose="020B0609070205080204" pitchFamily="49" charset="-128"/>
                    </a:endParaRPr>
                  </a:p>
                </xdr:txBody>
              </xdr:sp>
            </xdr:grpSp>
            <xdr:grpSp>
              <xdr:nvGrpSpPr>
                <xdr:cNvPr id="3290677" name="グループ化 11"/>
                <xdr:cNvGrpSpPr>
                  <a:grpSpLocks/>
                </xdr:cNvGrpSpPr>
              </xdr:nvGrpSpPr>
              <xdr:grpSpPr bwMode="auto">
                <a:xfrm>
                  <a:off x="3641486" y="57257405"/>
                  <a:ext cx="756014" cy="297387"/>
                  <a:chOff x="3641486" y="57257405"/>
                  <a:chExt cx="756014" cy="297387"/>
                </a:xfrm>
              </xdr:grpSpPr>
              <xdr:cxnSp macro="">
                <xdr:nvCxnSpPr>
                  <xdr:cNvPr id="6214" name="直線コネクタ 6213"/>
                  <xdr:cNvCxnSpPr/>
                </xdr:nvCxnSpPr>
                <xdr:spPr bwMode="auto">
                  <a:xfrm flipH="1">
                    <a:off x="3637403" y="57254834"/>
                    <a:ext cx="761775" cy="302825"/>
                  </a:xfrm>
                  <a:prstGeom prst="line">
                    <a:avLst/>
                  </a:prstGeom>
                  <a:ln w="3175">
                    <a:prstDash val="sysDot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215" name="直線コネクタ 6214"/>
                  <xdr:cNvCxnSpPr/>
                </xdr:nvCxnSpPr>
                <xdr:spPr bwMode="auto">
                  <a:xfrm>
                    <a:off x="3637403" y="57349466"/>
                    <a:ext cx="0" cy="208192"/>
                  </a:xfrm>
                  <a:prstGeom prst="line">
                    <a:avLst/>
                  </a:prstGeom>
                  <a:ln w="3175">
                    <a:prstDash val="sysDot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</xdr:grpSp>
          <xdr:cxnSp macro="">
            <xdr:nvCxnSpPr>
              <xdr:cNvPr id="6211" name="直線コネクタ 6210"/>
              <xdr:cNvCxnSpPr/>
            </xdr:nvCxnSpPr>
            <xdr:spPr bwMode="auto">
              <a:xfrm flipH="1">
                <a:off x="4388248" y="56205724"/>
                <a:ext cx="392603" cy="27883"/>
              </a:xfrm>
              <a:prstGeom prst="line">
                <a:avLst/>
              </a:prstGeom>
              <a:ln w="19050">
                <a:prstDash val="soli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3290672" name="Freeform 227"/>
            <xdr:cNvSpPr>
              <a:spLocks/>
            </xdr:cNvSpPr>
          </xdr:nvSpPr>
          <xdr:spPr bwMode="auto">
            <a:xfrm rot="1718122">
              <a:off x="4278170" y="58475606"/>
              <a:ext cx="102165" cy="54235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209" name="Rectangle 228"/>
            <xdr:cNvSpPr>
              <a:spLocks noChangeArrowheads="1"/>
            </xdr:cNvSpPr>
          </xdr:nvSpPr>
          <xdr:spPr bwMode="auto">
            <a:xfrm>
              <a:off x="4186591" y="58232499"/>
              <a:ext cx="389053" cy="28993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</xdr:grpSp>
      <xdr:cxnSp macro="">
        <xdr:nvCxnSpPr>
          <xdr:cNvPr id="6203" name="直線コネクタ 6202"/>
          <xdr:cNvCxnSpPr/>
        </xdr:nvCxnSpPr>
        <xdr:spPr bwMode="auto">
          <a:xfrm flipH="1" flipV="1">
            <a:off x="8697547" y="80805638"/>
            <a:ext cx="541358" cy="233398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04" name="直線コネクタ 6203"/>
          <xdr:cNvCxnSpPr/>
        </xdr:nvCxnSpPr>
        <xdr:spPr bwMode="auto">
          <a:xfrm>
            <a:off x="9248239" y="80842982"/>
            <a:ext cx="0" cy="196055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05" name="直線コネクタ 6204"/>
          <xdr:cNvCxnSpPr/>
        </xdr:nvCxnSpPr>
        <xdr:spPr bwMode="auto">
          <a:xfrm flipH="1">
            <a:off x="7960181" y="80805638"/>
            <a:ext cx="737366" cy="289414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06" name="直線コネクタ 6205"/>
          <xdr:cNvCxnSpPr/>
        </xdr:nvCxnSpPr>
        <xdr:spPr bwMode="auto">
          <a:xfrm flipH="1" flipV="1">
            <a:off x="8697547" y="80796302"/>
            <a:ext cx="168008" cy="74687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129</xdr:col>
      <xdr:colOff>85725</xdr:colOff>
      <xdr:row>482</xdr:row>
      <xdr:rowOff>76200</xdr:rowOff>
    </xdr:from>
    <xdr:to>
      <xdr:col>148</xdr:col>
      <xdr:colOff>9525</xdr:colOff>
      <xdr:row>489</xdr:row>
      <xdr:rowOff>76200</xdr:rowOff>
    </xdr:to>
    <xdr:grpSp>
      <xdr:nvGrpSpPr>
        <xdr:cNvPr id="3288697" name="グループ化 3"/>
        <xdr:cNvGrpSpPr>
          <a:grpSpLocks/>
        </xdr:cNvGrpSpPr>
      </xdr:nvGrpSpPr>
      <xdr:grpSpPr bwMode="auto">
        <a:xfrm>
          <a:off x="11394498" y="42228655"/>
          <a:ext cx="1569027" cy="606136"/>
          <a:chOff x="6864901" y="77433002"/>
          <a:chExt cx="1581053" cy="612321"/>
        </a:xfrm>
      </xdr:grpSpPr>
      <xdr:grpSp>
        <xdr:nvGrpSpPr>
          <xdr:cNvPr id="3290649" name="グループ化 3726"/>
          <xdr:cNvGrpSpPr>
            <a:grpSpLocks/>
          </xdr:cNvGrpSpPr>
        </xdr:nvGrpSpPr>
        <xdr:grpSpPr bwMode="auto">
          <a:xfrm>
            <a:off x="7065922" y="77433002"/>
            <a:ext cx="1380032" cy="612321"/>
            <a:chOff x="8078266" y="80549307"/>
            <a:chExt cx="1322989" cy="593359"/>
          </a:xfrm>
        </xdr:grpSpPr>
        <xdr:cxnSp macro="">
          <xdr:nvCxnSpPr>
            <xdr:cNvPr id="6228" name="直線コネクタ 6227"/>
            <xdr:cNvCxnSpPr/>
          </xdr:nvCxnSpPr>
          <xdr:spPr bwMode="auto">
            <a:xfrm flipH="1">
              <a:off x="8080829" y="80549307"/>
              <a:ext cx="595122" cy="244878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29" name="直線コネクタ 6228"/>
            <xdr:cNvCxnSpPr/>
          </xdr:nvCxnSpPr>
          <xdr:spPr bwMode="auto">
            <a:xfrm>
              <a:off x="8675950" y="80558725"/>
              <a:ext cx="0" cy="197786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0" name="直線コネクタ 6229"/>
            <xdr:cNvCxnSpPr/>
          </xdr:nvCxnSpPr>
          <xdr:spPr bwMode="auto">
            <a:xfrm flipH="1">
              <a:off x="8080829" y="80756512"/>
              <a:ext cx="595122" cy="235460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1" name="直線コネクタ 6230"/>
            <xdr:cNvCxnSpPr/>
          </xdr:nvCxnSpPr>
          <xdr:spPr bwMode="auto">
            <a:xfrm>
              <a:off x="8080829" y="80794185"/>
              <a:ext cx="0" cy="20720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2" name="直線コネクタ 6231"/>
            <xdr:cNvCxnSpPr/>
          </xdr:nvCxnSpPr>
          <xdr:spPr bwMode="auto">
            <a:xfrm flipH="1" flipV="1">
              <a:off x="8666652" y="80549307"/>
              <a:ext cx="725305" cy="32022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3" name="直線コネクタ 6232"/>
            <xdr:cNvCxnSpPr/>
          </xdr:nvCxnSpPr>
          <xdr:spPr bwMode="auto">
            <a:xfrm flipH="1" flipV="1">
              <a:off x="8675950" y="80756512"/>
              <a:ext cx="725305" cy="32022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4" name="直線コネクタ 6233"/>
            <xdr:cNvCxnSpPr/>
          </xdr:nvCxnSpPr>
          <xdr:spPr bwMode="auto">
            <a:xfrm>
              <a:off x="9391956" y="80869532"/>
              <a:ext cx="0" cy="20720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5" name="直線コネクタ 6234"/>
            <xdr:cNvCxnSpPr/>
          </xdr:nvCxnSpPr>
          <xdr:spPr bwMode="auto">
            <a:xfrm flipH="1" flipV="1">
              <a:off x="8666652" y="80756512"/>
              <a:ext cx="734603" cy="320225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6" name="直線コネクタ 6235"/>
            <xdr:cNvCxnSpPr/>
          </xdr:nvCxnSpPr>
          <xdr:spPr bwMode="auto">
            <a:xfrm flipH="1">
              <a:off x="8499274" y="80747093"/>
              <a:ext cx="176677" cy="75347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37" name="直線コネクタ 6236"/>
            <xdr:cNvCxnSpPr/>
          </xdr:nvCxnSpPr>
          <xdr:spPr bwMode="auto">
            <a:xfrm flipH="1" flipV="1">
              <a:off x="8080829" y="80803604"/>
              <a:ext cx="427744" cy="18837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90662" name="Freeform 227"/>
            <xdr:cNvSpPr>
              <a:spLocks/>
            </xdr:cNvSpPr>
          </xdr:nvSpPr>
          <xdr:spPr bwMode="auto">
            <a:xfrm rot="1070252">
              <a:off x="8432427" y="80762394"/>
              <a:ext cx="118595" cy="77292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239" name="Rectangle 228"/>
            <xdr:cNvSpPr>
              <a:spLocks noChangeArrowheads="1"/>
            </xdr:cNvSpPr>
          </xdr:nvSpPr>
          <xdr:spPr bwMode="auto">
            <a:xfrm>
              <a:off x="8406286" y="80586981"/>
              <a:ext cx="371951" cy="2260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  <xdr:sp macro="" textlink="">
          <xdr:nvSpPr>
            <xdr:cNvPr id="6240" name="テキスト ボックス 6239"/>
            <xdr:cNvSpPr txBox="1"/>
          </xdr:nvSpPr>
          <xdr:spPr bwMode="auto">
            <a:xfrm>
              <a:off x="8387688" y="80794185"/>
              <a:ext cx="464939" cy="188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125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6241" name="テキスト ボックス 6240"/>
            <xdr:cNvSpPr txBox="1"/>
          </xdr:nvSpPr>
          <xdr:spPr bwMode="auto">
            <a:xfrm>
              <a:off x="8852627" y="80944880"/>
              <a:ext cx="464939" cy="1977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6226" name="正方形/長方形 6225"/>
          <xdr:cNvSpPr/>
        </xdr:nvSpPr>
        <xdr:spPr>
          <a:xfrm>
            <a:off x="6971598" y="77734303"/>
            <a:ext cx="193994" cy="10691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6227" name="テキスト ボックス 6226"/>
          <xdr:cNvSpPr txBox="1"/>
        </xdr:nvSpPr>
        <xdr:spPr bwMode="auto">
          <a:xfrm>
            <a:off x="6864901" y="77685706"/>
            <a:ext cx="484986" cy="2041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oneCellAnchor>
    <xdr:from>
      <xdr:col>69</xdr:col>
      <xdr:colOff>62593</xdr:colOff>
      <xdr:row>460</xdr:row>
      <xdr:rowOff>16600</xdr:rowOff>
    </xdr:from>
    <xdr:ext cx="423193" cy="183384"/>
    <xdr:sp macro="" textlink="">
      <xdr:nvSpPr>
        <xdr:cNvPr id="6242" name="Rectangle 217"/>
        <xdr:cNvSpPr>
          <a:spLocks noChangeArrowheads="1"/>
        </xdr:cNvSpPr>
      </xdr:nvSpPr>
      <xdr:spPr bwMode="auto">
        <a:xfrm>
          <a:off x="6110968" y="3986920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458</xdr:row>
      <xdr:rowOff>19050</xdr:rowOff>
    </xdr:from>
    <xdr:to>
      <xdr:col>74</xdr:col>
      <xdr:colOff>0</xdr:colOff>
      <xdr:row>459</xdr:row>
      <xdr:rowOff>66675</xdr:rowOff>
    </xdr:to>
    <xdr:grpSp>
      <xdr:nvGrpSpPr>
        <xdr:cNvPr id="3288699" name="Group 350"/>
        <xdr:cNvGrpSpPr>
          <a:grpSpLocks/>
        </xdr:cNvGrpSpPr>
      </xdr:nvGrpSpPr>
      <xdr:grpSpPr bwMode="auto">
        <a:xfrm>
          <a:off x="6151418" y="40093323"/>
          <a:ext cx="394855" cy="134216"/>
          <a:chOff x="340" y="51"/>
          <a:chExt cx="60" cy="20"/>
        </a:xfrm>
        <a:solidFill>
          <a:schemeClr val="bg1"/>
        </a:solidFill>
      </xdr:grpSpPr>
      <xdr:sp macro="" textlink="">
        <xdr:nvSpPr>
          <xdr:cNvPr id="3290646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647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0648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twoCellAnchor>
    <xdr:from>
      <xdr:col>74</xdr:col>
      <xdr:colOff>19050</xdr:colOff>
      <xdr:row>479</xdr:row>
      <xdr:rowOff>9525</xdr:rowOff>
    </xdr:from>
    <xdr:to>
      <xdr:col>78</xdr:col>
      <xdr:colOff>9525</xdr:colOff>
      <xdr:row>486</xdr:row>
      <xdr:rowOff>19050</xdr:rowOff>
    </xdr:to>
    <xdr:grpSp>
      <xdr:nvGrpSpPr>
        <xdr:cNvPr id="3288700" name="グループ化 3"/>
        <xdr:cNvGrpSpPr>
          <a:grpSpLocks/>
        </xdr:cNvGrpSpPr>
      </xdr:nvGrpSpPr>
      <xdr:grpSpPr bwMode="auto">
        <a:xfrm>
          <a:off x="6565323" y="41902207"/>
          <a:ext cx="336838" cy="615661"/>
          <a:chOff x="4956932" y="1715005"/>
          <a:chExt cx="367492" cy="648892"/>
        </a:xfrm>
      </xdr:grpSpPr>
      <xdr:grpSp>
        <xdr:nvGrpSpPr>
          <xdr:cNvPr id="3290642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644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645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279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78</xdr:col>
      <xdr:colOff>66675</xdr:colOff>
      <xdr:row>499</xdr:row>
      <xdr:rowOff>47625</xdr:rowOff>
    </xdr:from>
    <xdr:to>
      <xdr:col>79</xdr:col>
      <xdr:colOff>47625</xdr:colOff>
      <xdr:row>501</xdr:row>
      <xdr:rowOff>47625</xdr:rowOff>
    </xdr:to>
    <xdr:grpSp>
      <xdr:nvGrpSpPr>
        <xdr:cNvPr id="3288701" name="グループ化 700"/>
        <xdr:cNvGrpSpPr>
          <a:grpSpLocks/>
        </xdr:cNvGrpSpPr>
      </xdr:nvGrpSpPr>
      <xdr:grpSpPr bwMode="auto">
        <a:xfrm>
          <a:off x="6959311" y="43672125"/>
          <a:ext cx="67541" cy="173182"/>
          <a:chOff x="3165758" y="15657662"/>
          <a:chExt cx="67219" cy="163244"/>
        </a:xfrm>
      </xdr:grpSpPr>
      <xdr:sp macro="" textlink="">
        <xdr:nvSpPr>
          <xdr:cNvPr id="3290639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640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641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498</xdr:row>
      <xdr:rowOff>9525</xdr:rowOff>
    </xdr:from>
    <xdr:to>
      <xdr:col>94</xdr:col>
      <xdr:colOff>28575</xdr:colOff>
      <xdr:row>504</xdr:row>
      <xdr:rowOff>9525</xdr:rowOff>
    </xdr:to>
    <xdr:grpSp>
      <xdr:nvGrpSpPr>
        <xdr:cNvPr id="3288702" name="グループ化 702"/>
        <xdr:cNvGrpSpPr>
          <a:grpSpLocks/>
        </xdr:cNvGrpSpPr>
      </xdr:nvGrpSpPr>
      <xdr:grpSpPr bwMode="auto">
        <a:xfrm>
          <a:off x="7113443" y="43547434"/>
          <a:ext cx="1193223" cy="519546"/>
          <a:chOff x="3634154" y="15407680"/>
          <a:chExt cx="1158481" cy="500696"/>
        </a:xfrm>
      </xdr:grpSpPr>
      <xdr:sp macro="" textlink="">
        <xdr:nvSpPr>
          <xdr:cNvPr id="6287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635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636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637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291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93</xdr:col>
      <xdr:colOff>0</xdr:colOff>
      <xdr:row>481</xdr:row>
      <xdr:rowOff>57150</xdr:rowOff>
    </xdr:from>
    <xdr:to>
      <xdr:col>100</xdr:col>
      <xdr:colOff>38100</xdr:colOff>
      <xdr:row>483</xdr:row>
      <xdr:rowOff>0</xdr:rowOff>
    </xdr:to>
    <xdr:grpSp>
      <xdr:nvGrpSpPr>
        <xdr:cNvPr id="3288703" name="グループ化 5"/>
        <xdr:cNvGrpSpPr>
          <a:grpSpLocks/>
        </xdr:cNvGrpSpPr>
      </xdr:nvGrpSpPr>
      <xdr:grpSpPr bwMode="auto">
        <a:xfrm>
          <a:off x="8191500" y="42123014"/>
          <a:ext cx="644236" cy="116031"/>
          <a:chOff x="4791075" y="2762250"/>
          <a:chExt cx="714375" cy="142875"/>
        </a:xfrm>
      </xdr:grpSpPr>
      <xdr:sp macro="" textlink="">
        <xdr:nvSpPr>
          <xdr:cNvPr id="3290632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633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6804</xdr:colOff>
      <xdr:row>490</xdr:row>
      <xdr:rowOff>83046</xdr:rowOff>
    </xdr:from>
    <xdr:to>
      <xdr:col>70</xdr:col>
      <xdr:colOff>81311</xdr:colOff>
      <xdr:row>490</xdr:row>
      <xdr:rowOff>83046</xdr:rowOff>
    </xdr:to>
    <xdr:cxnSp macro="">
      <xdr:nvCxnSpPr>
        <xdr:cNvPr id="6295" name="直線コネクタ 6294"/>
        <xdr:cNvCxnSpPr/>
      </xdr:nvCxnSpPr>
      <xdr:spPr bwMode="auto">
        <a:xfrm>
          <a:off x="2828361" y="83327952"/>
          <a:ext cx="74507" cy="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65616</xdr:colOff>
      <xdr:row>493</xdr:row>
      <xdr:rowOff>14816</xdr:rowOff>
    </xdr:from>
    <xdr:to>
      <xdr:col>94</xdr:col>
      <xdr:colOff>8467</xdr:colOff>
      <xdr:row>496</xdr:row>
      <xdr:rowOff>14816</xdr:rowOff>
    </xdr:to>
    <xdr:sp macro="" textlink="">
      <xdr:nvSpPr>
        <xdr:cNvPr id="6301" name="Rectangle 218"/>
        <xdr:cNvSpPr>
          <a:spLocks noChangeArrowheads="1"/>
        </xdr:cNvSpPr>
      </xdr:nvSpPr>
      <xdr:spPr bwMode="auto">
        <a:xfrm>
          <a:off x="4235050" y="83529297"/>
          <a:ext cx="751577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86</xdr:col>
      <xdr:colOff>50402</xdr:colOff>
      <xdr:row>485</xdr:row>
      <xdr:rowOff>49609</xdr:rowOff>
    </xdr:from>
    <xdr:to>
      <xdr:col>94</xdr:col>
      <xdr:colOff>86783</xdr:colOff>
      <xdr:row>488</xdr:row>
      <xdr:rowOff>49609</xdr:rowOff>
    </xdr:to>
    <xdr:sp macro="" textlink="">
      <xdr:nvSpPr>
        <xdr:cNvPr id="6302" name="Rectangle 218"/>
        <xdr:cNvSpPr>
          <a:spLocks noChangeArrowheads="1"/>
        </xdr:cNvSpPr>
      </xdr:nvSpPr>
      <xdr:spPr bwMode="auto">
        <a:xfrm>
          <a:off x="4309694" y="82845222"/>
          <a:ext cx="755249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1725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6804</xdr:colOff>
      <xdr:row>490</xdr:row>
      <xdr:rowOff>83046</xdr:rowOff>
    </xdr:from>
    <xdr:to>
      <xdr:col>70</xdr:col>
      <xdr:colOff>81311</xdr:colOff>
      <xdr:row>490</xdr:row>
      <xdr:rowOff>83046</xdr:rowOff>
    </xdr:to>
    <xdr:cxnSp macro="">
      <xdr:nvCxnSpPr>
        <xdr:cNvPr id="6303" name="直線コネクタ 6302"/>
        <xdr:cNvCxnSpPr/>
      </xdr:nvCxnSpPr>
      <xdr:spPr bwMode="auto">
        <a:xfrm>
          <a:off x="6046328" y="41824462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66675</xdr:colOff>
      <xdr:row>487</xdr:row>
      <xdr:rowOff>57150</xdr:rowOff>
    </xdr:from>
    <xdr:to>
      <xdr:col>100</xdr:col>
      <xdr:colOff>85725</xdr:colOff>
      <xdr:row>495</xdr:row>
      <xdr:rowOff>28575</xdr:rowOff>
    </xdr:to>
    <xdr:grpSp>
      <xdr:nvGrpSpPr>
        <xdr:cNvPr id="3288710" name="グループ化 2528"/>
        <xdr:cNvGrpSpPr>
          <a:grpSpLocks/>
        </xdr:cNvGrpSpPr>
      </xdr:nvGrpSpPr>
      <xdr:grpSpPr bwMode="auto">
        <a:xfrm>
          <a:off x="6786130" y="42642559"/>
          <a:ext cx="2097231" cy="664152"/>
          <a:chOff x="13451336" y="18108261"/>
          <a:chExt cx="2108441" cy="662519"/>
        </a:xfrm>
      </xdr:grpSpPr>
      <xdr:grpSp>
        <xdr:nvGrpSpPr>
          <xdr:cNvPr id="3290611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290614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15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16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17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18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19" name="直線コネクタ 16"/>
            <xdr:cNvCxnSpPr>
              <a:cxnSpLocks noChangeShapeType="1"/>
            </xdr:cNvCxnSpPr>
          </xdr:nvCxnSpPr>
          <xdr:spPr bwMode="auto">
            <a:xfrm>
              <a:off x="3288476" y="2505490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0" name="直線コネクタ 18"/>
            <xdr:cNvCxnSpPr>
              <a:cxnSpLocks noChangeShapeType="1"/>
            </xdr:cNvCxnSpPr>
          </xdr:nvCxnSpPr>
          <xdr:spPr bwMode="auto">
            <a:xfrm>
              <a:off x="3412986" y="2504661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1" name="直線コネクタ 19"/>
            <xdr:cNvCxnSpPr>
              <a:cxnSpLocks noChangeShapeType="1"/>
            </xdr:cNvCxnSpPr>
          </xdr:nvCxnSpPr>
          <xdr:spPr bwMode="auto">
            <a:xfrm>
              <a:off x="3540148" y="2500519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2" name="直線コネクタ 20"/>
            <xdr:cNvCxnSpPr>
              <a:cxnSpLocks noChangeShapeType="1"/>
            </xdr:cNvCxnSpPr>
          </xdr:nvCxnSpPr>
          <xdr:spPr bwMode="auto">
            <a:xfrm>
              <a:off x="3659911" y="2499692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3" name="直線コネクタ 21"/>
            <xdr:cNvCxnSpPr>
              <a:cxnSpLocks noChangeShapeType="1"/>
            </xdr:cNvCxnSpPr>
          </xdr:nvCxnSpPr>
          <xdr:spPr bwMode="auto">
            <a:xfrm>
              <a:off x="3787075" y="2503831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4" name="直線コネクタ 22"/>
            <xdr:cNvCxnSpPr>
              <a:cxnSpLocks noChangeShapeType="1"/>
            </xdr:cNvCxnSpPr>
          </xdr:nvCxnSpPr>
          <xdr:spPr bwMode="auto">
            <a:xfrm>
              <a:off x="3916333" y="2503004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5" name="直線コネクタ 23"/>
            <xdr:cNvCxnSpPr>
              <a:cxnSpLocks noChangeShapeType="1"/>
            </xdr:cNvCxnSpPr>
          </xdr:nvCxnSpPr>
          <xdr:spPr bwMode="auto">
            <a:xfrm>
              <a:off x="4036315" y="2503004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6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7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628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290612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613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92</xdr:col>
      <xdr:colOff>76596</xdr:colOff>
      <xdr:row>492</xdr:row>
      <xdr:rowOff>71932</xdr:rowOff>
    </xdr:from>
    <xdr:to>
      <xdr:col>101</xdr:col>
      <xdr:colOff>27252</xdr:colOff>
      <xdr:row>495</xdr:row>
      <xdr:rowOff>71933</xdr:rowOff>
    </xdr:to>
    <xdr:sp macro="" textlink="">
      <xdr:nvSpPr>
        <xdr:cNvPr id="6324" name="Rectangle 218"/>
        <xdr:cNvSpPr>
          <a:spLocks noChangeArrowheads="1"/>
        </xdr:cNvSpPr>
      </xdr:nvSpPr>
      <xdr:spPr bwMode="auto">
        <a:xfrm>
          <a:off x="4875039" y="83496555"/>
          <a:ext cx="759383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79715</xdr:colOff>
      <xdr:row>493</xdr:row>
      <xdr:rowOff>55256</xdr:rowOff>
    </xdr:from>
    <xdr:to>
      <xdr:col>85</xdr:col>
      <xdr:colOff>26799</xdr:colOff>
      <xdr:row>496</xdr:row>
      <xdr:rowOff>55257</xdr:rowOff>
    </xdr:to>
    <xdr:sp macro="" textlink="">
      <xdr:nvSpPr>
        <xdr:cNvPr id="6325" name="Rectangle 218"/>
        <xdr:cNvSpPr>
          <a:spLocks noChangeArrowheads="1"/>
        </xdr:cNvSpPr>
      </xdr:nvSpPr>
      <xdr:spPr bwMode="auto">
        <a:xfrm>
          <a:off x="3440423" y="83569737"/>
          <a:ext cx="755810" cy="269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150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80</xdr:col>
      <xdr:colOff>42812</xdr:colOff>
      <xdr:row>492</xdr:row>
      <xdr:rowOff>60771</xdr:rowOff>
    </xdr:from>
    <xdr:to>
      <xdr:col>88</xdr:col>
      <xdr:colOff>79045</xdr:colOff>
      <xdr:row>495</xdr:row>
      <xdr:rowOff>60772</xdr:rowOff>
    </xdr:to>
    <xdr:sp macro="" textlink="">
      <xdr:nvSpPr>
        <xdr:cNvPr id="6326" name="Rectangle 218"/>
        <xdr:cNvSpPr>
          <a:spLocks noChangeArrowheads="1"/>
        </xdr:cNvSpPr>
      </xdr:nvSpPr>
      <xdr:spPr bwMode="auto">
        <a:xfrm>
          <a:off x="3762954" y="83485394"/>
          <a:ext cx="755100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525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138</xdr:col>
      <xdr:colOff>76200</xdr:colOff>
      <xdr:row>468</xdr:row>
      <xdr:rowOff>47625</xdr:rowOff>
    </xdr:from>
    <xdr:to>
      <xdr:col>148</xdr:col>
      <xdr:colOff>28575</xdr:colOff>
      <xdr:row>476</xdr:row>
      <xdr:rowOff>76200</xdr:rowOff>
    </xdr:to>
    <xdr:grpSp>
      <xdr:nvGrpSpPr>
        <xdr:cNvPr id="3288715" name="グループ化 14"/>
        <xdr:cNvGrpSpPr>
          <a:grpSpLocks/>
        </xdr:cNvGrpSpPr>
      </xdr:nvGrpSpPr>
      <xdr:grpSpPr bwMode="auto">
        <a:xfrm>
          <a:off x="12164291" y="40987807"/>
          <a:ext cx="818284" cy="721302"/>
          <a:chOff x="8302925" y="42596159"/>
          <a:chExt cx="846826" cy="753742"/>
        </a:xfrm>
      </xdr:grpSpPr>
      <xdr:sp macro="" textlink="">
        <xdr:nvSpPr>
          <xdr:cNvPr id="6327" name="正方形/長方形 6326"/>
          <xdr:cNvSpPr/>
        </xdr:nvSpPr>
        <xdr:spPr>
          <a:xfrm>
            <a:off x="8571917" y="42847406"/>
            <a:ext cx="219178" cy="12059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grpSp>
        <xdr:nvGrpSpPr>
          <xdr:cNvPr id="3290596" name="グループ化 7"/>
          <xdr:cNvGrpSpPr>
            <a:grpSpLocks/>
          </xdr:cNvGrpSpPr>
        </xdr:nvGrpSpPr>
        <xdr:grpSpPr bwMode="auto">
          <a:xfrm>
            <a:off x="8302925" y="42596159"/>
            <a:ext cx="846826" cy="609960"/>
            <a:chOff x="4422336" y="29508777"/>
            <a:chExt cx="779450" cy="558699"/>
          </a:xfrm>
        </xdr:grpSpPr>
        <xdr:grpSp>
          <xdr:nvGrpSpPr>
            <xdr:cNvPr id="3290598" name="グループ化 6"/>
            <xdr:cNvGrpSpPr>
              <a:grpSpLocks/>
            </xdr:cNvGrpSpPr>
          </xdr:nvGrpSpPr>
          <xdr:grpSpPr bwMode="auto">
            <a:xfrm>
              <a:off x="4449366" y="29508777"/>
              <a:ext cx="752420" cy="558699"/>
              <a:chOff x="4592241" y="29520683"/>
              <a:chExt cx="752420" cy="558699"/>
            </a:xfrm>
          </xdr:grpSpPr>
          <xdr:grpSp>
            <xdr:nvGrpSpPr>
              <xdr:cNvPr id="3290600" name="グループ化 5"/>
              <xdr:cNvGrpSpPr>
                <a:grpSpLocks/>
              </xdr:cNvGrpSpPr>
            </xdr:nvGrpSpPr>
            <xdr:grpSpPr bwMode="auto">
              <a:xfrm>
                <a:off x="4592241" y="29648944"/>
                <a:ext cx="528740" cy="430438"/>
                <a:chOff x="4592241" y="29648944"/>
                <a:chExt cx="528740" cy="430438"/>
              </a:xfrm>
            </xdr:grpSpPr>
            <xdr:cxnSp macro="">
              <xdr:nvCxnSpPr>
                <xdr:cNvPr id="6335" name="直線コネクタ 6334"/>
                <xdr:cNvCxnSpPr/>
              </xdr:nvCxnSpPr>
              <xdr:spPr bwMode="auto">
                <a:xfrm flipH="1" flipV="1">
                  <a:off x="4959521" y="29971742"/>
                  <a:ext cx="165060" cy="101258"/>
                </a:xfrm>
                <a:prstGeom prst="line">
                  <a:avLst/>
                </a:prstGeom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336" name="直線コネクタ 6335"/>
                <xdr:cNvCxnSpPr/>
              </xdr:nvCxnSpPr>
              <xdr:spPr bwMode="auto">
                <a:xfrm flipH="1">
                  <a:off x="5115411" y="29760020"/>
                  <a:ext cx="0" cy="303775"/>
                </a:xfrm>
                <a:prstGeom prst="line">
                  <a:avLst/>
                </a:prstGeom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3290605" name="グループ化 4"/>
                <xdr:cNvGrpSpPr>
                  <a:grpSpLocks/>
                </xdr:cNvGrpSpPr>
              </xdr:nvGrpSpPr>
              <xdr:grpSpPr bwMode="auto">
                <a:xfrm>
                  <a:off x="4592241" y="29648944"/>
                  <a:ext cx="523037" cy="430438"/>
                  <a:chOff x="4592241" y="29648944"/>
                  <a:chExt cx="523037" cy="430438"/>
                </a:xfrm>
              </xdr:grpSpPr>
              <xdr:grpSp>
                <xdr:nvGrpSpPr>
                  <xdr:cNvPr id="3290606" name="グループ化 648"/>
                  <xdr:cNvGrpSpPr>
                    <a:grpSpLocks/>
                  </xdr:cNvGrpSpPr>
                </xdr:nvGrpSpPr>
                <xdr:grpSpPr bwMode="auto">
                  <a:xfrm flipH="1">
                    <a:off x="4592241" y="29648944"/>
                    <a:ext cx="523037" cy="323254"/>
                    <a:chOff x="1793146" y="916447"/>
                    <a:chExt cx="1181347" cy="623536"/>
                  </a:xfrm>
                </xdr:grpSpPr>
                <xdr:cxnSp macro="">
                  <xdr:nvCxnSpPr>
                    <xdr:cNvPr id="6340" name="直線コネクタ 6339"/>
                    <xdr:cNvCxnSpPr/>
                  </xdr:nvCxnSpPr>
                  <xdr:spPr>
                    <a:xfrm flipV="1">
                      <a:off x="1792846" y="917629"/>
                      <a:ext cx="372809" cy="195320"/>
                    </a:xfrm>
                    <a:prstGeom prst="line">
                      <a:avLst/>
                    </a:prstGeom>
                    <a:ln w="19050"/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6341" name="直線コネクタ 6340"/>
                    <xdr:cNvCxnSpPr/>
                  </xdr:nvCxnSpPr>
                  <xdr:spPr>
                    <a:xfrm>
                      <a:off x="2144943" y="917629"/>
                      <a:ext cx="828465" cy="284102"/>
                    </a:xfrm>
                    <a:prstGeom prst="line">
                      <a:avLst/>
                    </a:prstGeom>
                    <a:ln w="19050"/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6342" name="直線コネクタ 6341"/>
                    <xdr:cNvCxnSpPr/>
                  </xdr:nvCxnSpPr>
                  <xdr:spPr>
                    <a:xfrm>
                      <a:off x="2165655" y="953142"/>
                      <a:ext cx="0" cy="585961"/>
                    </a:xfrm>
                    <a:prstGeom prst="line">
                      <a:avLst/>
                    </a:prstGeom>
                    <a:ln>
                      <a:prstDash val="sysDash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6339" name="直線コネクタ 6338"/>
                  <xdr:cNvCxnSpPr/>
                </xdr:nvCxnSpPr>
                <xdr:spPr bwMode="auto">
                  <a:xfrm flipH="1">
                    <a:off x="4684421" y="29971742"/>
                    <a:ext cx="275100" cy="110464"/>
                  </a:xfrm>
                  <a:prstGeom prst="line">
                    <a:avLst/>
                  </a:prstGeom>
                  <a:ln w="3175">
                    <a:prstDash val="sysDot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</xdr:grpSp>
          <xdr:sp macro="" textlink="">
            <xdr:nvSpPr>
              <xdr:cNvPr id="6333" name="正方形/長方形 6332"/>
              <xdr:cNvSpPr/>
            </xdr:nvSpPr>
            <xdr:spPr>
              <a:xfrm>
                <a:off x="4702761" y="29778431"/>
                <a:ext cx="201740" cy="119669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ja-JP" altLang="en-US"/>
              </a:p>
            </xdr:txBody>
          </xdr:sp>
          <xdr:sp macro="" textlink="">
            <xdr:nvSpPr>
              <xdr:cNvPr id="6334" name="テキスト ボックス 6333"/>
              <xdr:cNvSpPr txBox="1"/>
            </xdr:nvSpPr>
            <xdr:spPr>
              <a:xfrm>
                <a:off x="4886161" y="29520683"/>
                <a:ext cx="458500" cy="19331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10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400</a:t>
                </a:r>
                <a:endParaRPr kumimoji="1" lang="ja-JP" altLang="en-US" sz="10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</xdr:grpSp>
        <xdr:sp macro="" textlink="">
          <xdr:nvSpPr>
            <xdr:cNvPr id="6331" name="テキスト ボックス 6330"/>
            <xdr:cNvSpPr txBox="1"/>
          </xdr:nvSpPr>
          <xdr:spPr>
            <a:xfrm>
              <a:off x="4422336" y="29720499"/>
              <a:ext cx="458500" cy="1933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0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350</a:t>
              </a:r>
              <a:endParaRPr kumimoji="1" lang="ja-JP" altLang="en-US" sz="10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6343" name="テキスト ボックス 6342"/>
          <xdr:cNvSpPr txBox="1"/>
        </xdr:nvSpPr>
        <xdr:spPr bwMode="auto">
          <a:xfrm>
            <a:off x="8482253" y="43158953"/>
            <a:ext cx="508096" cy="1909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oneCellAnchor>
    <xdr:from>
      <xdr:col>29</xdr:col>
      <xdr:colOff>62593</xdr:colOff>
      <xdr:row>514</xdr:row>
      <xdr:rowOff>16600</xdr:rowOff>
    </xdr:from>
    <xdr:ext cx="423193" cy="183384"/>
    <xdr:sp macro="" textlink="">
      <xdr:nvSpPr>
        <xdr:cNvPr id="6344" name="Rectangle 217"/>
        <xdr:cNvSpPr>
          <a:spLocks noChangeArrowheads="1"/>
        </xdr:cNvSpPr>
      </xdr:nvSpPr>
      <xdr:spPr bwMode="auto">
        <a:xfrm>
          <a:off x="2681968" y="444983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29</xdr:col>
      <xdr:colOff>38100</xdr:colOff>
      <xdr:row>512</xdr:row>
      <xdr:rowOff>19050</xdr:rowOff>
    </xdr:from>
    <xdr:to>
      <xdr:col>34</xdr:col>
      <xdr:colOff>0</xdr:colOff>
      <xdr:row>513</xdr:row>
      <xdr:rowOff>66675</xdr:rowOff>
    </xdr:to>
    <xdr:grpSp>
      <xdr:nvGrpSpPr>
        <xdr:cNvPr id="3288717" name="Group 350"/>
        <xdr:cNvGrpSpPr>
          <a:grpSpLocks/>
        </xdr:cNvGrpSpPr>
      </xdr:nvGrpSpPr>
      <xdr:grpSpPr bwMode="auto">
        <a:xfrm>
          <a:off x="2687782" y="44769232"/>
          <a:ext cx="394854" cy="134216"/>
          <a:chOff x="340" y="51"/>
          <a:chExt cx="60" cy="20"/>
        </a:xfrm>
      </xdr:grpSpPr>
      <xdr:sp macro="" textlink="">
        <xdr:nvSpPr>
          <xdr:cNvPr id="3290592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593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594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78607</xdr:colOff>
      <xdr:row>533</xdr:row>
      <xdr:rowOff>17109</xdr:rowOff>
    </xdr:from>
    <xdr:to>
      <xdr:col>30</xdr:col>
      <xdr:colOff>67138</xdr:colOff>
      <xdr:row>533</xdr:row>
      <xdr:rowOff>17208</xdr:rowOff>
    </xdr:to>
    <xdr:cxnSp macro="">
      <xdr:nvCxnSpPr>
        <xdr:cNvPr id="6349" name="直線コネクタ 6348"/>
        <xdr:cNvCxnSpPr/>
      </xdr:nvCxnSpPr>
      <xdr:spPr>
        <a:xfrm flipH="1" flipV="1">
          <a:off x="2810305" y="61875694"/>
          <a:ext cx="78390" cy="99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</xdr:colOff>
      <xdr:row>533</xdr:row>
      <xdr:rowOff>9525</xdr:rowOff>
    </xdr:from>
    <xdr:to>
      <xdr:col>38</xdr:col>
      <xdr:colOff>9525</xdr:colOff>
      <xdr:row>540</xdr:row>
      <xdr:rowOff>19050</xdr:rowOff>
    </xdr:to>
    <xdr:grpSp>
      <xdr:nvGrpSpPr>
        <xdr:cNvPr id="3288719" name="グループ化 3"/>
        <xdr:cNvGrpSpPr>
          <a:grpSpLocks/>
        </xdr:cNvGrpSpPr>
      </xdr:nvGrpSpPr>
      <xdr:grpSpPr bwMode="auto">
        <a:xfrm>
          <a:off x="3101686" y="46578116"/>
          <a:ext cx="336839" cy="615661"/>
          <a:chOff x="4956932" y="1715005"/>
          <a:chExt cx="367492" cy="648892"/>
        </a:xfrm>
      </xdr:grpSpPr>
      <xdr:grpSp>
        <xdr:nvGrpSpPr>
          <xdr:cNvPr id="3290588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590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591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352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53</xdr:col>
      <xdr:colOff>0</xdr:colOff>
      <xdr:row>535</xdr:row>
      <xdr:rowOff>57150</xdr:rowOff>
    </xdr:from>
    <xdr:to>
      <xdr:col>60</xdr:col>
      <xdr:colOff>38100</xdr:colOff>
      <xdr:row>537</xdr:row>
      <xdr:rowOff>0</xdr:rowOff>
    </xdr:to>
    <xdr:grpSp>
      <xdr:nvGrpSpPr>
        <xdr:cNvPr id="3288720" name="グループ化 5"/>
        <xdr:cNvGrpSpPr>
          <a:grpSpLocks/>
        </xdr:cNvGrpSpPr>
      </xdr:nvGrpSpPr>
      <xdr:grpSpPr bwMode="auto">
        <a:xfrm>
          <a:off x="4727864" y="46798923"/>
          <a:ext cx="644236" cy="116032"/>
          <a:chOff x="4791075" y="2762250"/>
          <a:chExt cx="714375" cy="142875"/>
        </a:xfrm>
      </xdr:grpSpPr>
      <xdr:sp macro="" textlink="">
        <xdr:nvSpPr>
          <xdr:cNvPr id="3290586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587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72721</xdr:colOff>
      <xdr:row>554</xdr:row>
      <xdr:rowOff>10935</xdr:rowOff>
    </xdr:from>
    <xdr:to>
      <xdr:col>30</xdr:col>
      <xdr:colOff>60466</xdr:colOff>
      <xdr:row>554</xdr:row>
      <xdr:rowOff>10935</xdr:rowOff>
    </xdr:to>
    <xdr:cxnSp macro="">
      <xdr:nvCxnSpPr>
        <xdr:cNvPr id="6358" name="直線コネクタ 6357"/>
        <xdr:cNvCxnSpPr/>
      </xdr:nvCxnSpPr>
      <xdr:spPr bwMode="auto">
        <a:xfrm>
          <a:off x="2692096" y="47921685"/>
          <a:ext cx="7347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19384</xdr:colOff>
      <xdr:row>524</xdr:row>
      <xdr:rowOff>3038</xdr:rowOff>
    </xdr:from>
    <xdr:to>
      <xdr:col>31</xdr:col>
      <xdr:colOff>3354</xdr:colOff>
      <xdr:row>524</xdr:row>
      <xdr:rowOff>3038</xdr:rowOff>
    </xdr:to>
    <xdr:cxnSp macro="">
      <xdr:nvCxnSpPr>
        <xdr:cNvPr id="6359" name="直線コネクタ 6358"/>
        <xdr:cNvCxnSpPr/>
      </xdr:nvCxnSpPr>
      <xdr:spPr bwMode="auto">
        <a:xfrm>
          <a:off x="2840941" y="61052896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526</xdr:row>
      <xdr:rowOff>0</xdr:rowOff>
    </xdr:from>
    <xdr:to>
      <xdr:col>40</xdr:col>
      <xdr:colOff>0</xdr:colOff>
      <xdr:row>529</xdr:row>
      <xdr:rowOff>0</xdr:rowOff>
    </xdr:to>
    <xdr:grpSp>
      <xdr:nvGrpSpPr>
        <xdr:cNvPr id="3288723" name="グループ化 1"/>
        <xdr:cNvGrpSpPr>
          <a:grpSpLocks/>
        </xdr:cNvGrpSpPr>
      </xdr:nvGrpSpPr>
      <xdr:grpSpPr bwMode="auto">
        <a:xfrm>
          <a:off x="3245427" y="45962455"/>
          <a:ext cx="356755" cy="259772"/>
          <a:chOff x="3724275" y="1824264"/>
          <a:chExt cx="390526" cy="286252"/>
        </a:xfrm>
      </xdr:grpSpPr>
      <xdr:sp macro="" textlink="">
        <xdr:nvSpPr>
          <xdr:cNvPr id="3290583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584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585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54</xdr:col>
      <xdr:colOff>76200</xdr:colOff>
      <xdr:row>526</xdr:row>
      <xdr:rowOff>0</xdr:rowOff>
    </xdr:from>
    <xdr:to>
      <xdr:col>59</xdr:col>
      <xdr:colOff>0</xdr:colOff>
      <xdr:row>529</xdr:row>
      <xdr:rowOff>0</xdr:rowOff>
    </xdr:to>
    <xdr:grpSp>
      <xdr:nvGrpSpPr>
        <xdr:cNvPr id="3288724" name="グループ化 1"/>
        <xdr:cNvGrpSpPr>
          <a:grpSpLocks/>
        </xdr:cNvGrpSpPr>
      </xdr:nvGrpSpPr>
      <xdr:grpSpPr bwMode="auto">
        <a:xfrm>
          <a:off x="4890655" y="45962455"/>
          <a:ext cx="356754" cy="259772"/>
          <a:chOff x="3724275" y="1824264"/>
          <a:chExt cx="390526" cy="286252"/>
        </a:xfrm>
      </xdr:grpSpPr>
      <xdr:sp macro="" textlink="">
        <xdr:nvSpPr>
          <xdr:cNvPr id="3290580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581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582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6804</xdr:colOff>
      <xdr:row>544</xdr:row>
      <xdr:rowOff>6804</xdr:rowOff>
    </xdr:from>
    <xdr:to>
      <xdr:col>30</xdr:col>
      <xdr:colOff>81311</xdr:colOff>
      <xdr:row>544</xdr:row>
      <xdr:rowOff>6804</xdr:rowOff>
    </xdr:to>
    <xdr:cxnSp macro="">
      <xdr:nvCxnSpPr>
        <xdr:cNvPr id="6368" name="直線コネクタ 6367"/>
        <xdr:cNvCxnSpPr/>
      </xdr:nvCxnSpPr>
      <xdr:spPr bwMode="auto">
        <a:xfrm>
          <a:off x="2828361" y="62853832"/>
          <a:ext cx="74507" cy="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62593</xdr:colOff>
      <xdr:row>514</xdr:row>
      <xdr:rowOff>16600</xdr:rowOff>
    </xdr:from>
    <xdr:ext cx="423193" cy="183384"/>
    <xdr:sp macro="" textlink="">
      <xdr:nvSpPr>
        <xdr:cNvPr id="6387" name="Rectangle 217"/>
        <xdr:cNvSpPr>
          <a:spLocks noChangeArrowheads="1"/>
        </xdr:cNvSpPr>
      </xdr:nvSpPr>
      <xdr:spPr bwMode="auto">
        <a:xfrm>
          <a:off x="6110968" y="444983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512</xdr:row>
      <xdr:rowOff>19050</xdr:rowOff>
    </xdr:from>
    <xdr:to>
      <xdr:col>74</xdr:col>
      <xdr:colOff>0</xdr:colOff>
      <xdr:row>513</xdr:row>
      <xdr:rowOff>66675</xdr:rowOff>
    </xdr:to>
    <xdr:grpSp>
      <xdr:nvGrpSpPr>
        <xdr:cNvPr id="3288727" name="Group 350"/>
        <xdr:cNvGrpSpPr>
          <a:grpSpLocks/>
        </xdr:cNvGrpSpPr>
      </xdr:nvGrpSpPr>
      <xdr:grpSpPr bwMode="auto">
        <a:xfrm>
          <a:off x="6151418" y="44769232"/>
          <a:ext cx="394855" cy="134216"/>
          <a:chOff x="340" y="51"/>
          <a:chExt cx="60" cy="20"/>
        </a:xfrm>
      </xdr:grpSpPr>
      <xdr:sp macro="" textlink="">
        <xdr:nvSpPr>
          <xdr:cNvPr id="3290577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578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579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69</xdr:col>
      <xdr:colOff>78607</xdr:colOff>
      <xdr:row>533</xdr:row>
      <xdr:rowOff>17109</xdr:rowOff>
    </xdr:from>
    <xdr:to>
      <xdr:col>70</xdr:col>
      <xdr:colOff>67138</xdr:colOff>
      <xdr:row>533</xdr:row>
      <xdr:rowOff>17208</xdr:rowOff>
    </xdr:to>
    <xdr:cxnSp macro="">
      <xdr:nvCxnSpPr>
        <xdr:cNvPr id="6423" name="直線コネクタ 6422"/>
        <xdr:cNvCxnSpPr/>
      </xdr:nvCxnSpPr>
      <xdr:spPr>
        <a:xfrm flipH="1" flipV="1">
          <a:off x="6404645" y="61875694"/>
          <a:ext cx="78389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</xdr:colOff>
      <xdr:row>533</xdr:row>
      <xdr:rowOff>9525</xdr:rowOff>
    </xdr:from>
    <xdr:to>
      <xdr:col>78</xdr:col>
      <xdr:colOff>9525</xdr:colOff>
      <xdr:row>540</xdr:row>
      <xdr:rowOff>19050</xdr:rowOff>
    </xdr:to>
    <xdr:grpSp>
      <xdr:nvGrpSpPr>
        <xdr:cNvPr id="3288729" name="グループ化 3"/>
        <xdr:cNvGrpSpPr>
          <a:grpSpLocks/>
        </xdr:cNvGrpSpPr>
      </xdr:nvGrpSpPr>
      <xdr:grpSpPr bwMode="auto">
        <a:xfrm>
          <a:off x="6565323" y="46578116"/>
          <a:ext cx="336838" cy="615661"/>
          <a:chOff x="4956932" y="1715005"/>
          <a:chExt cx="367492" cy="648892"/>
        </a:xfrm>
      </xdr:grpSpPr>
      <xdr:grpSp>
        <xdr:nvGrpSpPr>
          <xdr:cNvPr id="3290573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575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576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426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93</xdr:col>
      <xdr:colOff>0</xdr:colOff>
      <xdr:row>535</xdr:row>
      <xdr:rowOff>57150</xdr:rowOff>
    </xdr:from>
    <xdr:to>
      <xdr:col>100</xdr:col>
      <xdr:colOff>38100</xdr:colOff>
      <xdr:row>537</xdr:row>
      <xdr:rowOff>0</xdr:rowOff>
    </xdr:to>
    <xdr:grpSp>
      <xdr:nvGrpSpPr>
        <xdr:cNvPr id="3288730" name="グループ化 5"/>
        <xdr:cNvGrpSpPr>
          <a:grpSpLocks/>
        </xdr:cNvGrpSpPr>
      </xdr:nvGrpSpPr>
      <xdr:grpSpPr bwMode="auto">
        <a:xfrm>
          <a:off x="8191500" y="46798923"/>
          <a:ext cx="644236" cy="116032"/>
          <a:chOff x="4791075" y="2762250"/>
          <a:chExt cx="714375" cy="142875"/>
        </a:xfrm>
      </xdr:grpSpPr>
      <xdr:sp macro="" textlink="">
        <xdr:nvSpPr>
          <xdr:cNvPr id="3290571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572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524</xdr:row>
      <xdr:rowOff>3038</xdr:rowOff>
    </xdr:from>
    <xdr:to>
      <xdr:col>71</xdr:col>
      <xdr:colOff>3354</xdr:colOff>
      <xdr:row>524</xdr:row>
      <xdr:rowOff>3038</xdr:rowOff>
    </xdr:to>
    <xdr:cxnSp macro="">
      <xdr:nvCxnSpPr>
        <xdr:cNvPr id="6432" name="直線コネクタ 6431"/>
        <xdr:cNvCxnSpPr/>
      </xdr:nvCxnSpPr>
      <xdr:spPr bwMode="auto">
        <a:xfrm>
          <a:off x="6435280" y="61052896"/>
          <a:ext cx="73829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76200</xdr:colOff>
      <xdr:row>526</xdr:row>
      <xdr:rowOff>0</xdr:rowOff>
    </xdr:from>
    <xdr:to>
      <xdr:col>80</xdr:col>
      <xdr:colOff>0</xdr:colOff>
      <xdr:row>529</xdr:row>
      <xdr:rowOff>0</xdr:rowOff>
    </xdr:to>
    <xdr:grpSp>
      <xdr:nvGrpSpPr>
        <xdr:cNvPr id="3288732" name="グループ化 1"/>
        <xdr:cNvGrpSpPr>
          <a:grpSpLocks/>
        </xdr:cNvGrpSpPr>
      </xdr:nvGrpSpPr>
      <xdr:grpSpPr bwMode="auto">
        <a:xfrm>
          <a:off x="6709064" y="45962455"/>
          <a:ext cx="356754" cy="259772"/>
          <a:chOff x="3724275" y="1824264"/>
          <a:chExt cx="390526" cy="286252"/>
        </a:xfrm>
      </xdr:grpSpPr>
      <xdr:sp macro="" textlink="">
        <xdr:nvSpPr>
          <xdr:cNvPr id="3290568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569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570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75</xdr:col>
      <xdr:colOff>9525</xdr:colOff>
      <xdr:row>542</xdr:row>
      <xdr:rowOff>0</xdr:rowOff>
    </xdr:from>
    <xdr:to>
      <xdr:col>100</xdr:col>
      <xdr:colOff>76200</xdr:colOff>
      <xdr:row>547</xdr:row>
      <xdr:rowOff>57150</xdr:rowOff>
    </xdr:to>
    <xdr:grpSp>
      <xdr:nvGrpSpPr>
        <xdr:cNvPr id="3288733" name="グループ化 31"/>
        <xdr:cNvGrpSpPr>
          <a:grpSpLocks/>
        </xdr:cNvGrpSpPr>
      </xdr:nvGrpSpPr>
      <xdr:grpSpPr bwMode="auto">
        <a:xfrm>
          <a:off x="6642389" y="47347909"/>
          <a:ext cx="2231447" cy="490105"/>
          <a:chOff x="2070308" y="2363715"/>
          <a:chExt cx="2820993" cy="695788"/>
        </a:xfrm>
      </xdr:grpSpPr>
      <xdr:cxnSp macro="">
        <xdr:nvCxnSpPr>
          <xdr:cNvPr id="3290553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54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55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56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57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58" name="直線コネクタ 16"/>
          <xdr:cNvCxnSpPr>
            <a:cxnSpLocks noChangeShapeType="1"/>
          </xdr:cNvCxnSpPr>
        </xdr:nvCxnSpPr>
        <xdr:spPr bwMode="auto">
          <a:xfrm>
            <a:off x="3022546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59" name="直線コネクタ 18"/>
          <xdr:cNvCxnSpPr>
            <a:cxnSpLocks noChangeShapeType="1"/>
          </xdr:cNvCxnSpPr>
        </xdr:nvCxnSpPr>
        <xdr:spPr bwMode="auto">
          <a:xfrm>
            <a:off x="3170804" y="2504662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0" name="直線コネクタ 19"/>
          <xdr:cNvCxnSpPr>
            <a:cxnSpLocks noChangeShapeType="1"/>
          </xdr:cNvCxnSpPr>
        </xdr:nvCxnSpPr>
        <xdr:spPr bwMode="auto">
          <a:xfrm>
            <a:off x="3307466" y="250051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1" name="直線コネクタ 20"/>
          <xdr:cNvCxnSpPr>
            <a:cxnSpLocks noChangeShapeType="1"/>
          </xdr:cNvCxnSpPr>
        </xdr:nvCxnSpPr>
        <xdr:spPr bwMode="auto">
          <a:xfrm>
            <a:off x="3455725" y="2499691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2" name="直線コネクタ 21"/>
          <xdr:cNvCxnSpPr>
            <a:cxnSpLocks noChangeShapeType="1"/>
          </xdr:cNvCxnSpPr>
        </xdr:nvCxnSpPr>
        <xdr:spPr bwMode="auto">
          <a:xfrm>
            <a:off x="3592387" y="2503832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3" name="直線コネクタ 22"/>
          <xdr:cNvCxnSpPr>
            <a:cxnSpLocks noChangeShapeType="1"/>
          </xdr:cNvCxnSpPr>
        </xdr:nvCxnSpPr>
        <xdr:spPr bwMode="auto">
          <a:xfrm>
            <a:off x="3740647" y="2503004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4" name="直線コネクタ 23"/>
          <xdr:cNvCxnSpPr>
            <a:cxnSpLocks noChangeShapeType="1"/>
          </xdr:cNvCxnSpPr>
        </xdr:nvCxnSpPr>
        <xdr:spPr bwMode="auto">
          <a:xfrm>
            <a:off x="3893874" y="2503004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5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6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67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83</xdr:col>
      <xdr:colOff>60324</xdr:colOff>
      <xdr:row>539</xdr:row>
      <xdr:rowOff>79375</xdr:rowOff>
    </xdr:from>
    <xdr:to>
      <xdr:col>92</xdr:col>
      <xdr:colOff>7408</xdr:colOff>
      <xdr:row>542</xdr:row>
      <xdr:rowOff>79375</xdr:rowOff>
    </xdr:to>
    <xdr:sp macro="" textlink="">
      <xdr:nvSpPr>
        <xdr:cNvPr id="6458" name="Rectangle 218"/>
        <xdr:cNvSpPr>
          <a:spLocks noChangeArrowheads="1"/>
        </xdr:cNvSpPr>
      </xdr:nvSpPr>
      <xdr:spPr bwMode="auto">
        <a:xfrm>
          <a:off x="7644381" y="62477111"/>
          <a:ext cx="755810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74</xdr:col>
      <xdr:colOff>14816</xdr:colOff>
      <xdr:row>546</xdr:row>
      <xdr:rowOff>65616</xdr:rowOff>
    </xdr:from>
    <xdr:to>
      <xdr:col>82</xdr:col>
      <xdr:colOff>46567</xdr:colOff>
      <xdr:row>549</xdr:row>
      <xdr:rowOff>65616</xdr:rowOff>
    </xdr:to>
    <xdr:sp macro="" textlink="">
      <xdr:nvSpPr>
        <xdr:cNvPr id="6459" name="Rectangle 218"/>
        <xdr:cNvSpPr>
          <a:spLocks noChangeArrowheads="1"/>
        </xdr:cNvSpPr>
      </xdr:nvSpPr>
      <xdr:spPr bwMode="auto">
        <a:xfrm>
          <a:off x="6790146" y="63092361"/>
          <a:ext cx="750619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91</xdr:col>
      <xdr:colOff>61383</xdr:colOff>
      <xdr:row>546</xdr:row>
      <xdr:rowOff>69849</xdr:rowOff>
    </xdr:from>
    <xdr:to>
      <xdr:col>100</xdr:col>
      <xdr:colOff>8467</xdr:colOff>
      <xdr:row>549</xdr:row>
      <xdr:rowOff>69849</xdr:rowOff>
    </xdr:to>
    <xdr:sp macro="" textlink="">
      <xdr:nvSpPr>
        <xdr:cNvPr id="6460" name="Rectangle 218"/>
        <xdr:cNvSpPr>
          <a:spLocks noChangeArrowheads="1"/>
        </xdr:cNvSpPr>
      </xdr:nvSpPr>
      <xdr:spPr bwMode="auto">
        <a:xfrm>
          <a:off x="8364308" y="63096594"/>
          <a:ext cx="755810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83</xdr:col>
      <xdr:colOff>84666</xdr:colOff>
      <xdr:row>547</xdr:row>
      <xdr:rowOff>14816</xdr:rowOff>
    </xdr:from>
    <xdr:to>
      <xdr:col>92</xdr:col>
      <xdr:colOff>27517</xdr:colOff>
      <xdr:row>550</xdr:row>
      <xdr:rowOff>14816</xdr:rowOff>
    </xdr:to>
    <xdr:sp macro="" textlink="">
      <xdr:nvSpPr>
        <xdr:cNvPr id="6461" name="Rectangle 218"/>
        <xdr:cNvSpPr>
          <a:spLocks noChangeArrowheads="1"/>
        </xdr:cNvSpPr>
      </xdr:nvSpPr>
      <xdr:spPr bwMode="auto">
        <a:xfrm>
          <a:off x="7668723" y="63131420"/>
          <a:ext cx="751577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6804</xdr:colOff>
      <xdr:row>544</xdr:row>
      <xdr:rowOff>6804</xdr:rowOff>
    </xdr:from>
    <xdr:to>
      <xdr:col>70</xdr:col>
      <xdr:colOff>81311</xdr:colOff>
      <xdr:row>544</xdr:row>
      <xdr:rowOff>6804</xdr:rowOff>
    </xdr:to>
    <xdr:cxnSp macro="">
      <xdr:nvCxnSpPr>
        <xdr:cNvPr id="6462" name="直線コネクタ 6461"/>
        <xdr:cNvCxnSpPr/>
      </xdr:nvCxnSpPr>
      <xdr:spPr bwMode="auto">
        <a:xfrm>
          <a:off x="6422700" y="62853832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</xdr:colOff>
      <xdr:row>539</xdr:row>
      <xdr:rowOff>76200</xdr:rowOff>
    </xdr:from>
    <xdr:to>
      <xdr:col>61</xdr:col>
      <xdr:colOff>38100</xdr:colOff>
      <xdr:row>550</xdr:row>
      <xdr:rowOff>28575</xdr:rowOff>
    </xdr:to>
    <xdr:grpSp>
      <xdr:nvGrpSpPr>
        <xdr:cNvPr id="3288739" name="グループ化 1"/>
        <xdr:cNvGrpSpPr>
          <a:grpSpLocks/>
        </xdr:cNvGrpSpPr>
      </xdr:nvGrpSpPr>
      <xdr:grpSpPr bwMode="auto">
        <a:xfrm>
          <a:off x="3005570" y="47164336"/>
          <a:ext cx="2453121" cy="904875"/>
          <a:chOff x="2952393" y="35772612"/>
          <a:chExt cx="2413206" cy="885220"/>
        </a:xfrm>
      </xdr:grpSpPr>
      <xdr:grpSp>
        <xdr:nvGrpSpPr>
          <xdr:cNvPr id="3290522" name="グループ化 31"/>
          <xdr:cNvGrpSpPr>
            <a:grpSpLocks/>
          </xdr:cNvGrpSpPr>
        </xdr:nvGrpSpPr>
        <xdr:grpSpPr bwMode="auto">
          <a:xfrm>
            <a:off x="3122159" y="35948371"/>
            <a:ext cx="2192791" cy="482373"/>
            <a:chOff x="2070308" y="2363715"/>
            <a:chExt cx="2820993" cy="695788"/>
          </a:xfrm>
        </xdr:grpSpPr>
        <xdr:cxnSp macro="">
          <xdr:nvCxnSpPr>
            <xdr:cNvPr id="3290537" name="直線コネクタ 4"/>
            <xdr:cNvCxnSpPr>
              <a:cxnSpLocks noChangeShapeType="1"/>
            </xdr:cNvCxnSpPr>
          </xdr:nvCxnSpPr>
          <xdr:spPr bwMode="auto">
            <a:xfrm>
              <a:off x="2070308" y="2546902"/>
              <a:ext cx="2602119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38" name="直線コネクタ 5"/>
            <xdr:cNvCxnSpPr>
              <a:cxnSpLocks noChangeShapeType="1"/>
            </xdr:cNvCxnSpPr>
          </xdr:nvCxnSpPr>
          <xdr:spPr bwMode="auto">
            <a:xfrm>
              <a:off x="2079833" y="2999201"/>
              <a:ext cx="2602119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39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0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1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2" name="直線コネクタ 16"/>
            <xdr:cNvCxnSpPr>
              <a:cxnSpLocks noChangeShapeType="1"/>
            </xdr:cNvCxnSpPr>
          </xdr:nvCxnSpPr>
          <xdr:spPr bwMode="auto">
            <a:xfrm>
              <a:off x="2584807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3" name="直線コネクタ 18"/>
            <xdr:cNvCxnSpPr>
              <a:cxnSpLocks noChangeShapeType="1"/>
            </xdr:cNvCxnSpPr>
          </xdr:nvCxnSpPr>
          <xdr:spPr bwMode="auto">
            <a:xfrm>
              <a:off x="2672267" y="250466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4" name="直線コネクタ 19"/>
            <xdr:cNvCxnSpPr>
              <a:cxnSpLocks noChangeShapeType="1"/>
            </xdr:cNvCxnSpPr>
          </xdr:nvCxnSpPr>
          <xdr:spPr bwMode="auto">
            <a:xfrm>
              <a:off x="2766371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5" name="直線コネクタ 20"/>
            <xdr:cNvCxnSpPr>
              <a:cxnSpLocks noChangeShapeType="1"/>
            </xdr:cNvCxnSpPr>
          </xdr:nvCxnSpPr>
          <xdr:spPr bwMode="auto">
            <a:xfrm>
              <a:off x="2847753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6" name="直線コネクタ 21"/>
            <xdr:cNvCxnSpPr>
              <a:cxnSpLocks noChangeShapeType="1"/>
            </xdr:cNvCxnSpPr>
          </xdr:nvCxnSpPr>
          <xdr:spPr bwMode="auto">
            <a:xfrm>
              <a:off x="2935778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7" name="直線コネクタ 22"/>
            <xdr:cNvCxnSpPr>
              <a:cxnSpLocks noChangeShapeType="1"/>
            </xdr:cNvCxnSpPr>
          </xdr:nvCxnSpPr>
          <xdr:spPr bwMode="auto">
            <a:xfrm>
              <a:off x="3011081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8" name="直線コネクタ 23"/>
            <xdr:cNvCxnSpPr>
              <a:cxnSpLocks noChangeShapeType="1"/>
            </xdr:cNvCxnSpPr>
          </xdr:nvCxnSpPr>
          <xdr:spPr bwMode="auto">
            <a:xfrm>
              <a:off x="3103509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49" name="直線コネクタ 24"/>
            <xdr:cNvCxnSpPr>
              <a:cxnSpLocks noChangeShapeType="1"/>
            </xdr:cNvCxnSpPr>
          </xdr:nvCxnSpPr>
          <xdr:spPr bwMode="auto">
            <a:xfrm>
              <a:off x="3197052" y="2502176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50" name="直線コネクタ 25"/>
            <xdr:cNvCxnSpPr>
              <a:cxnSpLocks noChangeShapeType="1"/>
            </xdr:cNvCxnSpPr>
          </xdr:nvCxnSpPr>
          <xdr:spPr bwMode="auto">
            <a:xfrm>
              <a:off x="2072378" y="2420918"/>
              <a:ext cx="2591204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51" name="直線コネクタ 26"/>
            <xdr:cNvCxnSpPr>
              <a:cxnSpLocks noChangeShapeType="1"/>
            </xdr:cNvCxnSpPr>
          </xdr:nvCxnSpPr>
          <xdr:spPr bwMode="auto">
            <a:xfrm>
              <a:off x="2078529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552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sp macro="" textlink="">
        <xdr:nvSpPr>
          <xdr:cNvPr id="6483" name="Rectangle 218"/>
          <xdr:cNvSpPr>
            <a:spLocks noChangeArrowheads="1"/>
          </xdr:cNvSpPr>
        </xdr:nvSpPr>
        <xdr:spPr bwMode="auto">
          <a:xfrm>
            <a:off x="3851431" y="35772612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2700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484" name="Rectangle 218"/>
          <xdr:cNvSpPr>
            <a:spLocks noChangeArrowheads="1"/>
          </xdr:cNvSpPr>
        </xdr:nvSpPr>
        <xdr:spPr bwMode="auto">
          <a:xfrm>
            <a:off x="2952393" y="36356481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485" name="Rectangle 218"/>
          <xdr:cNvSpPr>
            <a:spLocks noChangeArrowheads="1"/>
          </xdr:cNvSpPr>
        </xdr:nvSpPr>
        <xdr:spPr bwMode="auto">
          <a:xfrm>
            <a:off x="4655833" y="36356481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486" name="Rectangle 218"/>
          <xdr:cNvSpPr>
            <a:spLocks noChangeArrowheads="1"/>
          </xdr:cNvSpPr>
        </xdr:nvSpPr>
        <xdr:spPr bwMode="auto">
          <a:xfrm>
            <a:off x="3387716" y="36394149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D10@100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3290527" name="直線コネクタ 16"/>
          <xdr:cNvCxnSpPr>
            <a:cxnSpLocks noChangeShapeType="1"/>
          </xdr:cNvCxnSpPr>
        </xdr:nvCxnSpPr>
        <xdr:spPr bwMode="auto">
          <a:xfrm>
            <a:off x="4331834" y="36042940"/>
            <a:ext cx="0" cy="38780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28" name="直線コネクタ 18"/>
          <xdr:cNvCxnSpPr>
            <a:cxnSpLocks noChangeShapeType="1"/>
          </xdr:cNvCxnSpPr>
        </xdr:nvCxnSpPr>
        <xdr:spPr bwMode="auto">
          <a:xfrm>
            <a:off x="4397829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29" name="直線コネクタ 19"/>
          <xdr:cNvCxnSpPr>
            <a:cxnSpLocks noChangeShapeType="1"/>
          </xdr:cNvCxnSpPr>
        </xdr:nvCxnSpPr>
        <xdr:spPr bwMode="auto">
          <a:xfrm>
            <a:off x="4474029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30" name="直線コネクタ 20"/>
          <xdr:cNvCxnSpPr>
            <a:cxnSpLocks noChangeShapeType="1"/>
          </xdr:cNvCxnSpPr>
        </xdr:nvCxnSpPr>
        <xdr:spPr bwMode="auto">
          <a:xfrm>
            <a:off x="4540023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31" name="直線コネクタ 21"/>
          <xdr:cNvCxnSpPr>
            <a:cxnSpLocks noChangeShapeType="1"/>
          </xdr:cNvCxnSpPr>
        </xdr:nvCxnSpPr>
        <xdr:spPr bwMode="auto">
          <a:xfrm>
            <a:off x="4606018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32" name="直線コネクタ 22"/>
          <xdr:cNvCxnSpPr>
            <a:cxnSpLocks noChangeShapeType="1"/>
          </xdr:cNvCxnSpPr>
        </xdr:nvCxnSpPr>
        <xdr:spPr bwMode="auto">
          <a:xfrm>
            <a:off x="4662488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33" name="直線コネクタ 23"/>
          <xdr:cNvCxnSpPr>
            <a:cxnSpLocks noChangeShapeType="1"/>
          </xdr:cNvCxnSpPr>
        </xdr:nvCxnSpPr>
        <xdr:spPr bwMode="auto">
          <a:xfrm>
            <a:off x="4738007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534" name="直線コネクタ 24"/>
          <xdr:cNvCxnSpPr>
            <a:cxnSpLocks noChangeShapeType="1"/>
          </xdr:cNvCxnSpPr>
        </xdr:nvCxnSpPr>
        <xdr:spPr bwMode="auto">
          <a:xfrm>
            <a:off x="4804682" y="36042940"/>
            <a:ext cx="0" cy="378279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6495" name="Rectangle 218"/>
          <xdr:cNvSpPr>
            <a:spLocks noChangeArrowheads="1"/>
          </xdr:cNvSpPr>
        </xdr:nvSpPr>
        <xdr:spPr bwMode="auto">
          <a:xfrm>
            <a:off x="4220509" y="36403567"/>
            <a:ext cx="709766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D10@100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496" name="Rectangle 218"/>
          <xdr:cNvSpPr>
            <a:spLocks noChangeArrowheads="1"/>
          </xdr:cNvSpPr>
        </xdr:nvSpPr>
        <xdr:spPr bwMode="auto">
          <a:xfrm>
            <a:off x="3804113" y="36356481"/>
            <a:ext cx="719230" cy="2542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33</xdr:col>
      <xdr:colOff>0</xdr:colOff>
      <xdr:row>516</xdr:row>
      <xdr:rowOff>57150</xdr:rowOff>
    </xdr:from>
    <xdr:to>
      <xdr:col>66</xdr:col>
      <xdr:colOff>19050</xdr:colOff>
      <xdr:row>521</xdr:row>
      <xdr:rowOff>76200</xdr:rowOff>
    </xdr:to>
    <xdr:grpSp>
      <xdr:nvGrpSpPr>
        <xdr:cNvPr id="3288740" name="グループ化 9"/>
        <xdr:cNvGrpSpPr>
          <a:grpSpLocks/>
        </xdr:cNvGrpSpPr>
      </xdr:nvGrpSpPr>
      <xdr:grpSpPr bwMode="auto">
        <a:xfrm>
          <a:off x="2996045" y="45153695"/>
          <a:ext cx="2876550" cy="452005"/>
          <a:chOff x="8196263" y="847724"/>
          <a:chExt cx="2548323" cy="395290"/>
        </a:xfrm>
      </xdr:grpSpPr>
      <xdr:grpSp>
        <xdr:nvGrpSpPr>
          <xdr:cNvPr id="3290465" name="グループ化 1141"/>
          <xdr:cNvGrpSpPr>
            <a:grpSpLocks/>
          </xdr:cNvGrpSpPr>
        </xdr:nvGrpSpPr>
        <xdr:grpSpPr bwMode="auto">
          <a:xfrm>
            <a:off x="8196263" y="847724"/>
            <a:ext cx="2548323" cy="385878"/>
            <a:chOff x="16566171" y="778212"/>
            <a:chExt cx="4080063" cy="612620"/>
          </a:xfrm>
        </xdr:grpSpPr>
        <xdr:cxnSp macro="">
          <xdr:nvCxnSpPr>
            <xdr:cNvPr id="6544" name="直線コネクタ 6543"/>
            <xdr:cNvCxnSpPr/>
          </xdr:nvCxnSpPr>
          <xdr:spPr>
            <a:xfrm>
              <a:off x="16566171" y="791564"/>
              <a:ext cx="600411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5" name="直線コネクタ 6544"/>
            <xdr:cNvCxnSpPr/>
          </xdr:nvCxnSpPr>
          <xdr:spPr>
            <a:xfrm>
              <a:off x="16566171" y="1165431"/>
              <a:ext cx="4080063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6" name="直線コネクタ 6545"/>
            <xdr:cNvCxnSpPr/>
          </xdr:nvCxnSpPr>
          <xdr:spPr>
            <a:xfrm>
              <a:off x="17807929" y="791564"/>
              <a:ext cx="58676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7" name="直線コネクタ 6546"/>
            <xdr:cNvCxnSpPr/>
          </xdr:nvCxnSpPr>
          <xdr:spPr bwMode="auto">
            <a:xfrm>
              <a:off x="17807929" y="818269"/>
              <a:ext cx="409371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8" name="直線コネクタ 6547"/>
            <xdr:cNvCxnSpPr/>
          </xdr:nvCxnSpPr>
          <xdr:spPr bwMode="auto">
            <a:xfrm>
              <a:off x="16743565" y="818269"/>
              <a:ext cx="423017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9" name="直線コネクタ 6548"/>
            <xdr:cNvCxnSpPr/>
          </xdr:nvCxnSpPr>
          <xdr:spPr bwMode="auto">
            <a:xfrm>
              <a:off x="17166582" y="818269"/>
              <a:ext cx="0" cy="520743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0" name="直線コネクタ 6549"/>
            <xdr:cNvCxnSpPr/>
          </xdr:nvCxnSpPr>
          <xdr:spPr bwMode="auto">
            <a:xfrm>
              <a:off x="16961896" y="1339012"/>
              <a:ext cx="204685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1" name="直線コネクタ 6550"/>
            <xdr:cNvCxnSpPr/>
          </xdr:nvCxnSpPr>
          <xdr:spPr bwMode="auto">
            <a:xfrm>
              <a:off x="17821575" y="818269"/>
              <a:ext cx="0" cy="520743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2" name="直線コネクタ 6551"/>
            <xdr:cNvCxnSpPr/>
          </xdr:nvCxnSpPr>
          <xdr:spPr bwMode="auto">
            <a:xfrm>
              <a:off x="17821575" y="1339012"/>
              <a:ext cx="177394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3" name="直線コネクタ 6552"/>
            <xdr:cNvCxnSpPr/>
          </xdr:nvCxnSpPr>
          <xdr:spPr>
            <a:xfrm>
              <a:off x="17862512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4" name="直線コネクタ 6553"/>
            <xdr:cNvCxnSpPr/>
          </xdr:nvCxnSpPr>
          <xdr:spPr>
            <a:xfrm>
              <a:off x="17971678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5" name="直線コネクタ 6554"/>
            <xdr:cNvCxnSpPr/>
          </xdr:nvCxnSpPr>
          <xdr:spPr>
            <a:xfrm>
              <a:off x="18094489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6" name="直線コネクタ 6555"/>
            <xdr:cNvCxnSpPr/>
          </xdr:nvCxnSpPr>
          <xdr:spPr>
            <a:xfrm>
              <a:off x="17125645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7" name="直線コネクタ 6556"/>
            <xdr:cNvCxnSpPr/>
          </xdr:nvCxnSpPr>
          <xdr:spPr>
            <a:xfrm>
              <a:off x="17002833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8" name="直線コネクタ 6557"/>
            <xdr:cNvCxnSpPr/>
          </xdr:nvCxnSpPr>
          <xdr:spPr>
            <a:xfrm>
              <a:off x="16880022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59" name="直線コネクタ 6558"/>
            <xdr:cNvCxnSpPr/>
          </xdr:nvCxnSpPr>
          <xdr:spPr bwMode="auto">
            <a:xfrm>
              <a:off x="16852731" y="1138726"/>
              <a:ext cx="1241758" cy="0"/>
            </a:xfrm>
            <a:prstGeom prst="line">
              <a:avLst/>
            </a:prstGeom>
            <a:ln w="12700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0" name="直線コネクタ 6559"/>
            <xdr:cNvCxnSpPr/>
          </xdr:nvCxnSpPr>
          <xdr:spPr bwMode="auto">
            <a:xfrm>
              <a:off x="17480433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1" name="直線コネクタ 6560"/>
            <xdr:cNvCxnSpPr/>
          </xdr:nvCxnSpPr>
          <xdr:spPr bwMode="auto">
            <a:xfrm>
              <a:off x="17575952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2" name="直線コネクタ 6561"/>
            <xdr:cNvCxnSpPr/>
          </xdr:nvCxnSpPr>
          <xdr:spPr bwMode="auto">
            <a:xfrm>
              <a:off x="17657827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3" name="直線コネクタ 6562"/>
            <xdr:cNvCxnSpPr/>
          </xdr:nvCxnSpPr>
          <xdr:spPr bwMode="auto">
            <a:xfrm>
              <a:off x="17753347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4" name="直線コネクタ 6563"/>
            <xdr:cNvCxnSpPr/>
          </xdr:nvCxnSpPr>
          <xdr:spPr bwMode="auto">
            <a:xfrm>
              <a:off x="17384913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5" name="直線コネクタ 6564"/>
            <xdr:cNvCxnSpPr/>
          </xdr:nvCxnSpPr>
          <xdr:spPr bwMode="auto">
            <a:xfrm>
              <a:off x="17303039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6" name="直線コネクタ 6565"/>
            <xdr:cNvCxnSpPr/>
          </xdr:nvCxnSpPr>
          <xdr:spPr bwMode="auto">
            <a:xfrm>
              <a:off x="17207519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7" name="直線コネクタ 6566"/>
            <xdr:cNvCxnSpPr/>
          </xdr:nvCxnSpPr>
          <xdr:spPr bwMode="auto">
            <a:xfrm>
              <a:off x="17453141" y="1339012"/>
              <a:ext cx="231977" cy="0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8" name="直線コネクタ 6567"/>
            <xdr:cNvCxnSpPr/>
          </xdr:nvCxnSpPr>
          <xdr:spPr bwMode="auto">
            <a:xfrm flipV="1">
              <a:off x="17685118" y="925088"/>
              <a:ext cx="382079" cy="413924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69" name="直線コネクタ 6568"/>
            <xdr:cNvCxnSpPr/>
          </xdr:nvCxnSpPr>
          <xdr:spPr bwMode="auto">
            <a:xfrm>
              <a:off x="17303039" y="1352365"/>
              <a:ext cx="218331" cy="0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70" name="直線コネクタ 6569"/>
            <xdr:cNvCxnSpPr/>
          </xdr:nvCxnSpPr>
          <xdr:spPr bwMode="auto">
            <a:xfrm flipH="1" flipV="1">
              <a:off x="16907313" y="951793"/>
              <a:ext cx="409371" cy="400572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290466" name="グループ化 1141"/>
          <xdr:cNvGrpSpPr>
            <a:grpSpLocks/>
          </xdr:cNvGrpSpPr>
        </xdr:nvGrpSpPr>
        <xdr:grpSpPr bwMode="auto">
          <a:xfrm>
            <a:off x="9529766" y="847724"/>
            <a:ext cx="1133475" cy="385878"/>
            <a:chOff x="16573796" y="778212"/>
            <a:chExt cx="1814781" cy="612620"/>
          </a:xfrm>
        </xdr:grpSpPr>
        <xdr:cxnSp macro="">
          <xdr:nvCxnSpPr>
            <xdr:cNvPr id="6518" name="直線コネクタ 6517"/>
            <xdr:cNvCxnSpPr/>
          </xdr:nvCxnSpPr>
          <xdr:spPr>
            <a:xfrm>
              <a:off x="16567482" y="791564"/>
              <a:ext cx="573119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19" name="直線コネクタ 6518"/>
            <xdr:cNvCxnSpPr/>
          </xdr:nvCxnSpPr>
          <xdr:spPr>
            <a:xfrm>
              <a:off x="17809240" y="791564"/>
              <a:ext cx="573119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0" name="直線コネクタ 6519"/>
            <xdr:cNvCxnSpPr/>
          </xdr:nvCxnSpPr>
          <xdr:spPr bwMode="auto">
            <a:xfrm>
              <a:off x="17809240" y="818269"/>
              <a:ext cx="395725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1" name="直線コネクタ 6520"/>
            <xdr:cNvCxnSpPr/>
          </xdr:nvCxnSpPr>
          <xdr:spPr bwMode="auto">
            <a:xfrm>
              <a:off x="16744876" y="818269"/>
              <a:ext cx="395725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2" name="直線コネクタ 6521"/>
            <xdr:cNvCxnSpPr/>
          </xdr:nvCxnSpPr>
          <xdr:spPr bwMode="auto">
            <a:xfrm>
              <a:off x="17140601" y="818269"/>
              <a:ext cx="0" cy="520743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3" name="直線コネクタ 6522"/>
            <xdr:cNvCxnSpPr/>
          </xdr:nvCxnSpPr>
          <xdr:spPr bwMode="auto">
            <a:xfrm>
              <a:off x="16949562" y="1339012"/>
              <a:ext cx="19104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4" name="直線コネクタ 6523"/>
            <xdr:cNvCxnSpPr/>
          </xdr:nvCxnSpPr>
          <xdr:spPr bwMode="auto">
            <a:xfrm>
              <a:off x="17809240" y="818269"/>
              <a:ext cx="0" cy="520743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5" name="直線コネクタ 6524"/>
            <xdr:cNvCxnSpPr/>
          </xdr:nvCxnSpPr>
          <xdr:spPr bwMode="auto">
            <a:xfrm>
              <a:off x="17809240" y="1339012"/>
              <a:ext cx="19104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6" name="直線コネクタ 6525"/>
            <xdr:cNvCxnSpPr/>
          </xdr:nvCxnSpPr>
          <xdr:spPr>
            <a:xfrm>
              <a:off x="17850177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7" name="直線コネクタ 6526"/>
            <xdr:cNvCxnSpPr/>
          </xdr:nvCxnSpPr>
          <xdr:spPr>
            <a:xfrm>
              <a:off x="17972989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8" name="直線コネクタ 6527"/>
            <xdr:cNvCxnSpPr/>
          </xdr:nvCxnSpPr>
          <xdr:spPr>
            <a:xfrm>
              <a:off x="18082154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29" name="直線コネクタ 6528"/>
            <xdr:cNvCxnSpPr/>
          </xdr:nvCxnSpPr>
          <xdr:spPr>
            <a:xfrm>
              <a:off x="17126956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0" name="直線コネクタ 6529"/>
            <xdr:cNvCxnSpPr/>
          </xdr:nvCxnSpPr>
          <xdr:spPr>
            <a:xfrm>
              <a:off x="17004145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1" name="直線コネクタ 6530"/>
            <xdr:cNvCxnSpPr/>
          </xdr:nvCxnSpPr>
          <xdr:spPr>
            <a:xfrm>
              <a:off x="16881333" y="778212"/>
              <a:ext cx="0" cy="587505"/>
            </a:xfrm>
            <a:prstGeom prst="line">
              <a:avLst/>
            </a:prstGeom>
            <a:ln w="19050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2" name="直線コネクタ 6531"/>
            <xdr:cNvCxnSpPr/>
          </xdr:nvCxnSpPr>
          <xdr:spPr bwMode="auto">
            <a:xfrm>
              <a:off x="16854042" y="1138726"/>
              <a:ext cx="1228112" cy="0"/>
            </a:xfrm>
            <a:prstGeom prst="line">
              <a:avLst/>
            </a:prstGeom>
            <a:ln w="12700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3" name="直線コネクタ 6532"/>
            <xdr:cNvCxnSpPr/>
          </xdr:nvCxnSpPr>
          <xdr:spPr bwMode="auto">
            <a:xfrm>
              <a:off x="17481744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4" name="直線コネクタ 6533"/>
            <xdr:cNvCxnSpPr/>
          </xdr:nvCxnSpPr>
          <xdr:spPr bwMode="auto">
            <a:xfrm>
              <a:off x="17563618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5" name="直線コネクタ 6534"/>
            <xdr:cNvCxnSpPr/>
          </xdr:nvCxnSpPr>
          <xdr:spPr bwMode="auto">
            <a:xfrm>
              <a:off x="17659138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6" name="直線コネクタ 6535"/>
            <xdr:cNvCxnSpPr/>
          </xdr:nvCxnSpPr>
          <xdr:spPr bwMode="auto">
            <a:xfrm>
              <a:off x="17727366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7" name="直線コネクタ 6536"/>
            <xdr:cNvCxnSpPr/>
          </xdr:nvCxnSpPr>
          <xdr:spPr bwMode="auto">
            <a:xfrm>
              <a:off x="17372578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8" name="直線コネクタ 6537"/>
            <xdr:cNvCxnSpPr/>
          </xdr:nvCxnSpPr>
          <xdr:spPr bwMode="auto">
            <a:xfrm>
              <a:off x="17277058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39" name="直線コネクタ 6538"/>
            <xdr:cNvCxnSpPr/>
          </xdr:nvCxnSpPr>
          <xdr:spPr bwMode="auto">
            <a:xfrm>
              <a:off x="17208830" y="1125374"/>
              <a:ext cx="0" cy="26704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0" name="直線コネクタ 6539"/>
            <xdr:cNvCxnSpPr/>
          </xdr:nvCxnSpPr>
          <xdr:spPr bwMode="auto">
            <a:xfrm>
              <a:off x="17440807" y="1339012"/>
              <a:ext cx="231977" cy="0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1" name="直線コネクタ 6540"/>
            <xdr:cNvCxnSpPr/>
          </xdr:nvCxnSpPr>
          <xdr:spPr bwMode="auto">
            <a:xfrm flipV="1">
              <a:off x="17672783" y="925088"/>
              <a:ext cx="382079" cy="413924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2" name="直線コネクタ 6541"/>
            <xdr:cNvCxnSpPr/>
          </xdr:nvCxnSpPr>
          <xdr:spPr bwMode="auto">
            <a:xfrm>
              <a:off x="17290704" y="1352365"/>
              <a:ext cx="231977" cy="0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43" name="直線コネクタ 6542"/>
            <xdr:cNvCxnSpPr/>
          </xdr:nvCxnSpPr>
          <xdr:spPr bwMode="auto">
            <a:xfrm flipH="1" flipV="1">
              <a:off x="16894979" y="951793"/>
              <a:ext cx="395725" cy="400572"/>
            </a:xfrm>
            <a:prstGeom prst="line">
              <a:avLst/>
            </a:prstGeom>
            <a:ln w="12700">
              <a:solidFill>
                <a:schemeClr val="accent4">
                  <a:lumMod val="75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6516" name="直線コネクタ 6515"/>
          <xdr:cNvCxnSpPr/>
        </xdr:nvCxnSpPr>
        <xdr:spPr bwMode="auto">
          <a:xfrm>
            <a:off x="9551391" y="1234604"/>
            <a:ext cx="920464" cy="0"/>
          </a:xfrm>
          <a:prstGeom prst="line">
            <a:avLst/>
          </a:prstGeom>
          <a:ln w="1905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17" name="直線コネクタ 6516"/>
          <xdr:cNvCxnSpPr/>
        </xdr:nvCxnSpPr>
        <xdr:spPr bwMode="auto">
          <a:xfrm flipH="1">
            <a:off x="10471856" y="1024343"/>
            <a:ext cx="221593" cy="218671"/>
          </a:xfrm>
          <a:prstGeom prst="line">
            <a:avLst/>
          </a:prstGeom>
          <a:ln w="1905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70</xdr:col>
      <xdr:colOff>6046</xdr:colOff>
      <xdr:row>553</xdr:row>
      <xdr:rowOff>77610</xdr:rowOff>
    </xdr:from>
    <xdr:to>
      <xdr:col>70</xdr:col>
      <xdr:colOff>79516</xdr:colOff>
      <xdr:row>553</xdr:row>
      <xdr:rowOff>77610</xdr:rowOff>
    </xdr:to>
    <xdr:cxnSp macro="">
      <xdr:nvCxnSpPr>
        <xdr:cNvPr id="6571" name="直線コネクタ 6570"/>
        <xdr:cNvCxnSpPr/>
      </xdr:nvCxnSpPr>
      <xdr:spPr bwMode="auto">
        <a:xfrm>
          <a:off x="6421942" y="63733365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146</xdr:col>
      <xdr:colOff>66675</xdr:colOff>
      <xdr:row>551</xdr:row>
      <xdr:rowOff>76200</xdr:rowOff>
    </xdr:from>
    <xdr:to>
      <xdr:col>166</xdr:col>
      <xdr:colOff>57150</xdr:colOff>
      <xdr:row>559</xdr:row>
      <xdr:rowOff>38100</xdr:rowOff>
    </xdr:to>
    <xdr:grpSp>
      <xdr:nvGrpSpPr>
        <xdr:cNvPr id="3288742" name="グループ化 3"/>
        <xdr:cNvGrpSpPr>
          <a:grpSpLocks/>
        </xdr:cNvGrpSpPr>
      </xdr:nvGrpSpPr>
      <xdr:grpSpPr bwMode="auto">
        <a:xfrm>
          <a:off x="12847493" y="48203427"/>
          <a:ext cx="1722293" cy="654628"/>
          <a:chOff x="3191675" y="62632037"/>
          <a:chExt cx="1739148" cy="664375"/>
        </a:xfrm>
      </xdr:grpSpPr>
      <xdr:sp macro="" textlink="">
        <xdr:nvSpPr>
          <xdr:cNvPr id="3290448" name="Freeform 227"/>
          <xdr:cNvSpPr>
            <a:spLocks/>
          </xdr:cNvSpPr>
        </xdr:nvSpPr>
        <xdr:spPr bwMode="auto">
          <a:xfrm rot="3200040">
            <a:off x="4151524" y="62870945"/>
            <a:ext cx="134034" cy="7136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592" name="Rectangle 228"/>
          <xdr:cNvSpPr>
            <a:spLocks noChangeArrowheads="1"/>
          </xdr:cNvSpPr>
        </xdr:nvSpPr>
        <xdr:spPr bwMode="auto">
          <a:xfrm>
            <a:off x="3968948" y="62856752"/>
            <a:ext cx="514943" cy="3810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grpSp>
        <xdr:nvGrpSpPr>
          <xdr:cNvPr id="3290450" name="グループ化 2"/>
          <xdr:cNvGrpSpPr>
            <a:grpSpLocks/>
          </xdr:cNvGrpSpPr>
        </xdr:nvGrpSpPr>
        <xdr:grpSpPr bwMode="auto">
          <a:xfrm>
            <a:off x="3191675" y="62632037"/>
            <a:ext cx="1739148" cy="664375"/>
            <a:chOff x="3191675" y="62632037"/>
            <a:chExt cx="1739148" cy="664375"/>
          </a:xfrm>
        </xdr:grpSpPr>
        <xdr:grpSp>
          <xdr:nvGrpSpPr>
            <xdr:cNvPr id="3290451" name="Group 63"/>
            <xdr:cNvGrpSpPr>
              <a:grpSpLocks/>
            </xdr:cNvGrpSpPr>
          </xdr:nvGrpSpPr>
          <xdr:grpSpPr bwMode="auto">
            <a:xfrm>
              <a:off x="3359198" y="62679589"/>
              <a:ext cx="1571625" cy="495300"/>
              <a:chOff x="1213" y="519"/>
              <a:chExt cx="165" cy="52"/>
            </a:xfrm>
          </xdr:grpSpPr>
          <xdr:sp macro="" textlink="">
            <xdr:nvSpPr>
              <xdr:cNvPr id="3290456" name="Line 64"/>
              <xdr:cNvSpPr>
                <a:spLocks noChangeShapeType="1"/>
              </xdr:cNvSpPr>
            </xdr:nvSpPr>
            <xdr:spPr bwMode="auto">
              <a:xfrm flipH="1" flipV="1">
                <a:off x="1274" y="520"/>
                <a:ext cx="27" cy="2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57" name="Line 65"/>
              <xdr:cNvSpPr>
                <a:spLocks noChangeShapeType="1"/>
              </xdr:cNvSpPr>
            </xdr:nvSpPr>
            <xdr:spPr bwMode="auto">
              <a:xfrm flipV="1">
                <a:off x="1214" y="519"/>
                <a:ext cx="59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58" name="Line 66"/>
              <xdr:cNvSpPr>
                <a:spLocks noChangeShapeType="1"/>
              </xdr:cNvSpPr>
            </xdr:nvSpPr>
            <xdr:spPr bwMode="auto">
              <a:xfrm>
                <a:off x="1300" y="545"/>
                <a:ext cx="77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59" name="Line 67"/>
              <xdr:cNvSpPr>
                <a:spLocks noChangeShapeType="1"/>
              </xdr:cNvSpPr>
            </xdr:nvSpPr>
            <xdr:spPr bwMode="auto">
              <a:xfrm>
                <a:off x="1273" y="519"/>
                <a:ext cx="105" cy="3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60" name="Line 68"/>
              <xdr:cNvSpPr>
                <a:spLocks noChangeShapeType="1"/>
              </xdr:cNvSpPr>
            </xdr:nvSpPr>
            <xdr:spPr bwMode="auto">
              <a:xfrm>
                <a:off x="1274" y="537"/>
                <a:ext cx="24" cy="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61" name="Line 69"/>
              <xdr:cNvSpPr>
                <a:spLocks noChangeShapeType="1"/>
              </xdr:cNvSpPr>
            </xdr:nvSpPr>
            <xdr:spPr bwMode="auto">
              <a:xfrm flipH="1">
                <a:off x="1213" y="536"/>
                <a:ext cx="59" cy="2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62" name="Line 70"/>
              <xdr:cNvSpPr>
                <a:spLocks noChangeShapeType="1"/>
              </xdr:cNvSpPr>
            </xdr:nvSpPr>
            <xdr:spPr bwMode="auto">
              <a:xfrm>
                <a:off x="1273" y="521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63" name="Line 72"/>
              <xdr:cNvSpPr>
                <a:spLocks noChangeShapeType="1"/>
              </xdr:cNvSpPr>
            </xdr:nvSpPr>
            <xdr:spPr bwMode="auto">
              <a:xfrm>
                <a:off x="1214" y="545"/>
                <a:ext cx="0" cy="1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464" name="Line 75"/>
              <xdr:cNvSpPr>
                <a:spLocks noChangeShapeType="1"/>
              </xdr:cNvSpPr>
            </xdr:nvSpPr>
            <xdr:spPr bwMode="auto">
              <a:xfrm>
                <a:off x="1377" y="557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595" name="テキスト ボックス 6594"/>
            <xdr:cNvSpPr txBox="1"/>
          </xdr:nvSpPr>
          <xdr:spPr bwMode="auto">
            <a:xfrm>
              <a:off x="4240993" y="63052156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6596" name="正方形/長方形 6595"/>
            <xdr:cNvSpPr/>
          </xdr:nvSpPr>
          <xdr:spPr>
            <a:xfrm>
              <a:off x="4085539" y="62641807"/>
              <a:ext cx="223466" cy="15632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ja-JP" altLang="en-US"/>
            </a:p>
          </xdr:txBody>
        </xdr:sp>
        <xdr:sp macro="" textlink="">
          <xdr:nvSpPr>
            <xdr:cNvPr id="6597" name="テキスト ボックス 6596"/>
            <xdr:cNvSpPr txBox="1"/>
          </xdr:nvSpPr>
          <xdr:spPr bwMode="auto">
            <a:xfrm>
              <a:off x="3949516" y="62632037"/>
              <a:ext cx="446932" cy="2149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315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6598" name="テキスト ボックス 6597"/>
            <xdr:cNvSpPr txBox="1"/>
          </xdr:nvSpPr>
          <xdr:spPr bwMode="auto">
            <a:xfrm>
              <a:off x="3191675" y="62632037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</xdr:grpSp>
    <xdr:clientData/>
  </xdr:twoCellAnchor>
  <xdr:oneCellAnchor>
    <xdr:from>
      <xdr:col>29</xdr:col>
      <xdr:colOff>62593</xdr:colOff>
      <xdr:row>568</xdr:row>
      <xdr:rowOff>16600</xdr:rowOff>
    </xdr:from>
    <xdr:ext cx="423193" cy="183384"/>
    <xdr:sp macro="" textlink="">
      <xdr:nvSpPr>
        <xdr:cNvPr id="6608" name="Rectangle 217"/>
        <xdr:cNvSpPr>
          <a:spLocks noChangeArrowheads="1"/>
        </xdr:cNvSpPr>
      </xdr:nvSpPr>
      <xdr:spPr bwMode="auto">
        <a:xfrm>
          <a:off x="2681968" y="4912750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38</xdr:col>
      <xdr:colOff>47625</xdr:colOff>
      <xdr:row>568</xdr:row>
      <xdr:rowOff>76200</xdr:rowOff>
    </xdr:from>
    <xdr:to>
      <xdr:col>60</xdr:col>
      <xdr:colOff>9525</xdr:colOff>
      <xdr:row>576</xdr:row>
      <xdr:rowOff>19050</xdr:rowOff>
    </xdr:to>
    <xdr:grpSp>
      <xdr:nvGrpSpPr>
        <xdr:cNvPr id="3288744" name="グループ化 1141"/>
        <xdr:cNvGrpSpPr>
          <a:grpSpLocks/>
        </xdr:cNvGrpSpPr>
      </xdr:nvGrpSpPr>
      <xdr:grpSpPr bwMode="auto">
        <a:xfrm>
          <a:off x="3476625" y="49675473"/>
          <a:ext cx="1866900" cy="635577"/>
          <a:chOff x="16566173" y="778212"/>
          <a:chExt cx="1824404" cy="612438"/>
        </a:xfrm>
      </xdr:grpSpPr>
      <xdr:cxnSp macro="">
        <xdr:nvCxnSpPr>
          <xdr:cNvPr id="6610" name="直線コネクタ 6609"/>
          <xdr:cNvCxnSpPr/>
        </xdr:nvCxnSpPr>
        <xdr:spPr>
          <a:xfrm>
            <a:off x="16566173" y="787491"/>
            <a:ext cx="592461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1" name="直線コネクタ 6610"/>
          <xdr:cNvCxnSpPr/>
        </xdr:nvCxnSpPr>
        <xdr:spPr>
          <a:xfrm>
            <a:off x="16566173" y="1167945"/>
            <a:ext cx="18150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2" name="直線コネクタ 6611"/>
          <xdr:cNvCxnSpPr/>
        </xdr:nvCxnSpPr>
        <xdr:spPr>
          <a:xfrm>
            <a:off x="17798116" y="787491"/>
            <a:ext cx="592461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3" name="直線コネクタ 6612"/>
          <xdr:cNvCxnSpPr/>
        </xdr:nvCxnSpPr>
        <xdr:spPr bwMode="auto">
          <a:xfrm>
            <a:off x="17798116" y="815329"/>
            <a:ext cx="40437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4" name="直線コネクタ 6613"/>
          <xdr:cNvCxnSpPr/>
        </xdr:nvCxnSpPr>
        <xdr:spPr bwMode="auto">
          <a:xfrm>
            <a:off x="16754256" y="815329"/>
            <a:ext cx="40437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5" name="直線コネクタ 6614"/>
          <xdr:cNvCxnSpPr/>
        </xdr:nvCxnSpPr>
        <xdr:spPr bwMode="auto">
          <a:xfrm>
            <a:off x="17158634" y="815329"/>
            <a:ext cx="0" cy="519644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6" name="直線コネクタ 6615"/>
          <xdr:cNvCxnSpPr/>
        </xdr:nvCxnSpPr>
        <xdr:spPr bwMode="auto">
          <a:xfrm>
            <a:off x="16951743" y="1334974"/>
            <a:ext cx="206891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7" name="直線コネクタ 6616"/>
          <xdr:cNvCxnSpPr/>
        </xdr:nvCxnSpPr>
        <xdr:spPr bwMode="auto">
          <a:xfrm>
            <a:off x="17807520" y="815329"/>
            <a:ext cx="0" cy="519644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8" name="直線コネクタ 6617"/>
          <xdr:cNvCxnSpPr/>
        </xdr:nvCxnSpPr>
        <xdr:spPr bwMode="auto">
          <a:xfrm>
            <a:off x="17807520" y="1334974"/>
            <a:ext cx="197487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19" name="直線コネクタ 6618"/>
          <xdr:cNvCxnSpPr/>
        </xdr:nvCxnSpPr>
        <xdr:spPr bwMode="auto">
          <a:xfrm>
            <a:off x="16857701" y="1362812"/>
            <a:ext cx="1231943" cy="0"/>
          </a:xfrm>
          <a:prstGeom prst="line">
            <a:avLst/>
          </a:prstGeom>
          <a:ln w="1905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0" name="直線コネクタ 6619"/>
          <xdr:cNvCxnSpPr/>
        </xdr:nvCxnSpPr>
        <xdr:spPr bwMode="auto">
          <a:xfrm flipH="1">
            <a:off x="18089644" y="1149387"/>
            <a:ext cx="216295" cy="213425"/>
          </a:xfrm>
          <a:prstGeom prst="line">
            <a:avLst/>
          </a:prstGeom>
          <a:ln w="1905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1" name="直線コネクタ 6620"/>
          <xdr:cNvCxnSpPr/>
        </xdr:nvCxnSpPr>
        <xdr:spPr>
          <a:xfrm>
            <a:off x="17854541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2" name="直線コネクタ 6621"/>
          <xdr:cNvCxnSpPr/>
        </xdr:nvCxnSpPr>
        <xdr:spPr>
          <a:xfrm>
            <a:off x="17976795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3" name="直線コネクタ 6622"/>
          <xdr:cNvCxnSpPr/>
        </xdr:nvCxnSpPr>
        <xdr:spPr>
          <a:xfrm>
            <a:off x="18089644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4" name="直線コネクタ 6623"/>
          <xdr:cNvCxnSpPr/>
        </xdr:nvCxnSpPr>
        <xdr:spPr>
          <a:xfrm>
            <a:off x="17130422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5" name="直線コネクタ 6624"/>
          <xdr:cNvCxnSpPr/>
        </xdr:nvCxnSpPr>
        <xdr:spPr>
          <a:xfrm>
            <a:off x="17008168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6" name="直線コネクタ 6625"/>
          <xdr:cNvCxnSpPr/>
        </xdr:nvCxnSpPr>
        <xdr:spPr>
          <a:xfrm>
            <a:off x="16885914" y="778212"/>
            <a:ext cx="0" cy="584600"/>
          </a:xfrm>
          <a:prstGeom prst="line">
            <a:avLst/>
          </a:prstGeom>
          <a:ln w="19050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7" name="直線コネクタ 6626"/>
          <xdr:cNvCxnSpPr/>
        </xdr:nvCxnSpPr>
        <xdr:spPr bwMode="auto">
          <a:xfrm>
            <a:off x="16857701" y="1140107"/>
            <a:ext cx="1231943" cy="0"/>
          </a:xfrm>
          <a:prstGeom prst="line">
            <a:avLst/>
          </a:prstGeom>
          <a:ln w="12700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8" name="直線コネクタ 6627"/>
          <xdr:cNvCxnSpPr/>
        </xdr:nvCxnSpPr>
        <xdr:spPr bwMode="auto">
          <a:xfrm>
            <a:off x="17478375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29" name="直線コネクタ 6628"/>
          <xdr:cNvCxnSpPr/>
        </xdr:nvCxnSpPr>
        <xdr:spPr bwMode="auto">
          <a:xfrm>
            <a:off x="17572416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0" name="直線コネクタ 6629"/>
          <xdr:cNvCxnSpPr/>
        </xdr:nvCxnSpPr>
        <xdr:spPr bwMode="auto">
          <a:xfrm>
            <a:off x="17666458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1" name="直線コネクタ 6630"/>
          <xdr:cNvCxnSpPr/>
        </xdr:nvCxnSpPr>
        <xdr:spPr bwMode="auto">
          <a:xfrm>
            <a:off x="17741691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2" name="直線コネクタ 6631"/>
          <xdr:cNvCxnSpPr/>
        </xdr:nvCxnSpPr>
        <xdr:spPr bwMode="auto">
          <a:xfrm>
            <a:off x="17384334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3" name="直線コネクタ 6632"/>
          <xdr:cNvCxnSpPr/>
        </xdr:nvCxnSpPr>
        <xdr:spPr bwMode="auto">
          <a:xfrm>
            <a:off x="17290292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4" name="直線コネクタ 6633"/>
          <xdr:cNvCxnSpPr/>
        </xdr:nvCxnSpPr>
        <xdr:spPr bwMode="auto">
          <a:xfrm>
            <a:off x="17215059" y="1121548"/>
            <a:ext cx="0" cy="26910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5" name="直線コネクタ 6634"/>
          <xdr:cNvCxnSpPr/>
        </xdr:nvCxnSpPr>
        <xdr:spPr bwMode="auto">
          <a:xfrm>
            <a:off x="17450163" y="1325694"/>
            <a:ext cx="225699" cy="0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6" name="直線コネクタ 6635"/>
          <xdr:cNvCxnSpPr/>
        </xdr:nvCxnSpPr>
        <xdr:spPr bwMode="auto">
          <a:xfrm flipV="1">
            <a:off x="17675862" y="926682"/>
            <a:ext cx="385570" cy="399013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7" name="直線コネクタ 6636"/>
          <xdr:cNvCxnSpPr/>
        </xdr:nvCxnSpPr>
        <xdr:spPr bwMode="auto">
          <a:xfrm>
            <a:off x="17299696" y="1344253"/>
            <a:ext cx="225699" cy="0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38" name="直線コネクタ 6637"/>
          <xdr:cNvCxnSpPr/>
        </xdr:nvCxnSpPr>
        <xdr:spPr bwMode="auto">
          <a:xfrm flipH="1" flipV="1">
            <a:off x="16895318" y="954520"/>
            <a:ext cx="413782" cy="389733"/>
          </a:xfrm>
          <a:prstGeom prst="line">
            <a:avLst/>
          </a:prstGeom>
          <a:ln w="12700">
            <a:solidFill>
              <a:schemeClr val="accent4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38100</xdr:colOff>
      <xdr:row>566</xdr:row>
      <xdr:rowOff>19050</xdr:rowOff>
    </xdr:from>
    <xdr:to>
      <xdr:col>34</xdr:col>
      <xdr:colOff>0</xdr:colOff>
      <xdr:row>567</xdr:row>
      <xdr:rowOff>66675</xdr:rowOff>
    </xdr:to>
    <xdr:grpSp>
      <xdr:nvGrpSpPr>
        <xdr:cNvPr id="3288745" name="Group 350"/>
        <xdr:cNvGrpSpPr>
          <a:grpSpLocks/>
        </xdr:cNvGrpSpPr>
      </xdr:nvGrpSpPr>
      <xdr:grpSpPr bwMode="auto">
        <a:xfrm>
          <a:off x="2687782" y="49445141"/>
          <a:ext cx="394854" cy="134216"/>
          <a:chOff x="340" y="51"/>
          <a:chExt cx="60" cy="20"/>
        </a:xfrm>
      </xdr:grpSpPr>
      <xdr:sp macro="" textlink="">
        <xdr:nvSpPr>
          <xdr:cNvPr id="3290416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417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418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19384</xdr:colOff>
      <xdr:row>578</xdr:row>
      <xdr:rowOff>3038</xdr:rowOff>
    </xdr:from>
    <xdr:to>
      <xdr:col>31</xdr:col>
      <xdr:colOff>3354</xdr:colOff>
      <xdr:row>578</xdr:row>
      <xdr:rowOff>3038</xdr:rowOff>
    </xdr:to>
    <xdr:cxnSp macro="">
      <xdr:nvCxnSpPr>
        <xdr:cNvPr id="6643" name="直線コネクタ 6642"/>
        <xdr:cNvCxnSpPr/>
      </xdr:nvCxnSpPr>
      <xdr:spPr bwMode="auto">
        <a:xfrm>
          <a:off x="2840941" y="70757613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580</xdr:row>
      <xdr:rowOff>0</xdr:rowOff>
    </xdr:from>
    <xdr:to>
      <xdr:col>40</xdr:col>
      <xdr:colOff>0</xdr:colOff>
      <xdr:row>583</xdr:row>
      <xdr:rowOff>0</xdr:rowOff>
    </xdr:to>
    <xdr:grpSp>
      <xdr:nvGrpSpPr>
        <xdr:cNvPr id="3288747" name="グループ化 1"/>
        <xdr:cNvGrpSpPr>
          <a:grpSpLocks/>
        </xdr:cNvGrpSpPr>
      </xdr:nvGrpSpPr>
      <xdr:grpSpPr bwMode="auto">
        <a:xfrm>
          <a:off x="3245427" y="50638364"/>
          <a:ext cx="356755" cy="259772"/>
          <a:chOff x="3724275" y="1824264"/>
          <a:chExt cx="390526" cy="286252"/>
        </a:xfrm>
      </xdr:grpSpPr>
      <xdr:sp macro="" textlink="">
        <xdr:nvSpPr>
          <xdr:cNvPr id="3290413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414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415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54</xdr:col>
      <xdr:colOff>76200</xdr:colOff>
      <xdr:row>580</xdr:row>
      <xdr:rowOff>0</xdr:rowOff>
    </xdr:from>
    <xdr:to>
      <xdr:col>59</xdr:col>
      <xdr:colOff>0</xdr:colOff>
      <xdr:row>583</xdr:row>
      <xdr:rowOff>0</xdr:rowOff>
    </xdr:to>
    <xdr:grpSp>
      <xdr:nvGrpSpPr>
        <xdr:cNvPr id="3288748" name="グループ化 1"/>
        <xdr:cNvGrpSpPr>
          <a:grpSpLocks/>
        </xdr:cNvGrpSpPr>
      </xdr:nvGrpSpPr>
      <xdr:grpSpPr bwMode="auto">
        <a:xfrm>
          <a:off x="4890655" y="50638364"/>
          <a:ext cx="356754" cy="259772"/>
          <a:chOff x="3724275" y="1824264"/>
          <a:chExt cx="390526" cy="286252"/>
        </a:xfrm>
      </xdr:grpSpPr>
      <xdr:sp macro="" textlink="">
        <xdr:nvSpPr>
          <xdr:cNvPr id="3290410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411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412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78607</xdr:colOff>
      <xdr:row>596</xdr:row>
      <xdr:rowOff>17109</xdr:rowOff>
    </xdr:from>
    <xdr:to>
      <xdr:col>30</xdr:col>
      <xdr:colOff>67138</xdr:colOff>
      <xdr:row>596</xdr:row>
      <xdr:rowOff>17208</xdr:rowOff>
    </xdr:to>
    <xdr:cxnSp macro="">
      <xdr:nvCxnSpPr>
        <xdr:cNvPr id="6652" name="直線コネクタ 6651"/>
        <xdr:cNvCxnSpPr/>
      </xdr:nvCxnSpPr>
      <xdr:spPr>
        <a:xfrm flipH="1" flipV="1">
          <a:off x="2810305" y="72389137"/>
          <a:ext cx="78390" cy="99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83588</xdr:colOff>
      <xdr:row>610</xdr:row>
      <xdr:rowOff>14816</xdr:rowOff>
    </xdr:from>
    <xdr:to>
      <xdr:col>51</xdr:col>
      <xdr:colOff>26438</xdr:colOff>
      <xdr:row>613</xdr:row>
      <xdr:rowOff>14816</xdr:rowOff>
    </xdr:to>
    <xdr:sp macro="" textlink="">
      <xdr:nvSpPr>
        <xdr:cNvPr id="6653" name="Rectangle 218"/>
        <xdr:cNvSpPr>
          <a:spLocks noChangeArrowheads="1"/>
        </xdr:cNvSpPr>
      </xdr:nvSpPr>
      <xdr:spPr bwMode="auto">
        <a:xfrm>
          <a:off x="3983446" y="73644863"/>
          <a:ext cx="751577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19050</xdr:colOff>
      <xdr:row>596</xdr:row>
      <xdr:rowOff>9525</xdr:rowOff>
    </xdr:from>
    <xdr:to>
      <xdr:col>38</xdr:col>
      <xdr:colOff>9525</xdr:colOff>
      <xdr:row>603</xdr:row>
      <xdr:rowOff>19050</xdr:rowOff>
    </xdr:to>
    <xdr:grpSp>
      <xdr:nvGrpSpPr>
        <xdr:cNvPr id="3288751" name="グループ化 3"/>
        <xdr:cNvGrpSpPr>
          <a:grpSpLocks/>
        </xdr:cNvGrpSpPr>
      </xdr:nvGrpSpPr>
      <xdr:grpSpPr bwMode="auto">
        <a:xfrm>
          <a:off x="3101686" y="52033343"/>
          <a:ext cx="336839" cy="615662"/>
          <a:chOff x="4956932" y="1715005"/>
          <a:chExt cx="367492" cy="648892"/>
        </a:xfrm>
      </xdr:grpSpPr>
      <xdr:grpSp>
        <xdr:nvGrpSpPr>
          <xdr:cNvPr id="3290406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408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409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656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48</xdr:col>
      <xdr:colOff>68037</xdr:colOff>
      <xdr:row>596</xdr:row>
      <xdr:rowOff>13775</xdr:rowOff>
    </xdr:from>
    <xdr:to>
      <xdr:col>49</xdr:col>
      <xdr:colOff>77331</xdr:colOff>
      <xdr:row>596</xdr:row>
      <xdr:rowOff>13775</xdr:rowOff>
    </xdr:to>
    <xdr:cxnSp macro="">
      <xdr:nvCxnSpPr>
        <xdr:cNvPr id="6659" name="直線コネクタ 6658"/>
        <xdr:cNvCxnSpPr/>
      </xdr:nvCxnSpPr>
      <xdr:spPr bwMode="auto">
        <a:xfrm>
          <a:off x="4507046" y="72385803"/>
          <a:ext cx="99153" cy="0"/>
        </a:xfrm>
        <a:prstGeom prst="line">
          <a:avLst/>
        </a:prstGeom>
        <a:ln w="12700"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19384</xdr:colOff>
      <xdr:row>587</xdr:row>
      <xdr:rowOff>3038</xdr:rowOff>
    </xdr:from>
    <xdr:to>
      <xdr:col>31</xdr:col>
      <xdr:colOff>3354</xdr:colOff>
      <xdr:row>587</xdr:row>
      <xdr:rowOff>3038</xdr:rowOff>
    </xdr:to>
    <xdr:cxnSp macro="">
      <xdr:nvCxnSpPr>
        <xdr:cNvPr id="6660" name="直線コネクタ 6659"/>
        <xdr:cNvCxnSpPr/>
      </xdr:nvCxnSpPr>
      <xdr:spPr bwMode="auto">
        <a:xfrm>
          <a:off x="2840941" y="71566340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19384</xdr:colOff>
      <xdr:row>587</xdr:row>
      <xdr:rowOff>3038</xdr:rowOff>
    </xdr:from>
    <xdr:to>
      <xdr:col>31</xdr:col>
      <xdr:colOff>3354</xdr:colOff>
      <xdr:row>587</xdr:row>
      <xdr:rowOff>3038</xdr:rowOff>
    </xdr:to>
    <xdr:cxnSp macro="">
      <xdr:nvCxnSpPr>
        <xdr:cNvPr id="6661" name="直線コネクタ 6660"/>
        <xdr:cNvCxnSpPr/>
      </xdr:nvCxnSpPr>
      <xdr:spPr bwMode="auto">
        <a:xfrm>
          <a:off x="2840941" y="71566340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</xdr:colOff>
      <xdr:row>588</xdr:row>
      <xdr:rowOff>38100</xdr:rowOff>
    </xdr:from>
    <xdr:to>
      <xdr:col>40</xdr:col>
      <xdr:colOff>66675</xdr:colOff>
      <xdr:row>593</xdr:row>
      <xdr:rowOff>28575</xdr:rowOff>
    </xdr:to>
    <xdr:grpSp>
      <xdr:nvGrpSpPr>
        <xdr:cNvPr id="3288755" name="グループ化 648"/>
        <xdr:cNvGrpSpPr>
          <a:grpSpLocks/>
        </xdr:cNvGrpSpPr>
      </xdr:nvGrpSpPr>
      <xdr:grpSpPr bwMode="auto">
        <a:xfrm flipH="1">
          <a:off x="3120736" y="51369191"/>
          <a:ext cx="548121" cy="423429"/>
          <a:chOff x="1767052" y="985345"/>
          <a:chExt cx="1193995" cy="785448"/>
        </a:xfrm>
      </xdr:grpSpPr>
      <xdr:cxnSp macro="">
        <xdr:nvCxnSpPr>
          <xdr:cNvPr id="6663" name="直線コネクタ 6662"/>
          <xdr:cNvCxnSpPr/>
        </xdr:nvCxnSpPr>
        <xdr:spPr>
          <a:xfrm flipV="1">
            <a:off x="1767052" y="985345"/>
            <a:ext cx="816944" cy="285617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64" name="直線コネクタ 6663"/>
          <xdr:cNvCxnSpPr/>
        </xdr:nvCxnSpPr>
        <xdr:spPr>
          <a:xfrm>
            <a:off x="2583996" y="985345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65" name="直線コネクタ 6664"/>
          <xdr:cNvCxnSpPr/>
        </xdr:nvCxnSpPr>
        <xdr:spPr>
          <a:xfrm>
            <a:off x="2583996" y="1556580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66" name="直線コネクタ 6665"/>
          <xdr:cNvCxnSpPr/>
        </xdr:nvCxnSpPr>
        <xdr:spPr>
          <a:xfrm>
            <a:off x="2961047" y="1181707"/>
            <a:ext cx="0" cy="58908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67" name="直線コネクタ 6666"/>
          <xdr:cNvCxnSpPr/>
        </xdr:nvCxnSpPr>
        <xdr:spPr>
          <a:xfrm>
            <a:off x="2583996" y="985345"/>
            <a:ext cx="0" cy="58908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30904</xdr:colOff>
      <xdr:row>592</xdr:row>
      <xdr:rowOff>59690</xdr:rowOff>
    </xdr:from>
    <xdr:to>
      <xdr:col>39</xdr:col>
      <xdr:colOff>4446</xdr:colOff>
      <xdr:row>594</xdr:row>
      <xdr:rowOff>64982</xdr:rowOff>
    </xdr:to>
    <xdr:sp macro="" textlink="">
      <xdr:nvSpPr>
        <xdr:cNvPr id="6668" name="テキスト ボックス 6667"/>
        <xdr:cNvSpPr txBox="1"/>
      </xdr:nvSpPr>
      <xdr:spPr>
        <a:xfrm>
          <a:off x="3122036" y="72072284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350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34926</xdr:colOff>
      <xdr:row>587</xdr:row>
      <xdr:rowOff>34924</xdr:rowOff>
    </xdr:from>
    <xdr:to>
      <xdr:col>42</xdr:col>
      <xdr:colOff>8468</xdr:colOff>
      <xdr:row>589</xdr:row>
      <xdr:rowOff>40216</xdr:rowOff>
    </xdr:to>
    <xdr:sp macro="" textlink="">
      <xdr:nvSpPr>
        <xdr:cNvPr id="6669" name="テキスト ボックス 6668"/>
        <xdr:cNvSpPr txBox="1"/>
      </xdr:nvSpPr>
      <xdr:spPr>
        <a:xfrm>
          <a:off x="3395634" y="71598226"/>
          <a:ext cx="512692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100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3085</xdr:colOff>
      <xdr:row>589</xdr:row>
      <xdr:rowOff>35922</xdr:rowOff>
    </xdr:from>
    <xdr:to>
      <xdr:col>37</xdr:col>
      <xdr:colOff>41185</xdr:colOff>
      <xdr:row>590</xdr:row>
      <xdr:rowOff>70212</xdr:rowOff>
    </xdr:to>
    <xdr:sp macro="" textlink="">
      <xdr:nvSpPr>
        <xdr:cNvPr id="6670" name="正方形/長方形 6669"/>
        <xdr:cNvSpPr/>
      </xdr:nvSpPr>
      <xdr:spPr>
        <a:xfrm>
          <a:off x="3273934" y="71778941"/>
          <a:ext cx="217817" cy="1241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33</xdr:col>
      <xdr:colOff>37822</xdr:colOff>
      <xdr:row>588</xdr:row>
      <xdr:rowOff>84303</xdr:rowOff>
    </xdr:from>
    <xdr:to>
      <xdr:col>38</xdr:col>
      <xdr:colOff>83910</xdr:colOff>
      <xdr:row>591</xdr:row>
      <xdr:rowOff>25218</xdr:rowOff>
    </xdr:to>
    <xdr:sp macro="" textlink="">
      <xdr:nvSpPr>
        <xdr:cNvPr id="6671" name="テキスト ボックス 6670"/>
        <xdr:cNvSpPr txBox="1"/>
      </xdr:nvSpPr>
      <xdr:spPr>
        <a:xfrm>
          <a:off x="3128954" y="71737463"/>
          <a:ext cx="495381" cy="210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725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29767</xdr:colOff>
      <xdr:row>592</xdr:row>
      <xdr:rowOff>11906</xdr:rowOff>
    </xdr:from>
    <xdr:to>
      <xdr:col>39</xdr:col>
      <xdr:colOff>33566</xdr:colOff>
      <xdr:row>593</xdr:row>
      <xdr:rowOff>41672</xdr:rowOff>
    </xdr:to>
    <xdr:cxnSp macro="">
      <xdr:nvCxnSpPr>
        <xdr:cNvPr id="6672" name="直線コネクタ 6671"/>
        <xdr:cNvCxnSpPr/>
      </xdr:nvCxnSpPr>
      <xdr:spPr bwMode="auto">
        <a:xfrm flipH="1" flipV="1">
          <a:off x="3390475" y="72024500"/>
          <a:ext cx="273374" cy="1196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19384</xdr:colOff>
      <xdr:row>587</xdr:row>
      <xdr:rowOff>3038</xdr:rowOff>
    </xdr:from>
    <xdr:to>
      <xdr:col>50</xdr:col>
      <xdr:colOff>3354</xdr:colOff>
      <xdr:row>587</xdr:row>
      <xdr:rowOff>3038</xdr:rowOff>
    </xdr:to>
    <xdr:cxnSp macro="">
      <xdr:nvCxnSpPr>
        <xdr:cNvPr id="6673" name="直線コネクタ 6672"/>
        <xdr:cNvCxnSpPr/>
      </xdr:nvCxnSpPr>
      <xdr:spPr bwMode="auto">
        <a:xfrm>
          <a:off x="4548252" y="71566340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38100</xdr:colOff>
      <xdr:row>588</xdr:row>
      <xdr:rowOff>38100</xdr:rowOff>
    </xdr:from>
    <xdr:to>
      <xdr:col>59</xdr:col>
      <xdr:colOff>66675</xdr:colOff>
      <xdr:row>593</xdr:row>
      <xdr:rowOff>28575</xdr:rowOff>
    </xdr:to>
    <xdr:grpSp>
      <xdr:nvGrpSpPr>
        <xdr:cNvPr id="3288762" name="グループ化 648"/>
        <xdr:cNvGrpSpPr>
          <a:grpSpLocks/>
        </xdr:cNvGrpSpPr>
      </xdr:nvGrpSpPr>
      <xdr:grpSpPr bwMode="auto">
        <a:xfrm flipH="1">
          <a:off x="4765964" y="51369191"/>
          <a:ext cx="548120" cy="423429"/>
          <a:chOff x="1767052" y="985345"/>
          <a:chExt cx="1193995" cy="785448"/>
        </a:xfrm>
      </xdr:grpSpPr>
      <xdr:cxnSp macro="">
        <xdr:nvCxnSpPr>
          <xdr:cNvPr id="6675" name="直線コネクタ 6674"/>
          <xdr:cNvCxnSpPr/>
        </xdr:nvCxnSpPr>
        <xdr:spPr>
          <a:xfrm flipV="1">
            <a:off x="1767052" y="985345"/>
            <a:ext cx="816944" cy="285617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76" name="直線コネクタ 6675"/>
          <xdr:cNvCxnSpPr/>
        </xdr:nvCxnSpPr>
        <xdr:spPr>
          <a:xfrm>
            <a:off x="2583996" y="985345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77" name="直線コネクタ 6676"/>
          <xdr:cNvCxnSpPr/>
        </xdr:nvCxnSpPr>
        <xdr:spPr>
          <a:xfrm>
            <a:off x="2583996" y="1556580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78" name="直線コネクタ 6677"/>
          <xdr:cNvCxnSpPr/>
        </xdr:nvCxnSpPr>
        <xdr:spPr>
          <a:xfrm>
            <a:off x="2961047" y="1181707"/>
            <a:ext cx="0" cy="58908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79" name="直線コネクタ 6678"/>
          <xdr:cNvCxnSpPr/>
        </xdr:nvCxnSpPr>
        <xdr:spPr>
          <a:xfrm>
            <a:off x="2583996" y="985345"/>
            <a:ext cx="0" cy="58908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30904</xdr:colOff>
      <xdr:row>592</xdr:row>
      <xdr:rowOff>59690</xdr:rowOff>
    </xdr:from>
    <xdr:to>
      <xdr:col>58</xdr:col>
      <xdr:colOff>4446</xdr:colOff>
      <xdr:row>594</xdr:row>
      <xdr:rowOff>64982</xdr:rowOff>
    </xdr:to>
    <xdr:sp macro="" textlink="">
      <xdr:nvSpPr>
        <xdr:cNvPr id="6680" name="テキスト ボックス 6679"/>
        <xdr:cNvSpPr txBox="1"/>
      </xdr:nvSpPr>
      <xdr:spPr>
        <a:xfrm>
          <a:off x="4829347" y="72072284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34926</xdr:colOff>
      <xdr:row>587</xdr:row>
      <xdr:rowOff>34924</xdr:rowOff>
    </xdr:from>
    <xdr:to>
      <xdr:col>61</xdr:col>
      <xdr:colOff>8468</xdr:colOff>
      <xdr:row>589</xdr:row>
      <xdr:rowOff>40216</xdr:rowOff>
    </xdr:to>
    <xdr:sp macro="" textlink="">
      <xdr:nvSpPr>
        <xdr:cNvPr id="6681" name="テキスト ボックス 6680"/>
        <xdr:cNvSpPr txBox="1"/>
      </xdr:nvSpPr>
      <xdr:spPr>
        <a:xfrm>
          <a:off x="5102945" y="71598226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100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3085</xdr:colOff>
      <xdr:row>589</xdr:row>
      <xdr:rowOff>35922</xdr:rowOff>
    </xdr:from>
    <xdr:to>
      <xdr:col>56</xdr:col>
      <xdr:colOff>41185</xdr:colOff>
      <xdr:row>590</xdr:row>
      <xdr:rowOff>70212</xdr:rowOff>
    </xdr:to>
    <xdr:sp macro="" textlink="">
      <xdr:nvSpPr>
        <xdr:cNvPr id="6682" name="正方形/長方形 6681"/>
        <xdr:cNvSpPr/>
      </xdr:nvSpPr>
      <xdr:spPr>
        <a:xfrm>
          <a:off x="4981245" y="71778941"/>
          <a:ext cx="217817" cy="1241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52</xdr:col>
      <xdr:colOff>37822</xdr:colOff>
      <xdr:row>588</xdr:row>
      <xdr:rowOff>84303</xdr:rowOff>
    </xdr:from>
    <xdr:to>
      <xdr:col>57</xdr:col>
      <xdr:colOff>83910</xdr:colOff>
      <xdr:row>591</xdr:row>
      <xdr:rowOff>25218</xdr:rowOff>
    </xdr:to>
    <xdr:sp macro="" textlink="">
      <xdr:nvSpPr>
        <xdr:cNvPr id="6683" name="テキスト ボックス 6682"/>
        <xdr:cNvSpPr txBox="1"/>
      </xdr:nvSpPr>
      <xdr:spPr>
        <a:xfrm>
          <a:off x="4836265" y="71737463"/>
          <a:ext cx="495381" cy="210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675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29767</xdr:colOff>
      <xdr:row>592</xdr:row>
      <xdr:rowOff>11906</xdr:rowOff>
    </xdr:from>
    <xdr:to>
      <xdr:col>58</xdr:col>
      <xdr:colOff>33566</xdr:colOff>
      <xdr:row>593</xdr:row>
      <xdr:rowOff>41672</xdr:rowOff>
    </xdr:to>
    <xdr:cxnSp macro="">
      <xdr:nvCxnSpPr>
        <xdr:cNvPr id="6684" name="直線コネクタ 6683"/>
        <xdr:cNvCxnSpPr/>
      </xdr:nvCxnSpPr>
      <xdr:spPr bwMode="auto">
        <a:xfrm flipH="1" flipV="1">
          <a:off x="5097786" y="72024500"/>
          <a:ext cx="273374" cy="11962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50402</xdr:colOff>
      <xdr:row>602</xdr:row>
      <xdr:rowOff>49609</xdr:rowOff>
    </xdr:from>
    <xdr:to>
      <xdr:col>54</xdr:col>
      <xdr:colOff>86783</xdr:colOff>
      <xdr:row>605</xdr:row>
      <xdr:rowOff>49609</xdr:rowOff>
    </xdr:to>
    <xdr:sp macro="" textlink="">
      <xdr:nvSpPr>
        <xdr:cNvPr id="6685" name="Rectangle 218"/>
        <xdr:cNvSpPr>
          <a:spLocks noChangeArrowheads="1"/>
        </xdr:cNvSpPr>
      </xdr:nvSpPr>
      <xdr:spPr bwMode="auto">
        <a:xfrm>
          <a:off x="4309694" y="72960788"/>
          <a:ext cx="755249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30</xdr:col>
      <xdr:colOff>6804</xdr:colOff>
      <xdr:row>607</xdr:row>
      <xdr:rowOff>83046</xdr:rowOff>
    </xdr:from>
    <xdr:to>
      <xdr:col>30</xdr:col>
      <xdr:colOff>81311</xdr:colOff>
      <xdr:row>607</xdr:row>
      <xdr:rowOff>83046</xdr:rowOff>
    </xdr:to>
    <xdr:cxnSp macro="">
      <xdr:nvCxnSpPr>
        <xdr:cNvPr id="6686" name="直線コネクタ 6685"/>
        <xdr:cNvCxnSpPr/>
      </xdr:nvCxnSpPr>
      <xdr:spPr bwMode="auto">
        <a:xfrm>
          <a:off x="2828361" y="73443518"/>
          <a:ext cx="74507" cy="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66675</xdr:colOff>
      <xdr:row>604</xdr:row>
      <xdr:rowOff>57150</xdr:rowOff>
    </xdr:from>
    <xdr:to>
      <xdr:col>61</xdr:col>
      <xdr:colOff>0</xdr:colOff>
      <xdr:row>612</xdr:row>
      <xdr:rowOff>28575</xdr:rowOff>
    </xdr:to>
    <xdr:grpSp>
      <xdr:nvGrpSpPr>
        <xdr:cNvPr id="3288770" name="グループ化 2528"/>
        <xdr:cNvGrpSpPr>
          <a:grpSpLocks/>
        </xdr:cNvGrpSpPr>
      </xdr:nvGrpSpPr>
      <xdr:grpSpPr bwMode="auto">
        <a:xfrm>
          <a:off x="3322493" y="52773695"/>
          <a:ext cx="2098098" cy="664153"/>
          <a:chOff x="13451336" y="18108261"/>
          <a:chExt cx="2108441" cy="662519"/>
        </a:xfrm>
      </xdr:grpSpPr>
      <xdr:grpSp>
        <xdr:nvGrpSpPr>
          <xdr:cNvPr id="3290377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290380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1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2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3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4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5" name="直線コネクタ 16"/>
            <xdr:cNvCxnSpPr>
              <a:cxnSpLocks noChangeShapeType="1"/>
            </xdr:cNvCxnSpPr>
          </xdr:nvCxnSpPr>
          <xdr:spPr bwMode="auto">
            <a:xfrm>
              <a:off x="2961257" y="2505490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6" name="直線コネクタ 18"/>
            <xdr:cNvCxnSpPr>
              <a:cxnSpLocks noChangeShapeType="1"/>
            </xdr:cNvCxnSpPr>
          </xdr:nvCxnSpPr>
          <xdr:spPr bwMode="auto">
            <a:xfrm>
              <a:off x="3085767" y="2504661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7" name="直線コネクタ 19"/>
            <xdr:cNvCxnSpPr>
              <a:cxnSpLocks noChangeShapeType="1"/>
            </xdr:cNvCxnSpPr>
          </xdr:nvCxnSpPr>
          <xdr:spPr bwMode="auto">
            <a:xfrm>
              <a:off x="3212929" y="2500519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8" name="直線コネクタ 20"/>
            <xdr:cNvCxnSpPr>
              <a:cxnSpLocks noChangeShapeType="1"/>
            </xdr:cNvCxnSpPr>
          </xdr:nvCxnSpPr>
          <xdr:spPr bwMode="auto">
            <a:xfrm>
              <a:off x="3332692" y="2499692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89" name="直線コネクタ 21"/>
            <xdr:cNvCxnSpPr>
              <a:cxnSpLocks noChangeShapeType="1"/>
            </xdr:cNvCxnSpPr>
          </xdr:nvCxnSpPr>
          <xdr:spPr bwMode="auto">
            <a:xfrm>
              <a:off x="3459857" y="2503832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90" name="直線コネクタ 22"/>
            <xdr:cNvCxnSpPr>
              <a:cxnSpLocks noChangeShapeType="1"/>
            </xdr:cNvCxnSpPr>
          </xdr:nvCxnSpPr>
          <xdr:spPr bwMode="auto">
            <a:xfrm>
              <a:off x="3589114" y="2503005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91" name="直線コネクタ 23"/>
            <xdr:cNvCxnSpPr>
              <a:cxnSpLocks noChangeShapeType="1"/>
            </xdr:cNvCxnSpPr>
          </xdr:nvCxnSpPr>
          <xdr:spPr bwMode="auto">
            <a:xfrm>
              <a:off x="3709097" y="2503005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92" name="直線コネクタ 24"/>
            <xdr:cNvCxnSpPr>
              <a:cxnSpLocks noChangeShapeType="1"/>
            </xdr:cNvCxnSpPr>
          </xdr:nvCxnSpPr>
          <xdr:spPr bwMode="auto">
            <a:xfrm>
              <a:off x="3828859" y="2502177"/>
              <a:ext cx="0" cy="554013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93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94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90395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290378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79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50</xdr:col>
      <xdr:colOff>58624</xdr:colOff>
      <xdr:row>609</xdr:row>
      <xdr:rowOff>71932</xdr:rowOff>
    </xdr:from>
    <xdr:to>
      <xdr:col>59</xdr:col>
      <xdr:colOff>9280</xdr:colOff>
      <xdr:row>612</xdr:row>
      <xdr:rowOff>71933</xdr:rowOff>
    </xdr:to>
    <xdr:sp macro="" textlink="">
      <xdr:nvSpPr>
        <xdr:cNvPr id="6707" name="Rectangle 218"/>
        <xdr:cNvSpPr>
          <a:spLocks noChangeArrowheads="1"/>
        </xdr:cNvSpPr>
      </xdr:nvSpPr>
      <xdr:spPr bwMode="auto">
        <a:xfrm>
          <a:off x="4677350" y="73612121"/>
          <a:ext cx="759383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79715</xdr:colOff>
      <xdr:row>610</xdr:row>
      <xdr:rowOff>55256</xdr:rowOff>
    </xdr:from>
    <xdr:to>
      <xdr:col>45</xdr:col>
      <xdr:colOff>26799</xdr:colOff>
      <xdr:row>613</xdr:row>
      <xdr:rowOff>55257</xdr:rowOff>
    </xdr:to>
    <xdr:sp macro="" textlink="">
      <xdr:nvSpPr>
        <xdr:cNvPr id="6708" name="Rectangle 218"/>
        <xdr:cNvSpPr>
          <a:spLocks noChangeArrowheads="1"/>
        </xdr:cNvSpPr>
      </xdr:nvSpPr>
      <xdr:spPr bwMode="auto">
        <a:xfrm>
          <a:off x="3440423" y="73685303"/>
          <a:ext cx="755810" cy="269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66675</xdr:colOff>
      <xdr:row>616</xdr:row>
      <xdr:rowOff>47625</xdr:rowOff>
    </xdr:from>
    <xdr:to>
      <xdr:col>39</xdr:col>
      <xdr:colOff>47625</xdr:colOff>
      <xdr:row>618</xdr:row>
      <xdr:rowOff>47625</xdr:rowOff>
    </xdr:to>
    <xdr:grpSp>
      <xdr:nvGrpSpPr>
        <xdr:cNvPr id="3288773" name="グループ化 700"/>
        <xdr:cNvGrpSpPr>
          <a:grpSpLocks/>
        </xdr:cNvGrpSpPr>
      </xdr:nvGrpSpPr>
      <xdr:grpSpPr bwMode="auto">
        <a:xfrm>
          <a:off x="3495675" y="53803261"/>
          <a:ext cx="67541" cy="173182"/>
          <a:chOff x="3165758" y="15657662"/>
          <a:chExt cx="67219" cy="163244"/>
        </a:xfrm>
      </xdr:grpSpPr>
      <xdr:sp macro="" textlink="">
        <xdr:nvSpPr>
          <xdr:cNvPr id="3290374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75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76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615</xdr:row>
      <xdr:rowOff>9525</xdr:rowOff>
    </xdr:from>
    <xdr:to>
      <xdr:col>54</xdr:col>
      <xdr:colOff>28575</xdr:colOff>
      <xdr:row>621</xdr:row>
      <xdr:rowOff>9525</xdr:rowOff>
    </xdr:to>
    <xdr:grpSp>
      <xdr:nvGrpSpPr>
        <xdr:cNvPr id="3288774" name="グループ化 702"/>
        <xdr:cNvGrpSpPr>
          <a:grpSpLocks/>
        </xdr:cNvGrpSpPr>
      </xdr:nvGrpSpPr>
      <xdr:grpSpPr bwMode="auto">
        <a:xfrm>
          <a:off x="3649807" y="53678570"/>
          <a:ext cx="1193223" cy="519546"/>
          <a:chOff x="3634154" y="15407680"/>
          <a:chExt cx="1158481" cy="500696"/>
        </a:xfrm>
      </xdr:grpSpPr>
      <xdr:sp macro="" textlink="">
        <xdr:nvSpPr>
          <xdr:cNvPr id="6714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370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71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72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718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53</xdr:col>
      <xdr:colOff>0</xdr:colOff>
      <xdr:row>598</xdr:row>
      <xdr:rowOff>57150</xdr:rowOff>
    </xdr:from>
    <xdr:to>
      <xdr:col>60</xdr:col>
      <xdr:colOff>38100</xdr:colOff>
      <xdr:row>600</xdr:row>
      <xdr:rowOff>0</xdr:rowOff>
    </xdr:to>
    <xdr:grpSp>
      <xdr:nvGrpSpPr>
        <xdr:cNvPr id="3288775" name="グループ化 5"/>
        <xdr:cNvGrpSpPr>
          <a:grpSpLocks/>
        </xdr:cNvGrpSpPr>
      </xdr:nvGrpSpPr>
      <xdr:grpSpPr bwMode="auto">
        <a:xfrm>
          <a:off x="4727864" y="52254150"/>
          <a:ext cx="644236" cy="116032"/>
          <a:chOff x="4791075" y="2762250"/>
          <a:chExt cx="714375" cy="142875"/>
        </a:xfrm>
      </xdr:grpSpPr>
      <xdr:sp macro="" textlink="">
        <xdr:nvSpPr>
          <xdr:cNvPr id="3290367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368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36</xdr:col>
      <xdr:colOff>76200</xdr:colOff>
      <xdr:row>620</xdr:row>
      <xdr:rowOff>66675</xdr:rowOff>
    </xdr:from>
    <xdr:to>
      <xdr:col>56</xdr:col>
      <xdr:colOff>66675</xdr:colOff>
      <xdr:row>628</xdr:row>
      <xdr:rowOff>28575</xdr:rowOff>
    </xdr:to>
    <xdr:grpSp>
      <xdr:nvGrpSpPr>
        <xdr:cNvPr id="3288776" name="グループ化 3"/>
        <xdr:cNvGrpSpPr>
          <a:grpSpLocks/>
        </xdr:cNvGrpSpPr>
      </xdr:nvGrpSpPr>
      <xdr:grpSpPr bwMode="auto">
        <a:xfrm>
          <a:off x="3332018" y="54168675"/>
          <a:ext cx="1722293" cy="654627"/>
          <a:chOff x="3191675" y="62632037"/>
          <a:chExt cx="1739148" cy="664375"/>
        </a:xfrm>
      </xdr:grpSpPr>
      <xdr:sp macro="" textlink="">
        <xdr:nvSpPr>
          <xdr:cNvPr id="3290350" name="Freeform 227"/>
          <xdr:cNvSpPr>
            <a:spLocks/>
          </xdr:cNvSpPr>
        </xdr:nvSpPr>
        <xdr:spPr bwMode="auto">
          <a:xfrm rot="3200040">
            <a:off x="4151524" y="62870945"/>
            <a:ext cx="134034" cy="7136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724" name="Rectangle 228"/>
          <xdr:cNvSpPr>
            <a:spLocks noChangeArrowheads="1"/>
          </xdr:cNvSpPr>
        </xdr:nvSpPr>
        <xdr:spPr bwMode="auto">
          <a:xfrm>
            <a:off x="3968948" y="62856752"/>
            <a:ext cx="514943" cy="3810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grpSp>
        <xdr:nvGrpSpPr>
          <xdr:cNvPr id="3290352" name="グループ化 2"/>
          <xdr:cNvGrpSpPr>
            <a:grpSpLocks/>
          </xdr:cNvGrpSpPr>
        </xdr:nvGrpSpPr>
        <xdr:grpSpPr bwMode="auto">
          <a:xfrm>
            <a:off x="3191675" y="62632037"/>
            <a:ext cx="1739148" cy="664375"/>
            <a:chOff x="3191675" y="62632037"/>
            <a:chExt cx="1739148" cy="664375"/>
          </a:xfrm>
        </xdr:grpSpPr>
        <xdr:grpSp>
          <xdr:nvGrpSpPr>
            <xdr:cNvPr id="3290353" name="Group 63"/>
            <xdr:cNvGrpSpPr>
              <a:grpSpLocks/>
            </xdr:cNvGrpSpPr>
          </xdr:nvGrpSpPr>
          <xdr:grpSpPr bwMode="auto">
            <a:xfrm>
              <a:off x="3359198" y="62679589"/>
              <a:ext cx="1571625" cy="495300"/>
              <a:chOff x="1213" y="519"/>
              <a:chExt cx="165" cy="52"/>
            </a:xfrm>
          </xdr:grpSpPr>
          <xdr:sp macro="" textlink="">
            <xdr:nvSpPr>
              <xdr:cNvPr id="3290358" name="Line 64"/>
              <xdr:cNvSpPr>
                <a:spLocks noChangeShapeType="1"/>
              </xdr:cNvSpPr>
            </xdr:nvSpPr>
            <xdr:spPr bwMode="auto">
              <a:xfrm flipH="1" flipV="1">
                <a:off x="1274" y="520"/>
                <a:ext cx="27" cy="2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59" name="Line 65"/>
              <xdr:cNvSpPr>
                <a:spLocks noChangeShapeType="1"/>
              </xdr:cNvSpPr>
            </xdr:nvSpPr>
            <xdr:spPr bwMode="auto">
              <a:xfrm flipV="1">
                <a:off x="1214" y="519"/>
                <a:ext cx="59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60" name="Line 66"/>
              <xdr:cNvSpPr>
                <a:spLocks noChangeShapeType="1"/>
              </xdr:cNvSpPr>
            </xdr:nvSpPr>
            <xdr:spPr bwMode="auto">
              <a:xfrm>
                <a:off x="1300" y="545"/>
                <a:ext cx="77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61" name="Line 67"/>
              <xdr:cNvSpPr>
                <a:spLocks noChangeShapeType="1"/>
              </xdr:cNvSpPr>
            </xdr:nvSpPr>
            <xdr:spPr bwMode="auto">
              <a:xfrm>
                <a:off x="1273" y="519"/>
                <a:ext cx="105" cy="3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62" name="Line 68"/>
              <xdr:cNvSpPr>
                <a:spLocks noChangeShapeType="1"/>
              </xdr:cNvSpPr>
            </xdr:nvSpPr>
            <xdr:spPr bwMode="auto">
              <a:xfrm>
                <a:off x="1274" y="537"/>
                <a:ext cx="24" cy="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63" name="Line 69"/>
              <xdr:cNvSpPr>
                <a:spLocks noChangeShapeType="1"/>
              </xdr:cNvSpPr>
            </xdr:nvSpPr>
            <xdr:spPr bwMode="auto">
              <a:xfrm flipH="1">
                <a:off x="1213" y="536"/>
                <a:ext cx="59" cy="2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64" name="Line 70"/>
              <xdr:cNvSpPr>
                <a:spLocks noChangeShapeType="1"/>
              </xdr:cNvSpPr>
            </xdr:nvSpPr>
            <xdr:spPr bwMode="auto">
              <a:xfrm>
                <a:off x="1273" y="521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65" name="Line 72"/>
              <xdr:cNvSpPr>
                <a:spLocks noChangeShapeType="1"/>
              </xdr:cNvSpPr>
            </xdr:nvSpPr>
            <xdr:spPr bwMode="auto">
              <a:xfrm>
                <a:off x="1214" y="545"/>
                <a:ext cx="0" cy="1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366" name="Line 75"/>
              <xdr:cNvSpPr>
                <a:spLocks noChangeShapeType="1"/>
              </xdr:cNvSpPr>
            </xdr:nvSpPr>
            <xdr:spPr bwMode="auto">
              <a:xfrm>
                <a:off x="1377" y="557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727" name="テキスト ボックス 6726"/>
            <xdr:cNvSpPr txBox="1"/>
          </xdr:nvSpPr>
          <xdr:spPr bwMode="auto">
            <a:xfrm>
              <a:off x="4240993" y="63052156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6728" name="正方形/長方形 6727"/>
            <xdr:cNvSpPr/>
          </xdr:nvSpPr>
          <xdr:spPr>
            <a:xfrm>
              <a:off x="4085539" y="62641807"/>
              <a:ext cx="223466" cy="15632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ja-JP" altLang="en-US"/>
            </a:p>
          </xdr:txBody>
        </xdr:sp>
        <xdr:sp macro="" textlink="">
          <xdr:nvSpPr>
            <xdr:cNvPr id="6729" name="テキスト ボックス 6728"/>
            <xdr:cNvSpPr txBox="1"/>
          </xdr:nvSpPr>
          <xdr:spPr bwMode="auto">
            <a:xfrm>
              <a:off x="3949516" y="62632037"/>
              <a:ext cx="446932" cy="2149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280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6730" name="テキスト ボックス 6729"/>
            <xdr:cNvSpPr txBox="1"/>
          </xdr:nvSpPr>
          <xdr:spPr bwMode="auto">
            <a:xfrm>
              <a:off x="3191675" y="62632037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350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</xdr:grpSp>
    <xdr:clientData/>
  </xdr:twoCellAnchor>
  <xdr:oneCellAnchor>
    <xdr:from>
      <xdr:col>69</xdr:col>
      <xdr:colOff>62593</xdr:colOff>
      <xdr:row>568</xdr:row>
      <xdr:rowOff>16600</xdr:rowOff>
    </xdr:from>
    <xdr:ext cx="423193" cy="183384"/>
    <xdr:sp macro="" textlink="">
      <xdr:nvSpPr>
        <xdr:cNvPr id="6740" name="Rectangle 217"/>
        <xdr:cNvSpPr>
          <a:spLocks noChangeArrowheads="1"/>
        </xdr:cNvSpPr>
      </xdr:nvSpPr>
      <xdr:spPr bwMode="auto">
        <a:xfrm>
          <a:off x="6110968" y="4912750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566</xdr:row>
      <xdr:rowOff>19050</xdr:rowOff>
    </xdr:from>
    <xdr:to>
      <xdr:col>74</xdr:col>
      <xdr:colOff>0</xdr:colOff>
      <xdr:row>567</xdr:row>
      <xdr:rowOff>66675</xdr:rowOff>
    </xdr:to>
    <xdr:grpSp>
      <xdr:nvGrpSpPr>
        <xdr:cNvPr id="3288778" name="Group 350"/>
        <xdr:cNvGrpSpPr>
          <a:grpSpLocks/>
        </xdr:cNvGrpSpPr>
      </xdr:nvGrpSpPr>
      <xdr:grpSpPr bwMode="auto">
        <a:xfrm>
          <a:off x="6151418" y="49445141"/>
          <a:ext cx="394855" cy="134216"/>
          <a:chOff x="340" y="51"/>
          <a:chExt cx="60" cy="20"/>
        </a:xfrm>
      </xdr:grpSpPr>
      <xdr:sp macro="" textlink="">
        <xdr:nvSpPr>
          <xdr:cNvPr id="3290347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348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349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578</xdr:row>
      <xdr:rowOff>3038</xdr:rowOff>
    </xdr:from>
    <xdr:to>
      <xdr:col>71</xdr:col>
      <xdr:colOff>3354</xdr:colOff>
      <xdr:row>578</xdr:row>
      <xdr:rowOff>3038</xdr:rowOff>
    </xdr:to>
    <xdr:cxnSp macro="">
      <xdr:nvCxnSpPr>
        <xdr:cNvPr id="6775" name="直線コネクタ 6774"/>
        <xdr:cNvCxnSpPr/>
      </xdr:nvCxnSpPr>
      <xdr:spPr bwMode="auto">
        <a:xfrm>
          <a:off x="6435280" y="70757613"/>
          <a:ext cx="73829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76200</xdr:colOff>
      <xdr:row>580</xdr:row>
      <xdr:rowOff>0</xdr:rowOff>
    </xdr:from>
    <xdr:to>
      <xdr:col>80</xdr:col>
      <xdr:colOff>0</xdr:colOff>
      <xdr:row>583</xdr:row>
      <xdr:rowOff>0</xdr:rowOff>
    </xdr:to>
    <xdr:grpSp>
      <xdr:nvGrpSpPr>
        <xdr:cNvPr id="3288780" name="グループ化 1"/>
        <xdr:cNvGrpSpPr>
          <a:grpSpLocks/>
        </xdr:cNvGrpSpPr>
      </xdr:nvGrpSpPr>
      <xdr:grpSpPr bwMode="auto">
        <a:xfrm>
          <a:off x="6709064" y="50638364"/>
          <a:ext cx="356754" cy="259772"/>
          <a:chOff x="3724275" y="1824264"/>
          <a:chExt cx="390526" cy="286252"/>
        </a:xfrm>
      </xdr:grpSpPr>
      <xdr:sp macro="" textlink="">
        <xdr:nvSpPr>
          <xdr:cNvPr id="3290344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45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346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76200</xdr:colOff>
      <xdr:row>580</xdr:row>
      <xdr:rowOff>0</xdr:rowOff>
    </xdr:from>
    <xdr:to>
      <xdr:col>99</xdr:col>
      <xdr:colOff>0</xdr:colOff>
      <xdr:row>583</xdr:row>
      <xdr:rowOff>0</xdr:rowOff>
    </xdr:to>
    <xdr:grpSp>
      <xdr:nvGrpSpPr>
        <xdr:cNvPr id="3288781" name="グループ化 1"/>
        <xdr:cNvGrpSpPr>
          <a:grpSpLocks/>
        </xdr:cNvGrpSpPr>
      </xdr:nvGrpSpPr>
      <xdr:grpSpPr bwMode="auto">
        <a:xfrm>
          <a:off x="8354291" y="50638364"/>
          <a:ext cx="356754" cy="259772"/>
          <a:chOff x="3724275" y="1824264"/>
          <a:chExt cx="390526" cy="286252"/>
        </a:xfrm>
      </xdr:grpSpPr>
      <xdr:sp macro="" textlink="">
        <xdr:nvSpPr>
          <xdr:cNvPr id="3290341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42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343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587</xdr:row>
      <xdr:rowOff>3038</xdr:rowOff>
    </xdr:from>
    <xdr:to>
      <xdr:col>71</xdr:col>
      <xdr:colOff>3354</xdr:colOff>
      <xdr:row>587</xdr:row>
      <xdr:rowOff>3038</xdr:rowOff>
    </xdr:to>
    <xdr:cxnSp macro="">
      <xdr:nvCxnSpPr>
        <xdr:cNvPr id="6784" name="直線コネクタ 6783"/>
        <xdr:cNvCxnSpPr/>
      </xdr:nvCxnSpPr>
      <xdr:spPr bwMode="auto">
        <a:xfrm>
          <a:off x="6435280" y="71566340"/>
          <a:ext cx="73829" cy="0"/>
        </a:xfrm>
        <a:prstGeom prst="line">
          <a:avLst/>
        </a:prstGeom>
        <a:ln w="57150">
          <a:solidFill>
            <a:srgbClr val="00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78607</xdr:colOff>
      <xdr:row>596</xdr:row>
      <xdr:rowOff>17109</xdr:rowOff>
    </xdr:from>
    <xdr:to>
      <xdr:col>70</xdr:col>
      <xdr:colOff>67138</xdr:colOff>
      <xdr:row>596</xdr:row>
      <xdr:rowOff>17208</xdr:rowOff>
    </xdr:to>
    <xdr:cxnSp macro="">
      <xdr:nvCxnSpPr>
        <xdr:cNvPr id="6793" name="直線コネクタ 6792"/>
        <xdr:cNvCxnSpPr/>
      </xdr:nvCxnSpPr>
      <xdr:spPr>
        <a:xfrm flipH="1" flipV="1">
          <a:off x="6404645" y="72389137"/>
          <a:ext cx="78389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9525</xdr:colOff>
      <xdr:row>605</xdr:row>
      <xdr:rowOff>0</xdr:rowOff>
    </xdr:from>
    <xdr:to>
      <xdr:col>100</xdr:col>
      <xdr:colOff>76200</xdr:colOff>
      <xdr:row>610</xdr:row>
      <xdr:rowOff>57150</xdr:rowOff>
    </xdr:to>
    <xdr:grpSp>
      <xdr:nvGrpSpPr>
        <xdr:cNvPr id="3288784" name="グループ化 31"/>
        <xdr:cNvGrpSpPr>
          <a:grpSpLocks/>
        </xdr:cNvGrpSpPr>
      </xdr:nvGrpSpPr>
      <xdr:grpSpPr bwMode="auto">
        <a:xfrm>
          <a:off x="6642389" y="52803136"/>
          <a:ext cx="2231447" cy="490105"/>
          <a:chOff x="2070308" y="2363715"/>
          <a:chExt cx="2820993" cy="695788"/>
        </a:xfrm>
      </xdr:grpSpPr>
      <xdr:cxnSp macro="">
        <xdr:nvCxnSpPr>
          <xdr:cNvPr id="3290326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27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28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29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0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1" name="直線コネクタ 16"/>
          <xdr:cNvCxnSpPr>
            <a:cxnSpLocks noChangeShapeType="1"/>
          </xdr:cNvCxnSpPr>
        </xdr:nvCxnSpPr>
        <xdr:spPr bwMode="auto">
          <a:xfrm>
            <a:off x="3010386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2" name="直線コネクタ 18"/>
          <xdr:cNvCxnSpPr>
            <a:cxnSpLocks noChangeShapeType="1"/>
          </xdr:cNvCxnSpPr>
        </xdr:nvCxnSpPr>
        <xdr:spPr bwMode="auto">
          <a:xfrm>
            <a:off x="3158645" y="2504662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3" name="直線コネクタ 19"/>
          <xdr:cNvCxnSpPr>
            <a:cxnSpLocks noChangeShapeType="1"/>
          </xdr:cNvCxnSpPr>
        </xdr:nvCxnSpPr>
        <xdr:spPr bwMode="auto">
          <a:xfrm>
            <a:off x="3295307" y="250051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4" name="直線コネクタ 20"/>
          <xdr:cNvCxnSpPr>
            <a:cxnSpLocks noChangeShapeType="1"/>
          </xdr:cNvCxnSpPr>
        </xdr:nvCxnSpPr>
        <xdr:spPr bwMode="auto">
          <a:xfrm>
            <a:off x="3443565" y="2499691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5" name="直線コネクタ 21"/>
          <xdr:cNvCxnSpPr>
            <a:cxnSpLocks noChangeShapeType="1"/>
          </xdr:cNvCxnSpPr>
        </xdr:nvCxnSpPr>
        <xdr:spPr bwMode="auto">
          <a:xfrm>
            <a:off x="3580227" y="2503832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6" name="直線コネクタ 22"/>
          <xdr:cNvCxnSpPr>
            <a:cxnSpLocks noChangeShapeType="1"/>
          </xdr:cNvCxnSpPr>
        </xdr:nvCxnSpPr>
        <xdr:spPr bwMode="auto">
          <a:xfrm>
            <a:off x="3728487" y="2503004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7" name="直線コネクタ 23"/>
          <xdr:cNvCxnSpPr>
            <a:cxnSpLocks noChangeShapeType="1"/>
          </xdr:cNvCxnSpPr>
        </xdr:nvCxnSpPr>
        <xdr:spPr bwMode="auto">
          <a:xfrm>
            <a:off x="3881714" y="2503004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8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39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90340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83</xdr:col>
      <xdr:colOff>60324</xdr:colOff>
      <xdr:row>602</xdr:row>
      <xdr:rowOff>79375</xdr:rowOff>
    </xdr:from>
    <xdr:to>
      <xdr:col>92</xdr:col>
      <xdr:colOff>7408</xdr:colOff>
      <xdr:row>605</xdr:row>
      <xdr:rowOff>79375</xdr:rowOff>
    </xdr:to>
    <xdr:sp macro="" textlink="">
      <xdr:nvSpPr>
        <xdr:cNvPr id="6811" name="Rectangle 218"/>
        <xdr:cNvSpPr>
          <a:spLocks noChangeArrowheads="1"/>
        </xdr:cNvSpPr>
      </xdr:nvSpPr>
      <xdr:spPr bwMode="auto">
        <a:xfrm>
          <a:off x="7644381" y="72990554"/>
          <a:ext cx="755810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74</xdr:col>
      <xdr:colOff>14816</xdr:colOff>
      <xdr:row>609</xdr:row>
      <xdr:rowOff>65616</xdr:rowOff>
    </xdr:from>
    <xdr:to>
      <xdr:col>82</xdr:col>
      <xdr:colOff>46567</xdr:colOff>
      <xdr:row>612</xdr:row>
      <xdr:rowOff>65616</xdr:rowOff>
    </xdr:to>
    <xdr:sp macro="" textlink="">
      <xdr:nvSpPr>
        <xdr:cNvPr id="6812" name="Rectangle 218"/>
        <xdr:cNvSpPr>
          <a:spLocks noChangeArrowheads="1"/>
        </xdr:cNvSpPr>
      </xdr:nvSpPr>
      <xdr:spPr bwMode="auto">
        <a:xfrm>
          <a:off x="6790146" y="73605805"/>
          <a:ext cx="750619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91</xdr:col>
      <xdr:colOff>61383</xdr:colOff>
      <xdr:row>609</xdr:row>
      <xdr:rowOff>69849</xdr:rowOff>
    </xdr:from>
    <xdr:to>
      <xdr:col>100</xdr:col>
      <xdr:colOff>8467</xdr:colOff>
      <xdr:row>612</xdr:row>
      <xdr:rowOff>69849</xdr:rowOff>
    </xdr:to>
    <xdr:sp macro="" textlink="">
      <xdr:nvSpPr>
        <xdr:cNvPr id="6813" name="Rectangle 218"/>
        <xdr:cNvSpPr>
          <a:spLocks noChangeArrowheads="1"/>
        </xdr:cNvSpPr>
      </xdr:nvSpPr>
      <xdr:spPr bwMode="auto">
        <a:xfrm>
          <a:off x="8364308" y="73610038"/>
          <a:ext cx="755810" cy="26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83</xdr:col>
      <xdr:colOff>84666</xdr:colOff>
      <xdr:row>610</xdr:row>
      <xdr:rowOff>14816</xdr:rowOff>
    </xdr:from>
    <xdr:to>
      <xdr:col>92</xdr:col>
      <xdr:colOff>27517</xdr:colOff>
      <xdr:row>613</xdr:row>
      <xdr:rowOff>14816</xdr:rowOff>
    </xdr:to>
    <xdr:sp macro="" textlink="">
      <xdr:nvSpPr>
        <xdr:cNvPr id="6814" name="Rectangle 218"/>
        <xdr:cNvSpPr>
          <a:spLocks noChangeArrowheads="1"/>
        </xdr:cNvSpPr>
      </xdr:nvSpPr>
      <xdr:spPr bwMode="auto">
        <a:xfrm>
          <a:off x="7668723" y="73644863"/>
          <a:ext cx="751577" cy="26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74</xdr:col>
      <xdr:colOff>19050</xdr:colOff>
      <xdr:row>596</xdr:row>
      <xdr:rowOff>9525</xdr:rowOff>
    </xdr:from>
    <xdr:to>
      <xdr:col>78</xdr:col>
      <xdr:colOff>9525</xdr:colOff>
      <xdr:row>603</xdr:row>
      <xdr:rowOff>19050</xdr:rowOff>
    </xdr:to>
    <xdr:grpSp>
      <xdr:nvGrpSpPr>
        <xdr:cNvPr id="3288789" name="グループ化 3"/>
        <xdr:cNvGrpSpPr>
          <a:grpSpLocks/>
        </xdr:cNvGrpSpPr>
      </xdr:nvGrpSpPr>
      <xdr:grpSpPr bwMode="auto">
        <a:xfrm>
          <a:off x="6565323" y="52033343"/>
          <a:ext cx="336838" cy="615662"/>
          <a:chOff x="4956932" y="1715005"/>
          <a:chExt cx="367492" cy="648892"/>
        </a:xfrm>
      </xdr:grpSpPr>
      <xdr:grpSp>
        <xdr:nvGrpSpPr>
          <xdr:cNvPr id="3290322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90324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90325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817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70</xdr:col>
      <xdr:colOff>6804</xdr:colOff>
      <xdr:row>607</xdr:row>
      <xdr:rowOff>6804</xdr:rowOff>
    </xdr:from>
    <xdr:to>
      <xdr:col>70</xdr:col>
      <xdr:colOff>81311</xdr:colOff>
      <xdr:row>607</xdr:row>
      <xdr:rowOff>6804</xdr:rowOff>
    </xdr:to>
    <xdr:cxnSp macro="">
      <xdr:nvCxnSpPr>
        <xdr:cNvPr id="6821" name="直線コネクタ 6820"/>
        <xdr:cNvCxnSpPr/>
      </xdr:nvCxnSpPr>
      <xdr:spPr bwMode="auto">
        <a:xfrm>
          <a:off x="6422700" y="73367276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0</xdr:colOff>
      <xdr:row>598</xdr:row>
      <xdr:rowOff>57150</xdr:rowOff>
    </xdr:from>
    <xdr:to>
      <xdr:col>100</xdr:col>
      <xdr:colOff>38100</xdr:colOff>
      <xdr:row>600</xdr:row>
      <xdr:rowOff>0</xdr:rowOff>
    </xdr:to>
    <xdr:grpSp>
      <xdr:nvGrpSpPr>
        <xdr:cNvPr id="3288791" name="グループ化 5"/>
        <xdr:cNvGrpSpPr>
          <a:grpSpLocks/>
        </xdr:cNvGrpSpPr>
      </xdr:nvGrpSpPr>
      <xdr:grpSpPr bwMode="auto">
        <a:xfrm>
          <a:off x="8191500" y="52254150"/>
          <a:ext cx="644236" cy="116032"/>
          <a:chOff x="4791075" y="2762250"/>
          <a:chExt cx="714375" cy="142875"/>
        </a:xfrm>
      </xdr:grpSpPr>
      <xdr:sp macro="" textlink="">
        <xdr:nvSpPr>
          <xdr:cNvPr id="3290320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0321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78</xdr:col>
      <xdr:colOff>66675</xdr:colOff>
      <xdr:row>616</xdr:row>
      <xdr:rowOff>47625</xdr:rowOff>
    </xdr:from>
    <xdr:to>
      <xdr:col>79</xdr:col>
      <xdr:colOff>47625</xdr:colOff>
      <xdr:row>618</xdr:row>
      <xdr:rowOff>47625</xdr:rowOff>
    </xdr:to>
    <xdr:grpSp>
      <xdr:nvGrpSpPr>
        <xdr:cNvPr id="3288792" name="グループ化 700"/>
        <xdr:cNvGrpSpPr>
          <a:grpSpLocks/>
        </xdr:cNvGrpSpPr>
      </xdr:nvGrpSpPr>
      <xdr:grpSpPr bwMode="auto">
        <a:xfrm>
          <a:off x="6959311" y="53803261"/>
          <a:ext cx="67541" cy="173182"/>
          <a:chOff x="3165758" y="15657662"/>
          <a:chExt cx="67219" cy="163244"/>
        </a:xfrm>
      </xdr:grpSpPr>
      <xdr:sp macro="" textlink="">
        <xdr:nvSpPr>
          <xdr:cNvPr id="3290317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18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19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615</xdr:row>
      <xdr:rowOff>9525</xdr:rowOff>
    </xdr:from>
    <xdr:to>
      <xdr:col>94</xdr:col>
      <xdr:colOff>28575</xdr:colOff>
      <xdr:row>621</xdr:row>
      <xdr:rowOff>9525</xdr:rowOff>
    </xdr:to>
    <xdr:grpSp>
      <xdr:nvGrpSpPr>
        <xdr:cNvPr id="3288793" name="グループ化 702"/>
        <xdr:cNvGrpSpPr>
          <a:grpSpLocks/>
        </xdr:cNvGrpSpPr>
      </xdr:nvGrpSpPr>
      <xdr:grpSpPr bwMode="auto">
        <a:xfrm>
          <a:off x="7113443" y="53678570"/>
          <a:ext cx="1193223" cy="519546"/>
          <a:chOff x="3634154" y="15407680"/>
          <a:chExt cx="1158481" cy="500696"/>
        </a:xfrm>
      </xdr:grpSpPr>
      <xdr:sp macro="" textlink="">
        <xdr:nvSpPr>
          <xdr:cNvPr id="6859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0313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14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90315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863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oneCellAnchor>
    <xdr:from>
      <xdr:col>29</xdr:col>
      <xdr:colOff>62593</xdr:colOff>
      <xdr:row>631</xdr:row>
      <xdr:rowOff>16600</xdr:rowOff>
    </xdr:from>
    <xdr:ext cx="423193" cy="183384"/>
    <xdr:sp macro="" textlink="">
      <xdr:nvSpPr>
        <xdr:cNvPr id="6882" name="Rectangle 217"/>
        <xdr:cNvSpPr>
          <a:spLocks noChangeArrowheads="1"/>
        </xdr:cNvSpPr>
      </xdr:nvSpPr>
      <xdr:spPr bwMode="auto">
        <a:xfrm>
          <a:off x="2681968" y="54528175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29</xdr:col>
      <xdr:colOff>38100</xdr:colOff>
      <xdr:row>629</xdr:row>
      <xdr:rowOff>19050</xdr:rowOff>
    </xdr:from>
    <xdr:to>
      <xdr:col>34</xdr:col>
      <xdr:colOff>0</xdr:colOff>
      <xdr:row>630</xdr:row>
      <xdr:rowOff>66675</xdr:rowOff>
    </xdr:to>
    <xdr:grpSp>
      <xdr:nvGrpSpPr>
        <xdr:cNvPr id="3288795" name="Group 350"/>
        <xdr:cNvGrpSpPr>
          <a:grpSpLocks/>
        </xdr:cNvGrpSpPr>
      </xdr:nvGrpSpPr>
      <xdr:grpSpPr bwMode="auto">
        <a:xfrm>
          <a:off x="2687782" y="54900368"/>
          <a:ext cx="394854" cy="134216"/>
          <a:chOff x="340" y="51"/>
          <a:chExt cx="60" cy="20"/>
        </a:xfrm>
        <a:solidFill>
          <a:schemeClr val="bg1">
            <a:lumMod val="50000"/>
          </a:schemeClr>
        </a:solidFill>
      </xdr:grpSpPr>
      <xdr:sp macro="" textlink="">
        <xdr:nvSpPr>
          <xdr:cNvPr id="3290309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310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0311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oneCellAnchor>
    <xdr:from>
      <xdr:col>29</xdr:col>
      <xdr:colOff>62593</xdr:colOff>
      <xdr:row>687</xdr:row>
      <xdr:rowOff>16600</xdr:rowOff>
    </xdr:from>
    <xdr:ext cx="423193" cy="183384"/>
    <xdr:sp macro="" textlink="">
      <xdr:nvSpPr>
        <xdr:cNvPr id="7460" name="Rectangle 217"/>
        <xdr:cNvSpPr>
          <a:spLocks noChangeArrowheads="1"/>
        </xdr:cNvSpPr>
      </xdr:nvSpPr>
      <xdr:spPr bwMode="auto">
        <a:xfrm>
          <a:off x="2681968" y="59328775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29</xdr:col>
      <xdr:colOff>38100</xdr:colOff>
      <xdr:row>685</xdr:row>
      <xdr:rowOff>19050</xdr:rowOff>
    </xdr:from>
    <xdr:to>
      <xdr:col>34</xdr:col>
      <xdr:colOff>0</xdr:colOff>
      <xdr:row>686</xdr:row>
      <xdr:rowOff>66675</xdr:rowOff>
    </xdr:to>
    <xdr:grpSp>
      <xdr:nvGrpSpPr>
        <xdr:cNvPr id="3288810" name="Group 350"/>
        <xdr:cNvGrpSpPr>
          <a:grpSpLocks/>
        </xdr:cNvGrpSpPr>
      </xdr:nvGrpSpPr>
      <xdr:grpSpPr bwMode="auto">
        <a:xfrm>
          <a:off x="2687782" y="59749459"/>
          <a:ext cx="394854" cy="134216"/>
          <a:chOff x="340" y="51"/>
          <a:chExt cx="60" cy="20"/>
        </a:xfrm>
        <a:solidFill>
          <a:srgbClr val="00B050"/>
        </a:solidFill>
      </xdr:grpSpPr>
      <xdr:sp macro="" textlink="">
        <xdr:nvSpPr>
          <xdr:cNvPr id="3290181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90182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90183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twoCellAnchor>
    <xdr:from>
      <xdr:col>112</xdr:col>
      <xdr:colOff>66675</xdr:colOff>
      <xdr:row>551</xdr:row>
      <xdr:rowOff>76200</xdr:rowOff>
    </xdr:from>
    <xdr:to>
      <xdr:col>131</xdr:col>
      <xdr:colOff>85725</xdr:colOff>
      <xdr:row>557</xdr:row>
      <xdr:rowOff>28575</xdr:rowOff>
    </xdr:to>
    <xdr:grpSp>
      <xdr:nvGrpSpPr>
        <xdr:cNvPr id="3288843" name="グループ化 10"/>
        <xdr:cNvGrpSpPr>
          <a:grpSpLocks/>
        </xdr:cNvGrpSpPr>
      </xdr:nvGrpSpPr>
      <xdr:grpSpPr bwMode="auto">
        <a:xfrm>
          <a:off x="9903402" y="48203427"/>
          <a:ext cx="1664278" cy="471921"/>
          <a:chOff x="10389283" y="86072624"/>
          <a:chExt cx="1670940" cy="466689"/>
        </a:xfrm>
      </xdr:grpSpPr>
      <xdr:grpSp>
        <xdr:nvGrpSpPr>
          <xdr:cNvPr id="3290045" name="グループ化 3689"/>
          <xdr:cNvGrpSpPr>
            <a:grpSpLocks/>
          </xdr:cNvGrpSpPr>
        </xdr:nvGrpSpPr>
        <xdr:grpSpPr bwMode="auto">
          <a:xfrm>
            <a:off x="10787056" y="86072624"/>
            <a:ext cx="1273167" cy="466689"/>
            <a:chOff x="8163314" y="80590947"/>
            <a:chExt cx="1224920" cy="448090"/>
          </a:xfrm>
        </xdr:grpSpPr>
        <xdr:grpSp>
          <xdr:nvGrpSpPr>
            <xdr:cNvPr id="3290051" name="グループ化 27"/>
            <xdr:cNvGrpSpPr>
              <a:grpSpLocks/>
            </xdr:cNvGrpSpPr>
          </xdr:nvGrpSpPr>
          <xdr:grpSpPr bwMode="auto">
            <a:xfrm>
              <a:off x="8163314" y="80590947"/>
              <a:ext cx="1224920" cy="438914"/>
              <a:chOff x="3581259" y="58232499"/>
              <a:chExt cx="1276440" cy="454361"/>
            </a:xfrm>
          </xdr:grpSpPr>
          <xdr:grpSp>
            <xdr:nvGrpSpPr>
              <xdr:cNvPr id="3290056" name="グループ化 22"/>
              <xdr:cNvGrpSpPr>
                <a:grpSpLocks/>
              </xdr:cNvGrpSpPr>
            </xdr:nvGrpSpPr>
            <xdr:grpSpPr bwMode="auto">
              <a:xfrm>
                <a:off x="3581259" y="58242293"/>
                <a:ext cx="1276440" cy="444567"/>
                <a:chOff x="3694310" y="55964197"/>
                <a:chExt cx="1226751" cy="427542"/>
              </a:xfrm>
            </xdr:grpSpPr>
            <xdr:grpSp>
              <xdr:nvGrpSpPr>
                <xdr:cNvPr id="3290059" name="グループ化 12"/>
                <xdr:cNvGrpSpPr>
                  <a:grpSpLocks/>
                </xdr:cNvGrpSpPr>
              </xdr:nvGrpSpPr>
              <xdr:grpSpPr bwMode="auto">
                <a:xfrm>
                  <a:off x="3694310" y="55964197"/>
                  <a:ext cx="1226751" cy="427542"/>
                  <a:chOff x="3844642" y="57046617"/>
                  <a:chExt cx="1249652" cy="435310"/>
                </a:xfrm>
              </xdr:grpSpPr>
              <xdr:grpSp>
                <xdr:nvGrpSpPr>
                  <xdr:cNvPr id="3290061" name="グループ化 7"/>
                  <xdr:cNvGrpSpPr>
                    <a:grpSpLocks/>
                  </xdr:cNvGrpSpPr>
                </xdr:nvGrpSpPr>
                <xdr:grpSpPr bwMode="auto">
                  <a:xfrm>
                    <a:off x="3850049" y="57046617"/>
                    <a:ext cx="1244245" cy="435310"/>
                    <a:chOff x="4276317" y="29757621"/>
                    <a:chExt cx="1205722" cy="423924"/>
                  </a:xfrm>
                </xdr:grpSpPr>
                <xdr:grpSp>
                  <xdr:nvGrpSpPr>
                    <xdr:cNvPr id="3290065" name="グループ化 6"/>
                    <xdr:cNvGrpSpPr>
                      <a:grpSpLocks/>
                    </xdr:cNvGrpSpPr>
                  </xdr:nvGrpSpPr>
                  <xdr:grpSpPr bwMode="auto">
                    <a:xfrm>
                      <a:off x="4282264" y="29757621"/>
                      <a:ext cx="1061365" cy="423924"/>
                      <a:chOff x="4425139" y="29769527"/>
                      <a:chExt cx="1061365" cy="423924"/>
                    </a:xfrm>
                  </xdr:grpSpPr>
                  <xdr:grpSp>
                    <xdr:nvGrpSpPr>
                      <xdr:cNvPr id="3290068" name="グループ化 648"/>
                      <xdr:cNvGrpSpPr>
                        <a:grpSpLocks/>
                      </xdr:cNvGrpSpPr>
                    </xdr:nvGrpSpPr>
                    <xdr:grpSpPr bwMode="auto">
                      <a:xfrm flipH="1">
                        <a:off x="4425139" y="29769527"/>
                        <a:ext cx="1061365" cy="239610"/>
                        <a:chOff x="954683" y="1149042"/>
                        <a:chExt cx="2397235" cy="462190"/>
                      </a:xfrm>
                    </xdr:grpSpPr>
                    <xdr:cxnSp macro="">
                      <xdr:nvCxnSpPr>
                        <xdr:cNvPr id="7631" name="直線コネクタ 7630"/>
                        <xdr:cNvCxnSpPr/>
                      </xdr:nvCxnSpPr>
                      <xdr:spPr>
                        <a:xfrm flipV="1">
                          <a:off x="953306" y="1148441"/>
                          <a:ext cx="1203466" cy="470133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7632" name="直線コネクタ 7631"/>
                        <xdr:cNvCxnSpPr/>
                      </xdr:nvCxnSpPr>
                      <xdr:spPr>
                        <a:xfrm>
                          <a:off x="2177521" y="1148441"/>
                          <a:ext cx="788477" cy="417896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7633" name="直線コネクタ 7632"/>
                        <xdr:cNvCxnSpPr/>
                      </xdr:nvCxnSpPr>
                      <xdr:spPr>
                        <a:xfrm flipH="1">
                          <a:off x="2156772" y="1148441"/>
                          <a:ext cx="0" cy="400484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  <xdr:sp macro="" textlink="">
                    <xdr:nvSpPr>
                      <xdr:cNvPr id="7630" name="テキスト ボックス 7629"/>
                      <xdr:cNvSpPr txBox="1"/>
                    </xdr:nvSpPr>
                    <xdr:spPr>
                      <a:xfrm>
                        <a:off x="4770550" y="30003916"/>
                        <a:ext cx="459335" cy="18956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r>
                          <a:rPr kumimoji="1" lang="en-US" altLang="ja-JP" sz="900">
                            <a:latin typeface="ＭＳ ゴシック" panose="020B0609070205080204" pitchFamily="49" charset="-128"/>
                            <a:ea typeface="ＭＳ ゴシック" panose="020B0609070205080204" pitchFamily="49" charset="-128"/>
                          </a:rPr>
                          <a:t>200</a:t>
                        </a:r>
                        <a:endParaRPr kumimoji="1" lang="ja-JP" altLang="en-US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endParaRPr>
                      </a:p>
                    </xdr:txBody>
                  </xdr:sp>
                </xdr:grpSp>
                <xdr:sp macro="" textlink="">
                  <xdr:nvSpPr>
                    <xdr:cNvPr id="7627" name="テキスト ボックス 7626"/>
                    <xdr:cNvSpPr txBox="1"/>
                  </xdr:nvSpPr>
                  <xdr:spPr>
                    <a:xfrm>
                      <a:off x="4278581" y="29892714"/>
                      <a:ext cx="468522" cy="180539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kumimoji="1" lang="en-US" altLang="ja-JP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rPr>
                        <a:t>416</a:t>
                      </a:r>
                      <a:endParaRPr kumimoji="1" lang="ja-JP" altLang="en-US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endParaRPr>
                    </a:p>
                  </xdr:txBody>
                </xdr:sp>
                <xdr:sp macro="" textlink="">
                  <xdr:nvSpPr>
                    <xdr:cNvPr id="7628" name="テキスト ボックス 7627"/>
                    <xdr:cNvSpPr txBox="1"/>
                  </xdr:nvSpPr>
                  <xdr:spPr>
                    <a:xfrm>
                      <a:off x="5022704" y="29992010"/>
                      <a:ext cx="459335" cy="189566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kumimoji="1" lang="en-US" altLang="ja-JP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rPr>
                        <a:t>600</a:t>
                      </a:r>
                      <a:endParaRPr kumimoji="1" lang="ja-JP" altLang="en-US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endParaRPr>
                    </a:p>
                  </xdr:txBody>
                </xdr:sp>
              </xdr:grpSp>
              <xdr:grpSp>
                <xdr:nvGrpSpPr>
                  <xdr:cNvPr id="3290062" name="グループ化 11"/>
                  <xdr:cNvGrpSpPr>
                    <a:grpSpLocks/>
                  </xdr:cNvGrpSpPr>
                </xdr:nvGrpSpPr>
                <xdr:grpSpPr bwMode="auto">
                  <a:xfrm>
                    <a:off x="3844642" y="57254834"/>
                    <a:ext cx="554536" cy="221189"/>
                    <a:chOff x="3844642" y="57254834"/>
                    <a:chExt cx="554536" cy="221189"/>
                  </a:xfrm>
                </xdr:grpSpPr>
                <xdr:cxnSp macro="">
                  <xdr:nvCxnSpPr>
                    <xdr:cNvPr id="7624" name="直線コネクタ 7623"/>
                    <xdr:cNvCxnSpPr/>
                  </xdr:nvCxnSpPr>
                  <xdr:spPr bwMode="auto">
                    <a:xfrm flipH="1">
                      <a:off x="3842905" y="57083375"/>
                      <a:ext cx="559333" cy="389315"/>
                    </a:xfrm>
                    <a:prstGeom prst="line">
                      <a:avLst/>
                    </a:prstGeom>
                    <a:ln w="3175">
                      <a:prstDash val="sysDot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7625" name="直線コネクタ 7624"/>
                    <xdr:cNvCxnSpPr/>
                  </xdr:nvCxnSpPr>
                  <xdr:spPr bwMode="auto">
                    <a:xfrm>
                      <a:off x="3842905" y="57259494"/>
                      <a:ext cx="0" cy="213196"/>
                    </a:xfrm>
                    <a:prstGeom prst="line">
                      <a:avLst/>
                    </a:prstGeom>
                    <a:ln w="3175">
                      <a:prstDash val="sysDot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  <xdr:cxnSp macro="">
              <xdr:nvCxnSpPr>
                <xdr:cNvPr id="7621" name="直線コネクタ 7620"/>
                <xdr:cNvCxnSpPr/>
              </xdr:nvCxnSpPr>
              <xdr:spPr bwMode="auto">
                <a:xfrm flipH="1">
                  <a:off x="4390591" y="56209691"/>
                  <a:ext cx="390872" cy="27312"/>
                </a:xfrm>
                <a:prstGeom prst="line">
                  <a:avLst/>
                </a:prstGeom>
                <a:ln w="19050">
                  <a:prstDash val="soli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290057" name="Freeform 227"/>
              <xdr:cNvSpPr>
                <a:spLocks/>
              </xdr:cNvSpPr>
            </xdr:nvSpPr>
            <xdr:spPr bwMode="auto">
              <a:xfrm rot="1718122">
                <a:off x="4278170" y="58475606"/>
                <a:ext cx="102165" cy="54235"/>
              </a:xfrm>
              <a:custGeom>
                <a:avLst/>
                <a:gdLst>
                  <a:gd name="T0" fmla="*/ 0 w 15"/>
                  <a:gd name="T1" fmla="*/ 2147483646 h 8"/>
                  <a:gd name="T2" fmla="*/ 2147483646 w 15"/>
                  <a:gd name="T3" fmla="*/ 2147483646 h 8"/>
                  <a:gd name="T4" fmla="*/ 2147483646 w 15"/>
                  <a:gd name="T5" fmla="*/ 0 h 8"/>
                  <a:gd name="T6" fmla="*/ 2147483646 w 15"/>
                  <a:gd name="T7" fmla="*/ 2147483646 h 8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5" h="8">
                    <a:moveTo>
                      <a:pt x="0" y="8"/>
                    </a:moveTo>
                    <a:cubicBezTo>
                      <a:pt x="1" y="5"/>
                      <a:pt x="2" y="3"/>
                      <a:pt x="3" y="2"/>
                    </a:cubicBezTo>
                    <a:cubicBezTo>
                      <a:pt x="4" y="1"/>
                      <a:pt x="6" y="0"/>
                      <a:pt x="8" y="0"/>
                    </a:cubicBezTo>
                    <a:cubicBezTo>
                      <a:pt x="10" y="0"/>
                      <a:pt x="12" y="1"/>
                      <a:pt x="15" y="2"/>
                    </a:cubicBezTo>
                  </a:path>
                </a:pathLst>
              </a:custGeom>
              <a:noFill/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7619" name="Rectangle 228"/>
              <xdr:cNvSpPr>
                <a:spLocks noChangeArrowheads="1"/>
              </xdr:cNvSpPr>
            </xdr:nvSpPr>
            <xdr:spPr bwMode="auto">
              <a:xfrm>
                <a:off x="4189542" y="58232499"/>
                <a:ext cx="387338" cy="2934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0" tIns="0" rIns="0" bIns="0" anchor="ctr" upright="1">
                <a:noAutofit/>
              </a:bodyPr>
              <a:lstStyle/>
              <a:p>
                <a:pPr algn="ctr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135°</a:t>
                </a:r>
              </a:p>
            </xdr:txBody>
          </xdr:sp>
        </xdr:grpSp>
        <xdr:cxnSp macro="">
          <xdr:nvCxnSpPr>
            <xdr:cNvPr id="7613" name="直線コネクタ 7612"/>
            <xdr:cNvCxnSpPr/>
          </xdr:nvCxnSpPr>
          <xdr:spPr bwMode="auto">
            <a:xfrm flipH="1" flipV="1">
              <a:off x="8700582" y="80801275"/>
              <a:ext cx="538970" cy="237762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14" name="直線コネクタ 7613"/>
            <xdr:cNvCxnSpPr/>
          </xdr:nvCxnSpPr>
          <xdr:spPr bwMode="auto">
            <a:xfrm>
              <a:off x="9248845" y="80846998"/>
              <a:ext cx="0" cy="192039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15" name="直線コネクタ 7614"/>
            <xdr:cNvCxnSpPr/>
          </xdr:nvCxnSpPr>
          <xdr:spPr bwMode="auto">
            <a:xfrm flipH="1">
              <a:off x="8161612" y="80801275"/>
              <a:ext cx="548263" cy="219473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16" name="直線コネクタ 7615"/>
            <xdr:cNvCxnSpPr/>
          </xdr:nvCxnSpPr>
          <xdr:spPr bwMode="auto">
            <a:xfrm flipH="1" flipV="1">
              <a:off x="8700582" y="80792130"/>
              <a:ext cx="167267" cy="82302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607" name="直線コネクタ 7606"/>
          <xdr:cNvCxnSpPr/>
        </xdr:nvCxnSpPr>
        <xdr:spPr bwMode="auto">
          <a:xfrm flipH="1" flipV="1">
            <a:off x="10476211" y="86167867"/>
            <a:ext cx="309076" cy="133340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08" name="直線コネクタ 7607"/>
          <xdr:cNvCxnSpPr/>
        </xdr:nvCxnSpPr>
        <xdr:spPr bwMode="auto">
          <a:xfrm flipH="1" flipV="1">
            <a:off x="10466552" y="86377400"/>
            <a:ext cx="309076" cy="133340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09" name="直線コネクタ 7608"/>
          <xdr:cNvCxnSpPr/>
        </xdr:nvCxnSpPr>
        <xdr:spPr bwMode="auto">
          <a:xfrm>
            <a:off x="10476211" y="86167867"/>
            <a:ext cx="0" cy="209534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10" name="直線コネクタ 7609"/>
          <xdr:cNvCxnSpPr/>
        </xdr:nvCxnSpPr>
        <xdr:spPr bwMode="auto">
          <a:xfrm flipH="1" flipV="1">
            <a:off x="10456893" y="86377400"/>
            <a:ext cx="328393" cy="142864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611" name="テキスト ボックス 7610"/>
          <xdr:cNvSpPr txBox="1"/>
        </xdr:nvSpPr>
        <xdr:spPr bwMode="auto">
          <a:xfrm>
            <a:off x="10389283" y="86244061"/>
            <a:ext cx="492589" cy="1904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112</xdr:col>
      <xdr:colOff>0</xdr:colOff>
      <xdr:row>544</xdr:row>
      <xdr:rowOff>0</xdr:rowOff>
    </xdr:from>
    <xdr:to>
      <xdr:col>130</xdr:col>
      <xdr:colOff>47625</xdr:colOff>
      <xdr:row>549</xdr:row>
      <xdr:rowOff>38100</xdr:rowOff>
    </xdr:to>
    <xdr:grpSp>
      <xdr:nvGrpSpPr>
        <xdr:cNvPr id="3288844" name="グループ化 21"/>
        <xdr:cNvGrpSpPr>
          <a:grpSpLocks/>
        </xdr:cNvGrpSpPr>
      </xdr:nvGrpSpPr>
      <xdr:grpSpPr bwMode="auto">
        <a:xfrm>
          <a:off x="9836727" y="47521091"/>
          <a:ext cx="1606262" cy="471054"/>
          <a:chOff x="11050005" y="83533046"/>
          <a:chExt cx="1582670" cy="464438"/>
        </a:xfrm>
      </xdr:grpSpPr>
      <xdr:grpSp>
        <xdr:nvGrpSpPr>
          <xdr:cNvPr id="3290024" name="グループ化 3084738"/>
          <xdr:cNvGrpSpPr>
            <a:grpSpLocks/>
          </xdr:cNvGrpSpPr>
        </xdr:nvGrpSpPr>
        <xdr:grpSpPr bwMode="auto">
          <a:xfrm>
            <a:off x="11050005" y="83533046"/>
            <a:ext cx="1254332" cy="464438"/>
            <a:chOff x="7944179" y="80549307"/>
            <a:chExt cx="1236387" cy="454290"/>
          </a:xfrm>
        </xdr:grpSpPr>
        <xdr:sp macro="" textlink="">
          <xdr:nvSpPr>
            <xdr:cNvPr id="7641" name="テキスト ボックス 7640"/>
            <xdr:cNvSpPr txBox="1"/>
          </xdr:nvSpPr>
          <xdr:spPr bwMode="auto">
            <a:xfrm>
              <a:off x="7944179" y="80781088"/>
              <a:ext cx="467074" cy="1946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cxnSp macro="">
          <xdr:nvCxnSpPr>
            <xdr:cNvPr id="7642" name="直線コネクタ 7641"/>
            <xdr:cNvCxnSpPr/>
          </xdr:nvCxnSpPr>
          <xdr:spPr bwMode="auto">
            <a:xfrm flipH="1">
              <a:off x="8074960" y="80549307"/>
              <a:ext cx="597855" cy="241052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3" name="直線コネクタ 7642"/>
            <xdr:cNvCxnSpPr/>
          </xdr:nvCxnSpPr>
          <xdr:spPr bwMode="auto">
            <a:xfrm>
              <a:off x="8672815" y="80558578"/>
              <a:ext cx="0" cy="203967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4" name="直線コネクタ 7643"/>
            <xdr:cNvCxnSpPr/>
          </xdr:nvCxnSpPr>
          <xdr:spPr bwMode="auto">
            <a:xfrm flipH="1">
              <a:off x="8084301" y="80753274"/>
              <a:ext cx="588514" cy="241052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5" name="直線コネクタ 7644"/>
            <xdr:cNvCxnSpPr/>
          </xdr:nvCxnSpPr>
          <xdr:spPr bwMode="auto">
            <a:xfrm>
              <a:off x="8084301" y="80799630"/>
              <a:ext cx="0" cy="203967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6" name="直線コネクタ 7645"/>
            <xdr:cNvCxnSpPr/>
          </xdr:nvCxnSpPr>
          <xdr:spPr bwMode="auto">
            <a:xfrm flipH="1" flipV="1">
              <a:off x="8672815" y="80549307"/>
              <a:ext cx="467074" cy="203967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7" name="直線コネクタ 7646"/>
            <xdr:cNvCxnSpPr/>
          </xdr:nvCxnSpPr>
          <xdr:spPr bwMode="auto">
            <a:xfrm flipH="1" flipV="1">
              <a:off x="8672815" y="80753274"/>
              <a:ext cx="476416" cy="213238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8" name="直線コネクタ 7647"/>
            <xdr:cNvCxnSpPr/>
          </xdr:nvCxnSpPr>
          <xdr:spPr bwMode="auto">
            <a:xfrm>
              <a:off x="9139889" y="80762545"/>
              <a:ext cx="0" cy="194696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9" name="直線コネクタ 7648"/>
            <xdr:cNvCxnSpPr/>
          </xdr:nvCxnSpPr>
          <xdr:spPr bwMode="auto">
            <a:xfrm flipH="1" flipV="1">
              <a:off x="8663473" y="80753274"/>
              <a:ext cx="476416" cy="213238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50" name="直線コネクタ 7649"/>
            <xdr:cNvCxnSpPr/>
          </xdr:nvCxnSpPr>
          <xdr:spPr bwMode="auto">
            <a:xfrm flipH="1">
              <a:off x="8504668" y="80744003"/>
              <a:ext cx="168147" cy="83441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51" name="直線コネクタ 7650"/>
            <xdr:cNvCxnSpPr/>
          </xdr:nvCxnSpPr>
          <xdr:spPr bwMode="auto">
            <a:xfrm flipH="1" flipV="1">
              <a:off x="8084301" y="80799630"/>
              <a:ext cx="420367" cy="27814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90041" name="Freeform 227"/>
            <xdr:cNvSpPr>
              <a:spLocks/>
            </xdr:cNvSpPr>
          </xdr:nvSpPr>
          <xdr:spPr bwMode="auto">
            <a:xfrm rot="1070252">
              <a:off x="8432427" y="80762394"/>
              <a:ext cx="118595" cy="77292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7653" name="Rectangle 228"/>
            <xdr:cNvSpPr>
              <a:spLocks noChangeArrowheads="1"/>
            </xdr:cNvSpPr>
          </xdr:nvSpPr>
          <xdr:spPr bwMode="auto">
            <a:xfrm>
              <a:off x="8401912" y="80586392"/>
              <a:ext cx="373659" cy="2225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  <xdr:sp macro="" textlink="">
          <xdr:nvSpPr>
            <xdr:cNvPr id="7654" name="テキスト ボックス 7653"/>
            <xdr:cNvSpPr txBox="1"/>
          </xdr:nvSpPr>
          <xdr:spPr bwMode="auto">
            <a:xfrm>
              <a:off x="8392570" y="80790359"/>
              <a:ext cx="467074" cy="1946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7655" name="テキスト ボックス 7654"/>
            <xdr:cNvSpPr txBox="1"/>
          </xdr:nvSpPr>
          <xdr:spPr bwMode="auto">
            <a:xfrm>
              <a:off x="8710181" y="80688375"/>
              <a:ext cx="467074" cy="1946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cxnSp macro="">
        <xdr:nvCxnSpPr>
          <xdr:cNvPr id="7636" name="直線コネクタ 7635"/>
          <xdr:cNvCxnSpPr/>
        </xdr:nvCxnSpPr>
        <xdr:spPr bwMode="auto">
          <a:xfrm flipH="1">
            <a:off x="12272546" y="83646786"/>
            <a:ext cx="246404" cy="94783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37" name="直線コネクタ 7636"/>
          <xdr:cNvCxnSpPr/>
        </xdr:nvCxnSpPr>
        <xdr:spPr bwMode="auto">
          <a:xfrm flipH="1">
            <a:off x="12263069" y="83855309"/>
            <a:ext cx="246404" cy="104262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38" name="直線コネクタ 7637"/>
          <xdr:cNvCxnSpPr/>
        </xdr:nvCxnSpPr>
        <xdr:spPr bwMode="auto">
          <a:xfrm>
            <a:off x="12518950" y="83665743"/>
            <a:ext cx="0" cy="199045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39" name="直線コネクタ 7638"/>
          <xdr:cNvCxnSpPr/>
        </xdr:nvCxnSpPr>
        <xdr:spPr bwMode="auto">
          <a:xfrm flipH="1">
            <a:off x="12263069" y="83864787"/>
            <a:ext cx="255881" cy="94783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640" name="テキスト ボックス 7639"/>
          <xdr:cNvSpPr txBox="1"/>
        </xdr:nvSpPr>
        <xdr:spPr bwMode="auto">
          <a:xfrm>
            <a:off x="12158822" y="83713134"/>
            <a:ext cx="473853" cy="1990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110</xdr:col>
      <xdr:colOff>28575</xdr:colOff>
      <xdr:row>558</xdr:row>
      <xdr:rowOff>85725</xdr:rowOff>
    </xdr:from>
    <xdr:to>
      <xdr:col>130</xdr:col>
      <xdr:colOff>19050</xdr:colOff>
      <xdr:row>566</xdr:row>
      <xdr:rowOff>47625</xdr:rowOff>
    </xdr:to>
    <xdr:grpSp>
      <xdr:nvGrpSpPr>
        <xdr:cNvPr id="3288845" name="グループ化 3"/>
        <xdr:cNvGrpSpPr>
          <a:grpSpLocks/>
        </xdr:cNvGrpSpPr>
      </xdr:nvGrpSpPr>
      <xdr:grpSpPr bwMode="auto">
        <a:xfrm>
          <a:off x="9692120" y="48819089"/>
          <a:ext cx="1722294" cy="654627"/>
          <a:chOff x="3191675" y="62632037"/>
          <a:chExt cx="1739148" cy="664375"/>
        </a:xfrm>
      </xdr:grpSpPr>
      <xdr:sp macro="" textlink="">
        <xdr:nvSpPr>
          <xdr:cNvPr id="3290007" name="Freeform 227"/>
          <xdr:cNvSpPr>
            <a:spLocks/>
          </xdr:cNvSpPr>
        </xdr:nvSpPr>
        <xdr:spPr bwMode="auto">
          <a:xfrm rot="3200040">
            <a:off x="4151524" y="62870945"/>
            <a:ext cx="134034" cy="7136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658" name="Rectangle 228"/>
          <xdr:cNvSpPr>
            <a:spLocks noChangeArrowheads="1"/>
          </xdr:cNvSpPr>
        </xdr:nvSpPr>
        <xdr:spPr bwMode="auto">
          <a:xfrm>
            <a:off x="3968948" y="62856752"/>
            <a:ext cx="514943" cy="3810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grpSp>
        <xdr:nvGrpSpPr>
          <xdr:cNvPr id="3290009" name="グループ化 2"/>
          <xdr:cNvGrpSpPr>
            <a:grpSpLocks/>
          </xdr:cNvGrpSpPr>
        </xdr:nvGrpSpPr>
        <xdr:grpSpPr bwMode="auto">
          <a:xfrm>
            <a:off x="3191675" y="62632037"/>
            <a:ext cx="1739148" cy="664375"/>
            <a:chOff x="3191675" y="62632037"/>
            <a:chExt cx="1739148" cy="664375"/>
          </a:xfrm>
        </xdr:grpSpPr>
        <xdr:grpSp>
          <xdr:nvGrpSpPr>
            <xdr:cNvPr id="3290010" name="Group 63"/>
            <xdr:cNvGrpSpPr>
              <a:grpSpLocks/>
            </xdr:cNvGrpSpPr>
          </xdr:nvGrpSpPr>
          <xdr:grpSpPr bwMode="auto">
            <a:xfrm>
              <a:off x="3359198" y="62679589"/>
              <a:ext cx="1571625" cy="495300"/>
              <a:chOff x="1213" y="519"/>
              <a:chExt cx="165" cy="52"/>
            </a:xfrm>
          </xdr:grpSpPr>
          <xdr:sp macro="" textlink="">
            <xdr:nvSpPr>
              <xdr:cNvPr id="3290015" name="Line 64"/>
              <xdr:cNvSpPr>
                <a:spLocks noChangeShapeType="1"/>
              </xdr:cNvSpPr>
            </xdr:nvSpPr>
            <xdr:spPr bwMode="auto">
              <a:xfrm flipH="1" flipV="1">
                <a:off x="1274" y="520"/>
                <a:ext cx="27" cy="2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16" name="Line 65"/>
              <xdr:cNvSpPr>
                <a:spLocks noChangeShapeType="1"/>
              </xdr:cNvSpPr>
            </xdr:nvSpPr>
            <xdr:spPr bwMode="auto">
              <a:xfrm flipV="1">
                <a:off x="1214" y="519"/>
                <a:ext cx="59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17" name="Line 66"/>
              <xdr:cNvSpPr>
                <a:spLocks noChangeShapeType="1"/>
              </xdr:cNvSpPr>
            </xdr:nvSpPr>
            <xdr:spPr bwMode="auto">
              <a:xfrm>
                <a:off x="1300" y="545"/>
                <a:ext cx="77" cy="26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18" name="Line 67"/>
              <xdr:cNvSpPr>
                <a:spLocks noChangeShapeType="1"/>
              </xdr:cNvSpPr>
            </xdr:nvSpPr>
            <xdr:spPr bwMode="auto">
              <a:xfrm>
                <a:off x="1273" y="519"/>
                <a:ext cx="105" cy="3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19" name="Line 68"/>
              <xdr:cNvSpPr>
                <a:spLocks noChangeShapeType="1"/>
              </xdr:cNvSpPr>
            </xdr:nvSpPr>
            <xdr:spPr bwMode="auto">
              <a:xfrm>
                <a:off x="1274" y="537"/>
                <a:ext cx="24" cy="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20" name="Line 69"/>
              <xdr:cNvSpPr>
                <a:spLocks noChangeShapeType="1"/>
              </xdr:cNvSpPr>
            </xdr:nvSpPr>
            <xdr:spPr bwMode="auto">
              <a:xfrm flipH="1">
                <a:off x="1213" y="536"/>
                <a:ext cx="59" cy="27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21" name="Line 70"/>
              <xdr:cNvSpPr>
                <a:spLocks noChangeShapeType="1"/>
              </xdr:cNvSpPr>
            </xdr:nvSpPr>
            <xdr:spPr bwMode="auto">
              <a:xfrm>
                <a:off x="1273" y="521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22" name="Line 72"/>
              <xdr:cNvSpPr>
                <a:spLocks noChangeShapeType="1"/>
              </xdr:cNvSpPr>
            </xdr:nvSpPr>
            <xdr:spPr bwMode="auto">
              <a:xfrm>
                <a:off x="1214" y="545"/>
                <a:ext cx="0" cy="18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90023" name="Line 75"/>
              <xdr:cNvSpPr>
                <a:spLocks noChangeShapeType="1"/>
              </xdr:cNvSpPr>
            </xdr:nvSpPr>
            <xdr:spPr bwMode="auto">
              <a:xfrm>
                <a:off x="1377" y="557"/>
                <a:ext cx="0" cy="14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661" name="テキスト ボックス 7660"/>
            <xdr:cNvSpPr txBox="1"/>
          </xdr:nvSpPr>
          <xdr:spPr bwMode="auto">
            <a:xfrm>
              <a:off x="4240993" y="63052156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7662" name="正方形/長方形 7661"/>
            <xdr:cNvSpPr/>
          </xdr:nvSpPr>
          <xdr:spPr>
            <a:xfrm>
              <a:off x="4085539" y="62641807"/>
              <a:ext cx="223466" cy="15632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ja-JP" altLang="en-US"/>
            </a:p>
          </xdr:txBody>
        </xdr:sp>
        <xdr:sp macro="" textlink="">
          <xdr:nvSpPr>
            <xdr:cNvPr id="7663" name="テキスト ボックス 7662"/>
            <xdr:cNvSpPr txBox="1"/>
          </xdr:nvSpPr>
          <xdr:spPr bwMode="auto">
            <a:xfrm>
              <a:off x="3949516" y="62632037"/>
              <a:ext cx="446932" cy="2149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315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7664" name="テキスト ボックス 7663"/>
            <xdr:cNvSpPr txBox="1"/>
          </xdr:nvSpPr>
          <xdr:spPr bwMode="auto">
            <a:xfrm>
              <a:off x="3191675" y="62632037"/>
              <a:ext cx="650966" cy="244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300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</xdr:grpSp>
    <xdr:clientData/>
  </xdr:twoCellAnchor>
  <xdr:twoCellAnchor>
    <xdr:from>
      <xdr:col>112</xdr:col>
      <xdr:colOff>66675</xdr:colOff>
      <xdr:row>567</xdr:row>
      <xdr:rowOff>0</xdr:rowOff>
    </xdr:from>
    <xdr:to>
      <xdr:col>131</xdr:col>
      <xdr:colOff>28575</xdr:colOff>
      <xdr:row>574</xdr:row>
      <xdr:rowOff>47625</xdr:rowOff>
    </xdr:to>
    <xdr:grpSp>
      <xdr:nvGrpSpPr>
        <xdr:cNvPr id="3288846" name="グループ化 2746"/>
        <xdr:cNvGrpSpPr>
          <a:grpSpLocks/>
        </xdr:cNvGrpSpPr>
      </xdr:nvGrpSpPr>
      <xdr:grpSpPr bwMode="auto">
        <a:xfrm>
          <a:off x="9903402" y="49512682"/>
          <a:ext cx="1607128" cy="653761"/>
          <a:chOff x="11757476" y="15796617"/>
          <a:chExt cx="1607289" cy="647446"/>
        </a:xfrm>
      </xdr:grpSpPr>
      <xdr:grpSp>
        <xdr:nvGrpSpPr>
          <xdr:cNvPr id="3289991" name="Group 47"/>
          <xdr:cNvGrpSpPr>
            <a:grpSpLocks/>
          </xdr:cNvGrpSpPr>
        </xdr:nvGrpSpPr>
        <xdr:grpSpPr bwMode="auto">
          <a:xfrm>
            <a:off x="11757476" y="15842535"/>
            <a:ext cx="1537482" cy="482598"/>
            <a:chOff x="1010" y="518"/>
            <a:chExt cx="172" cy="53"/>
          </a:xfrm>
        </xdr:grpSpPr>
        <xdr:sp macro="" textlink="">
          <xdr:nvSpPr>
            <xdr:cNvPr id="3289998" name="Line 48"/>
            <xdr:cNvSpPr>
              <a:spLocks noChangeShapeType="1"/>
            </xdr:cNvSpPr>
          </xdr:nvSpPr>
          <xdr:spPr bwMode="auto">
            <a:xfrm flipH="1">
              <a:off x="1089" y="518"/>
              <a:ext cx="32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999" name="Line 49"/>
            <xdr:cNvSpPr>
              <a:spLocks noChangeShapeType="1"/>
            </xdr:cNvSpPr>
          </xdr:nvSpPr>
          <xdr:spPr bwMode="auto">
            <a:xfrm flipV="1">
              <a:off x="1010" y="544"/>
              <a:ext cx="81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000" name="Line 50"/>
            <xdr:cNvSpPr>
              <a:spLocks noChangeShapeType="1"/>
            </xdr:cNvSpPr>
          </xdr:nvSpPr>
          <xdr:spPr bwMode="auto">
            <a:xfrm>
              <a:off x="1121" y="519"/>
              <a:ext cx="61" cy="26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001" name="Line 51"/>
            <xdr:cNvSpPr>
              <a:spLocks noChangeShapeType="1"/>
            </xdr:cNvSpPr>
          </xdr:nvSpPr>
          <xdr:spPr bwMode="auto">
            <a:xfrm flipV="1">
              <a:off x="1012" y="518"/>
              <a:ext cx="109" cy="34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002" name="Line 52"/>
            <xdr:cNvSpPr>
              <a:spLocks noChangeShapeType="1"/>
            </xdr:cNvSpPr>
          </xdr:nvSpPr>
          <xdr:spPr bwMode="auto">
            <a:xfrm flipH="1">
              <a:off x="1090" y="535"/>
              <a:ext cx="31" cy="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003" name="Line 53"/>
            <xdr:cNvSpPr>
              <a:spLocks noChangeShapeType="1"/>
            </xdr:cNvSpPr>
          </xdr:nvSpPr>
          <xdr:spPr bwMode="auto">
            <a:xfrm>
              <a:off x="1122" y="536"/>
              <a:ext cx="59" cy="26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004" name="Line 54"/>
            <xdr:cNvSpPr>
              <a:spLocks noChangeShapeType="1"/>
            </xdr:cNvSpPr>
          </xdr:nvSpPr>
          <xdr:spPr bwMode="auto">
            <a:xfrm>
              <a:off x="1121" y="519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005" name="Line 55"/>
            <xdr:cNvSpPr>
              <a:spLocks noChangeShapeType="1"/>
            </xdr:cNvSpPr>
          </xdr:nvSpPr>
          <xdr:spPr bwMode="auto">
            <a:xfrm>
              <a:off x="1011" y="552"/>
              <a:ext cx="0" cy="1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90006" name="Line 56"/>
            <xdr:cNvSpPr>
              <a:spLocks noChangeShapeType="1"/>
            </xdr:cNvSpPr>
          </xdr:nvSpPr>
          <xdr:spPr bwMode="auto">
            <a:xfrm>
              <a:off x="1181" y="545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289992" name="Freeform 227"/>
          <xdr:cNvSpPr>
            <a:spLocks/>
          </xdr:cNvSpPr>
        </xdr:nvSpPr>
        <xdr:spPr bwMode="auto">
          <a:xfrm rot="-310882">
            <a:off x="12415436" y="16011033"/>
            <a:ext cx="122289" cy="78691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677" name="Rectangle 228"/>
          <xdr:cNvSpPr>
            <a:spLocks noChangeArrowheads="1"/>
          </xdr:cNvSpPr>
        </xdr:nvSpPr>
        <xdr:spPr bwMode="auto">
          <a:xfrm>
            <a:off x="12354194" y="16072734"/>
            <a:ext cx="384979" cy="2285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7678" name="テキスト ボックス 7677"/>
          <xdr:cNvSpPr txBox="1"/>
        </xdr:nvSpPr>
        <xdr:spPr bwMode="auto">
          <a:xfrm>
            <a:off x="12912414" y="15796617"/>
            <a:ext cx="452351" cy="2380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350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7679" name="テキスト ボックス 7678"/>
          <xdr:cNvSpPr txBox="1"/>
        </xdr:nvSpPr>
        <xdr:spPr bwMode="auto">
          <a:xfrm>
            <a:off x="11853721" y="16206031"/>
            <a:ext cx="490849" cy="2380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7680" name="正方形/長方形 7679"/>
          <xdr:cNvSpPr/>
        </xdr:nvSpPr>
        <xdr:spPr bwMode="auto">
          <a:xfrm>
            <a:off x="12383068" y="15806138"/>
            <a:ext cx="221363" cy="1523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7681" name="テキスト ボックス 7680"/>
          <xdr:cNvSpPr txBox="1"/>
        </xdr:nvSpPr>
        <xdr:spPr bwMode="auto">
          <a:xfrm>
            <a:off x="12277198" y="15806138"/>
            <a:ext cx="442726" cy="2094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280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111</xdr:col>
      <xdr:colOff>57150</xdr:colOff>
      <xdr:row>576</xdr:row>
      <xdr:rowOff>0</xdr:rowOff>
    </xdr:from>
    <xdr:to>
      <xdr:col>129</xdr:col>
      <xdr:colOff>66675</xdr:colOff>
      <xdr:row>583</xdr:row>
      <xdr:rowOff>0</xdr:rowOff>
    </xdr:to>
    <xdr:grpSp>
      <xdr:nvGrpSpPr>
        <xdr:cNvPr id="3288847" name="グループ化 3"/>
        <xdr:cNvGrpSpPr>
          <a:grpSpLocks/>
        </xdr:cNvGrpSpPr>
      </xdr:nvGrpSpPr>
      <xdr:grpSpPr bwMode="auto">
        <a:xfrm>
          <a:off x="9807286" y="50292000"/>
          <a:ext cx="1568162" cy="606136"/>
          <a:chOff x="6864901" y="77433002"/>
          <a:chExt cx="1581053" cy="612321"/>
        </a:xfrm>
      </xdr:grpSpPr>
      <xdr:grpSp>
        <xdr:nvGrpSpPr>
          <xdr:cNvPr id="3289974" name="グループ化 3726"/>
          <xdr:cNvGrpSpPr>
            <a:grpSpLocks/>
          </xdr:cNvGrpSpPr>
        </xdr:nvGrpSpPr>
        <xdr:grpSpPr bwMode="auto">
          <a:xfrm>
            <a:off x="7065922" y="77433002"/>
            <a:ext cx="1380032" cy="612321"/>
            <a:chOff x="8078266" y="80549307"/>
            <a:chExt cx="1322989" cy="593359"/>
          </a:xfrm>
        </xdr:grpSpPr>
        <xdr:cxnSp macro="">
          <xdr:nvCxnSpPr>
            <xdr:cNvPr id="7695" name="直線コネクタ 7694"/>
            <xdr:cNvCxnSpPr/>
          </xdr:nvCxnSpPr>
          <xdr:spPr bwMode="auto">
            <a:xfrm flipH="1">
              <a:off x="8080829" y="80549307"/>
              <a:ext cx="595122" cy="244878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96" name="直線コネクタ 7695"/>
            <xdr:cNvCxnSpPr/>
          </xdr:nvCxnSpPr>
          <xdr:spPr bwMode="auto">
            <a:xfrm>
              <a:off x="8675950" y="80558725"/>
              <a:ext cx="0" cy="197786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97" name="直線コネクタ 7696"/>
            <xdr:cNvCxnSpPr/>
          </xdr:nvCxnSpPr>
          <xdr:spPr bwMode="auto">
            <a:xfrm flipH="1">
              <a:off x="8080829" y="80756512"/>
              <a:ext cx="595122" cy="235460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98" name="直線コネクタ 7697"/>
            <xdr:cNvCxnSpPr/>
          </xdr:nvCxnSpPr>
          <xdr:spPr bwMode="auto">
            <a:xfrm>
              <a:off x="8080829" y="80794185"/>
              <a:ext cx="0" cy="20720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99" name="直線コネクタ 7698"/>
            <xdr:cNvCxnSpPr/>
          </xdr:nvCxnSpPr>
          <xdr:spPr bwMode="auto">
            <a:xfrm flipH="1" flipV="1">
              <a:off x="8666652" y="80549307"/>
              <a:ext cx="725305" cy="32022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00" name="直線コネクタ 7699"/>
            <xdr:cNvCxnSpPr/>
          </xdr:nvCxnSpPr>
          <xdr:spPr bwMode="auto">
            <a:xfrm flipH="1" flipV="1">
              <a:off x="8675950" y="80756512"/>
              <a:ext cx="725305" cy="32022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01" name="直線コネクタ 7700"/>
            <xdr:cNvCxnSpPr/>
          </xdr:nvCxnSpPr>
          <xdr:spPr bwMode="auto">
            <a:xfrm>
              <a:off x="9391956" y="80869532"/>
              <a:ext cx="0" cy="20720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02" name="直線コネクタ 7701"/>
            <xdr:cNvCxnSpPr/>
          </xdr:nvCxnSpPr>
          <xdr:spPr bwMode="auto">
            <a:xfrm flipH="1" flipV="1">
              <a:off x="8666652" y="80756512"/>
              <a:ext cx="734603" cy="320225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03" name="直線コネクタ 7702"/>
            <xdr:cNvCxnSpPr/>
          </xdr:nvCxnSpPr>
          <xdr:spPr bwMode="auto">
            <a:xfrm flipH="1">
              <a:off x="8499274" y="80747093"/>
              <a:ext cx="176677" cy="75347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04" name="直線コネクタ 7703"/>
            <xdr:cNvCxnSpPr/>
          </xdr:nvCxnSpPr>
          <xdr:spPr bwMode="auto">
            <a:xfrm flipH="1" flipV="1">
              <a:off x="8080829" y="80803604"/>
              <a:ext cx="427744" cy="18837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89987" name="Freeform 227"/>
            <xdr:cNvSpPr>
              <a:spLocks/>
            </xdr:cNvSpPr>
          </xdr:nvSpPr>
          <xdr:spPr bwMode="auto">
            <a:xfrm rot="1070252">
              <a:off x="8432427" y="80762394"/>
              <a:ext cx="118595" cy="77292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7706" name="Rectangle 228"/>
            <xdr:cNvSpPr>
              <a:spLocks noChangeArrowheads="1"/>
            </xdr:cNvSpPr>
          </xdr:nvSpPr>
          <xdr:spPr bwMode="auto">
            <a:xfrm>
              <a:off x="8406286" y="80586981"/>
              <a:ext cx="371951" cy="2260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  <xdr:sp macro="" textlink="">
          <xdr:nvSpPr>
            <xdr:cNvPr id="7707" name="テキスト ボックス 7706"/>
            <xdr:cNvSpPr txBox="1"/>
          </xdr:nvSpPr>
          <xdr:spPr bwMode="auto">
            <a:xfrm>
              <a:off x="8387688" y="80794185"/>
              <a:ext cx="464939" cy="188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175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7708" name="テキスト ボックス 7707"/>
            <xdr:cNvSpPr txBox="1"/>
          </xdr:nvSpPr>
          <xdr:spPr bwMode="auto">
            <a:xfrm>
              <a:off x="8852627" y="80944880"/>
              <a:ext cx="464939" cy="1977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7693" name="正方形/長方形 7692"/>
          <xdr:cNvSpPr/>
        </xdr:nvSpPr>
        <xdr:spPr>
          <a:xfrm>
            <a:off x="6971598" y="77734303"/>
            <a:ext cx="193994" cy="10691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7694" name="テキスト ボックス 7693"/>
          <xdr:cNvSpPr txBox="1"/>
        </xdr:nvSpPr>
        <xdr:spPr bwMode="auto">
          <a:xfrm>
            <a:off x="6864901" y="77685706"/>
            <a:ext cx="484986" cy="2041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113</xdr:col>
      <xdr:colOff>57150</xdr:colOff>
      <xdr:row>585</xdr:row>
      <xdr:rowOff>47625</xdr:rowOff>
    </xdr:from>
    <xdr:to>
      <xdr:col>130</xdr:col>
      <xdr:colOff>57150</xdr:colOff>
      <xdr:row>591</xdr:row>
      <xdr:rowOff>66675</xdr:rowOff>
    </xdr:to>
    <xdr:grpSp>
      <xdr:nvGrpSpPr>
        <xdr:cNvPr id="3288848" name="グループ化 3689"/>
        <xdr:cNvGrpSpPr>
          <a:grpSpLocks/>
        </xdr:cNvGrpSpPr>
      </xdr:nvGrpSpPr>
      <xdr:grpSpPr bwMode="auto">
        <a:xfrm>
          <a:off x="9980468" y="51118943"/>
          <a:ext cx="1472046" cy="538596"/>
          <a:chOff x="7960181" y="80590912"/>
          <a:chExt cx="1428064" cy="522812"/>
        </a:xfrm>
      </xdr:grpSpPr>
      <xdr:grpSp>
        <xdr:nvGrpSpPr>
          <xdr:cNvPr id="3289952" name="グループ化 27"/>
          <xdr:cNvGrpSpPr>
            <a:grpSpLocks/>
          </xdr:cNvGrpSpPr>
        </xdr:nvGrpSpPr>
        <xdr:grpSpPr bwMode="auto">
          <a:xfrm>
            <a:off x="7960181" y="80590912"/>
            <a:ext cx="1428064" cy="522812"/>
            <a:chOff x="3369580" y="58232499"/>
            <a:chExt cx="1488127" cy="541212"/>
          </a:xfrm>
        </xdr:grpSpPr>
        <xdr:grpSp>
          <xdr:nvGrpSpPr>
            <xdr:cNvPr id="3289957" name="グループ化 22"/>
            <xdr:cNvGrpSpPr>
              <a:grpSpLocks/>
            </xdr:cNvGrpSpPr>
          </xdr:nvGrpSpPr>
          <xdr:grpSpPr bwMode="auto">
            <a:xfrm>
              <a:off x="3369580" y="58244122"/>
              <a:ext cx="1488127" cy="529589"/>
              <a:chOff x="3490869" y="55965953"/>
              <a:chExt cx="1430197" cy="509308"/>
            </a:xfrm>
          </xdr:grpSpPr>
          <xdr:grpSp>
            <xdr:nvGrpSpPr>
              <xdr:cNvPr id="3289960" name="グループ化 12"/>
              <xdr:cNvGrpSpPr>
                <a:grpSpLocks/>
              </xdr:cNvGrpSpPr>
            </xdr:nvGrpSpPr>
            <xdr:grpSpPr bwMode="auto">
              <a:xfrm>
                <a:off x="3490869" y="55965953"/>
                <a:ext cx="1430197" cy="509308"/>
                <a:chOff x="3637403" y="57048559"/>
                <a:chExt cx="1456896" cy="518563"/>
              </a:xfrm>
            </xdr:grpSpPr>
            <xdr:grpSp>
              <xdr:nvGrpSpPr>
                <xdr:cNvPr id="3289962" name="グループ化 7"/>
                <xdr:cNvGrpSpPr>
                  <a:grpSpLocks/>
                </xdr:cNvGrpSpPr>
              </xdr:nvGrpSpPr>
              <xdr:grpSpPr bwMode="auto">
                <a:xfrm>
                  <a:off x="3637403" y="57048559"/>
                  <a:ext cx="1456896" cy="518563"/>
                  <a:chOff x="4070251" y="29759487"/>
                  <a:chExt cx="1411788" cy="504999"/>
                </a:xfrm>
              </xdr:grpSpPr>
              <xdr:grpSp>
                <xdr:nvGrpSpPr>
                  <xdr:cNvPr id="3289966" name="グループ化 6"/>
                  <xdr:cNvGrpSpPr>
                    <a:grpSpLocks/>
                  </xdr:cNvGrpSpPr>
                </xdr:nvGrpSpPr>
                <xdr:grpSpPr bwMode="auto">
                  <a:xfrm>
                    <a:off x="4070251" y="29759487"/>
                    <a:ext cx="1273989" cy="426040"/>
                    <a:chOff x="4213126" y="29771393"/>
                    <a:chExt cx="1273989" cy="426040"/>
                  </a:xfrm>
                </xdr:grpSpPr>
                <xdr:grpSp>
                  <xdr:nvGrpSpPr>
                    <xdr:cNvPr id="3289969" name="グループ化 648"/>
                    <xdr:cNvGrpSpPr>
                      <a:grpSpLocks/>
                    </xdr:cNvGrpSpPr>
                  </xdr:nvGrpSpPr>
                  <xdr:grpSpPr bwMode="auto">
                    <a:xfrm flipH="1">
                      <a:off x="4213126" y="29771393"/>
                      <a:ext cx="1273989" cy="295329"/>
                      <a:chOff x="953302" y="1152644"/>
                      <a:chExt cx="2877471" cy="569669"/>
                    </a:xfrm>
                  </xdr:grpSpPr>
                  <xdr:cxnSp macro="">
                    <xdr:nvCxnSpPr>
                      <xdr:cNvPr id="7752" name="直線コネクタ 7751"/>
                      <xdr:cNvCxnSpPr/>
                    </xdr:nvCxnSpPr>
                    <xdr:spPr>
                      <a:xfrm flipV="1">
                        <a:off x="954683" y="1149042"/>
                        <a:ext cx="1208792" cy="462190"/>
                      </a:xfrm>
                      <a:prstGeom prst="line">
                        <a:avLst/>
                      </a:prstGeom>
                      <a:ln w="3175">
                        <a:prstDash val="sysDot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7753" name="直線コネクタ 7752"/>
                      <xdr:cNvCxnSpPr/>
                    </xdr:nvCxnSpPr>
                    <xdr:spPr>
                      <a:xfrm>
                        <a:off x="2184315" y="1149042"/>
                        <a:ext cx="1646458" cy="568850"/>
                      </a:xfrm>
                      <a:prstGeom prst="line">
                        <a:avLst/>
                      </a:prstGeom>
                      <a:ln w="3175">
                        <a:prstDash val="sysDot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7754" name="直線コネクタ 7753"/>
                      <xdr:cNvCxnSpPr/>
                    </xdr:nvCxnSpPr>
                    <xdr:spPr>
                      <a:xfrm flipH="1">
                        <a:off x="2163474" y="1149042"/>
                        <a:ext cx="0" cy="391084"/>
                      </a:xfrm>
                      <a:prstGeom prst="line">
                        <a:avLst/>
                      </a:prstGeom>
                      <a:ln w="3175">
                        <a:prstDash val="sysDot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sp macro="" textlink="">
                  <xdr:nvSpPr>
                    <xdr:cNvPr id="7751" name="テキスト ボックス 7750"/>
                    <xdr:cNvSpPr txBox="1"/>
                  </xdr:nvSpPr>
                  <xdr:spPr>
                    <a:xfrm>
                      <a:off x="4766768" y="29999920"/>
                      <a:ext cx="461369" cy="19353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kumimoji="1" lang="en-US" altLang="ja-JP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rPr>
                        <a:t>400</a:t>
                      </a:r>
                      <a:endParaRPr kumimoji="1" lang="ja-JP" altLang="en-US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endParaRPr>
                    </a:p>
                  </xdr:txBody>
                </xdr:sp>
              </xdr:grpSp>
              <xdr:sp macro="" textlink="">
                <xdr:nvSpPr>
                  <xdr:cNvPr id="7748" name="テキスト ボックス 7747"/>
                  <xdr:cNvSpPr txBox="1"/>
                </xdr:nvSpPr>
                <xdr:spPr>
                  <a:xfrm>
                    <a:off x="4291708" y="30089387"/>
                    <a:ext cx="470596" cy="17509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kumimoji="1" lang="en-US" altLang="ja-JP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rPr>
                      <a:t>600</a:t>
                    </a:r>
                    <a:endParaRPr kumimoji="1" lang="ja-JP" altLang="en-US" sz="900">
                      <a:latin typeface="ＭＳ ゴシック" panose="020B0609070205080204" pitchFamily="49" charset="-128"/>
                      <a:ea typeface="ＭＳ ゴシック" panose="020B0609070205080204" pitchFamily="49" charset="-128"/>
                    </a:endParaRPr>
                  </a:p>
                </xdr:txBody>
              </xdr:sp>
              <xdr:sp macro="" textlink="">
                <xdr:nvSpPr>
                  <xdr:cNvPr id="7749" name="テキスト ボックス 7748"/>
                  <xdr:cNvSpPr txBox="1"/>
                </xdr:nvSpPr>
                <xdr:spPr>
                  <a:xfrm>
                    <a:off x="5020670" y="29988013"/>
                    <a:ext cx="461369" cy="19353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kumimoji="1" lang="en-US" altLang="ja-JP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rPr>
                      <a:t>600</a:t>
                    </a:r>
                    <a:endParaRPr kumimoji="1" lang="ja-JP" altLang="en-US" sz="900">
                      <a:latin typeface="ＭＳ ゴシック" panose="020B0609070205080204" pitchFamily="49" charset="-128"/>
                      <a:ea typeface="ＭＳ ゴシック" panose="020B0609070205080204" pitchFamily="49" charset="-128"/>
                    </a:endParaRPr>
                  </a:p>
                </xdr:txBody>
              </xdr:sp>
            </xdr:grpSp>
            <xdr:grpSp>
              <xdr:nvGrpSpPr>
                <xdr:cNvPr id="3289963" name="グループ化 11"/>
                <xdr:cNvGrpSpPr>
                  <a:grpSpLocks/>
                </xdr:cNvGrpSpPr>
              </xdr:nvGrpSpPr>
              <xdr:grpSpPr bwMode="auto">
                <a:xfrm>
                  <a:off x="3641486" y="57257405"/>
                  <a:ext cx="756014" cy="297387"/>
                  <a:chOff x="3641486" y="57257405"/>
                  <a:chExt cx="756014" cy="297387"/>
                </a:xfrm>
              </xdr:grpSpPr>
              <xdr:cxnSp macro="">
                <xdr:nvCxnSpPr>
                  <xdr:cNvPr id="7745" name="直線コネクタ 7744"/>
                  <xdr:cNvCxnSpPr/>
                </xdr:nvCxnSpPr>
                <xdr:spPr bwMode="auto">
                  <a:xfrm flipH="1">
                    <a:off x="3637403" y="57254834"/>
                    <a:ext cx="761775" cy="302825"/>
                  </a:xfrm>
                  <a:prstGeom prst="line">
                    <a:avLst/>
                  </a:prstGeom>
                  <a:ln w="3175">
                    <a:prstDash val="sysDot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746" name="直線コネクタ 7745"/>
                  <xdr:cNvCxnSpPr/>
                </xdr:nvCxnSpPr>
                <xdr:spPr bwMode="auto">
                  <a:xfrm>
                    <a:off x="3637403" y="57349466"/>
                    <a:ext cx="0" cy="208192"/>
                  </a:xfrm>
                  <a:prstGeom prst="line">
                    <a:avLst/>
                  </a:prstGeom>
                  <a:ln w="3175">
                    <a:prstDash val="sysDot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</xdr:grpSp>
          <xdr:cxnSp macro="">
            <xdr:nvCxnSpPr>
              <xdr:cNvPr id="7742" name="直線コネクタ 7741"/>
              <xdr:cNvCxnSpPr/>
            </xdr:nvCxnSpPr>
            <xdr:spPr bwMode="auto">
              <a:xfrm flipH="1">
                <a:off x="4388248" y="56205724"/>
                <a:ext cx="392603" cy="27883"/>
              </a:xfrm>
              <a:prstGeom prst="line">
                <a:avLst/>
              </a:prstGeom>
              <a:ln w="19050">
                <a:prstDash val="soli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3289958" name="Freeform 227"/>
            <xdr:cNvSpPr>
              <a:spLocks/>
            </xdr:cNvSpPr>
          </xdr:nvSpPr>
          <xdr:spPr bwMode="auto">
            <a:xfrm rot="1718122">
              <a:off x="4278170" y="58475606"/>
              <a:ext cx="102165" cy="54235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7740" name="Rectangle 228"/>
            <xdr:cNvSpPr>
              <a:spLocks noChangeArrowheads="1"/>
            </xdr:cNvSpPr>
          </xdr:nvSpPr>
          <xdr:spPr bwMode="auto">
            <a:xfrm>
              <a:off x="4186591" y="58232499"/>
              <a:ext cx="389053" cy="28993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</xdr:grpSp>
      <xdr:cxnSp macro="">
        <xdr:nvCxnSpPr>
          <xdr:cNvPr id="7734" name="直線コネクタ 7733"/>
          <xdr:cNvCxnSpPr/>
        </xdr:nvCxnSpPr>
        <xdr:spPr bwMode="auto">
          <a:xfrm flipH="1" flipV="1">
            <a:off x="8697547" y="80805638"/>
            <a:ext cx="541358" cy="233398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35" name="直線コネクタ 7734"/>
          <xdr:cNvCxnSpPr/>
        </xdr:nvCxnSpPr>
        <xdr:spPr bwMode="auto">
          <a:xfrm>
            <a:off x="9248239" y="80842982"/>
            <a:ext cx="0" cy="196055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36" name="直線コネクタ 7735"/>
          <xdr:cNvCxnSpPr/>
        </xdr:nvCxnSpPr>
        <xdr:spPr bwMode="auto">
          <a:xfrm flipH="1">
            <a:off x="7960181" y="80805638"/>
            <a:ext cx="737366" cy="289414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37" name="直線コネクタ 7736"/>
          <xdr:cNvCxnSpPr/>
        </xdr:nvCxnSpPr>
        <xdr:spPr bwMode="auto">
          <a:xfrm flipH="1" flipV="1">
            <a:off x="8697547" y="80796302"/>
            <a:ext cx="168008" cy="74687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69</xdr:col>
      <xdr:colOff>62593</xdr:colOff>
      <xdr:row>687</xdr:row>
      <xdr:rowOff>16600</xdr:rowOff>
    </xdr:from>
    <xdr:ext cx="423193" cy="183384"/>
    <xdr:sp macro="" textlink="">
      <xdr:nvSpPr>
        <xdr:cNvPr id="8062" name="Rectangle 217"/>
        <xdr:cNvSpPr>
          <a:spLocks noChangeArrowheads="1"/>
        </xdr:cNvSpPr>
      </xdr:nvSpPr>
      <xdr:spPr bwMode="auto">
        <a:xfrm>
          <a:off x="6110968" y="59328775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69</xdr:col>
      <xdr:colOff>38100</xdr:colOff>
      <xdr:row>685</xdr:row>
      <xdr:rowOff>19050</xdr:rowOff>
    </xdr:from>
    <xdr:to>
      <xdr:col>74</xdr:col>
      <xdr:colOff>0</xdr:colOff>
      <xdr:row>686</xdr:row>
      <xdr:rowOff>66675</xdr:rowOff>
    </xdr:to>
    <xdr:grpSp>
      <xdr:nvGrpSpPr>
        <xdr:cNvPr id="3288850" name="Group 350"/>
        <xdr:cNvGrpSpPr>
          <a:grpSpLocks/>
        </xdr:cNvGrpSpPr>
      </xdr:nvGrpSpPr>
      <xdr:grpSpPr bwMode="auto">
        <a:xfrm>
          <a:off x="6151418" y="59749459"/>
          <a:ext cx="394855" cy="134216"/>
          <a:chOff x="340" y="51"/>
          <a:chExt cx="60" cy="20"/>
        </a:xfrm>
      </xdr:grpSpPr>
      <xdr:sp macro="" textlink="">
        <xdr:nvSpPr>
          <xdr:cNvPr id="3289949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89950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951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697</xdr:row>
      <xdr:rowOff>3038</xdr:rowOff>
    </xdr:from>
    <xdr:to>
      <xdr:col>71</xdr:col>
      <xdr:colOff>3354</xdr:colOff>
      <xdr:row>697</xdr:row>
      <xdr:rowOff>3038</xdr:rowOff>
    </xdr:to>
    <xdr:cxnSp macro="">
      <xdr:nvCxnSpPr>
        <xdr:cNvPr id="8067" name="直線コネクタ 8066"/>
        <xdr:cNvCxnSpPr/>
      </xdr:nvCxnSpPr>
      <xdr:spPr bwMode="auto">
        <a:xfrm>
          <a:off x="2840941" y="91335208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76200</xdr:colOff>
      <xdr:row>699</xdr:row>
      <xdr:rowOff>0</xdr:rowOff>
    </xdr:from>
    <xdr:to>
      <xdr:col>80</xdr:col>
      <xdr:colOff>0</xdr:colOff>
      <xdr:row>702</xdr:row>
      <xdr:rowOff>0</xdr:rowOff>
    </xdr:to>
    <xdr:grpSp>
      <xdr:nvGrpSpPr>
        <xdr:cNvPr id="3288852" name="グループ化 1"/>
        <xdr:cNvGrpSpPr>
          <a:grpSpLocks/>
        </xdr:cNvGrpSpPr>
      </xdr:nvGrpSpPr>
      <xdr:grpSpPr bwMode="auto">
        <a:xfrm>
          <a:off x="6709064" y="60942682"/>
          <a:ext cx="356754" cy="259773"/>
          <a:chOff x="3724275" y="1824264"/>
          <a:chExt cx="390526" cy="286252"/>
        </a:xfrm>
      </xdr:grpSpPr>
      <xdr:sp macro="" textlink="">
        <xdr:nvSpPr>
          <xdr:cNvPr id="3289946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947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948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76200</xdr:colOff>
      <xdr:row>699</xdr:row>
      <xdr:rowOff>0</xdr:rowOff>
    </xdr:from>
    <xdr:to>
      <xdr:col>99</xdr:col>
      <xdr:colOff>0</xdr:colOff>
      <xdr:row>702</xdr:row>
      <xdr:rowOff>0</xdr:rowOff>
    </xdr:to>
    <xdr:grpSp>
      <xdr:nvGrpSpPr>
        <xdr:cNvPr id="3288853" name="グループ化 1"/>
        <xdr:cNvGrpSpPr>
          <a:grpSpLocks/>
        </xdr:cNvGrpSpPr>
      </xdr:nvGrpSpPr>
      <xdr:grpSpPr bwMode="auto">
        <a:xfrm>
          <a:off x="8354291" y="60942682"/>
          <a:ext cx="356754" cy="259773"/>
          <a:chOff x="3724275" y="1824264"/>
          <a:chExt cx="390526" cy="286252"/>
        </a:xfrm>
      </xdr:grpSpPr>
      <xdr:sp macro="" textlink="">
        <xdr:nvSpPr>
          <xdr:cNvPr id="3289943" name="Line 1347"/>
          <xdr:cNvSpPr>
            <a:spLocks noChangeShapeType="1"/>
          </xdr:cNvSpPr>
        </xdr:nvSpPr>
        <xdr:spPr bwMode="auto">
          <a:xfrm rot="-5400000">
            <a:off x="3971674" y="1967390"/>
            <a:ext cx="28625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944" name="Line 1348"/>
          <xdr:cNvSpPr>
            <a:spLocks noChangeShapeType="1"/>
          </xdr:cNvSpPr>
        </xdr:nvSpPr>
        <xdr:spPr bwMode="auto">
          <a:xfrm rot="-5400000">
            <a:off x="3919538" y="163353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945" name="Line 1349"/>
          <xdr:cNvSpPr>
            <a:spLocks noChangeShapeType="1"/>
          </xdr:cNvSpPr>
        </xdr:nvSpPr>
        <xdr:spPr bwMode="auto">
          <a:xfrm rot="-5400000">
            <a:off x="4024314" y="2012532"/>
            <a:ext cx="0" cy="18097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706</xdr:row>
      <xdr:rowOff>3038</xdr:rowOff>
    </xdr:from>
    <xdr:to>
      <xdr:col>71</xdr:col>
      <xdr:colOff>3354</xdr:colOff>
      <xdr:row>706</xdr:row>
      <xdr:rowOff>3038</xdr:rowOff>
    </xdr:to>
    <xdr:cxnSp macro="">
      <xdr:nvCxnSpPr>
        <xdr:cNvPr id="8076" name="直線コネクタ 8075"/>
        <xdr:cNvCxnSpPr/>
      </xdr:nvCxnSpPr>
      <xdr:spPr bwMode="auto">
        <a:xfrm>
          <a:off x="2840941" y="92143934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78607</xdr:colOff>
      <xdr:row>715</xdr:row>
      <xdr:rowOff>17109</xdr:rowOff>
    </xdr:from>
    <xdr:to>
      <xdr:col>70</xdr:col>
      <xdr:colOff>67138</xdr:colOff>
      <xdr:row>715</xdr:row>
      <xdr:rowOff>17208</xdr:rowOff>
    </xdr:to>
    <xdr:cxnSp macro="">
      <xdr:nvCxnSpPr>
        <xdr:cNvPr id="8077" name="直線コネクタ 8076"/>
        <xdr:cNvCxnSpPr/>
      </xdr:nvCxnSpPr>
      <xdr:spPr>
        <a:xfrm flipH="1" flipV="1">
          <a:off x="2810305" y="92966732"/>
          <a:ext cx="78390" cy="99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6046</xdr:colOff>
      <xdr:row>736</xdr:row>
      <xdr:rowOff>87337</xdr:rowOff>
    </xdr:from>
    <xdr:to>
      <xdr:col>70</xdr:col>
      <xdr:colOff>79516</xdr:colOff>
      <xdr:row>736</xdr:row>
      <xdr:rowOff>87337</xdr:rowOff>
    </xdr:to>
    <xdr:cxnSp macro="">
      <xdr:nvCxnSpPr>
        <xdr:cNvPr id="8078" name="直線コネクタ 8077"/>
        <xdr:cNvCxnSpPr/>
      </xdr:nvCxnSpPr>
      <xdr:spPr bwMode="auto">
        <a:xfrm>
          <a:off x="2827603" y="94923988"/>
          <a:ext cx="7347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19050</xdr:colOff>
      <xdr:row>715</xdr:row>
      <xdr:rowOff>9525</xdr:rowOff>
    </xdr:from>
    <xdr:to>
      <xdr:col>78</xdr:col>
      <xdr:colOff>9525</xdr:colOff>
      <xdr:row>722</xdr:row>
      <xdr:rowOff>19050</xdr:rowOff>
    </xdr:to>
    <xdr:grpSp>
      <xdr:nvGrpSpPr>
        <xdr:cNvPr id="3288857" name="グループ化 3"/>
        <xdr:cNvGrpSpPr>
          <a:grpSpLocks/>
        </xdr:cNvGrpSpPr>
      </xdr:nvGrpSpPr>
      <xdr:grpSpPr bwMode="auto">
        <a:xfrm>
          <a:off x="6565323" y="62337661"/>
          <a:ext cx="336838" cy="615662"/>
          <a:chOff x="4956932" y="1715005"/>
          <a:chExt cx="367492" cy="648892"/>
        </a:xfrm>
      </xdr:grpSpPr>
      <xdr:grpSp>
        <xdr:nvGrpSpPr>
          <xdr:cNvPr id="3289939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289941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9942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8081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88</xdr:col>
      <xdr:colOff>68037</xdr:colOff>
      <xdr:row>716</xdr:row>
      <xdr:rowOff>4790</xdr:rowOff>
    </xdr:from>
    <xdr:to>
      <xdr:col>89</xdr:col>
      <xdr:colOff>77331</xdr:colOff>
      <xdr:row>716</xdr:row>
      <xdr:rowOff>4790</xdr:rowOff>
    </xdr:to>
    <xdr:cxnSp macro="">
      <xdr:nvCxnSpPr>
        <xdr:cNvPr id="8084" name="直線コネクタ 8083"/>
        <xdr:cNvCxnSpPr/>
      </xdr:nvCxnSpPr>
      <xdr:spPr bwMode="auto">
        <a:xfrm>
          <a:off x="4507046" y="93044271"/>
          <a:ext cx="99153" cy="0"/>
        </a:xfrm>
        <a:prstGeom prst="line">
          <a:avLst/>
        </a:prstGeom>
        <a:ln w="12700"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6804</xdr:colOff>
      <xdr:row>726</xdr:row>
      <xdr:rowOff>78690</xdr:rowOff>
    </xdr:from>
    <xdr:to>
      <xdr:col>70</xdr:col>
      <xdr:colOff>81311</xdr:colOff>
      <xdr:row>726</xdr:row>
      <xdr:rowOff>78690</xdr:rowOff>
    </xdr:to>
    <xdr:cxnSp macro="">
      <xdr:nvCxnSpPr>
        <xdr:cNvPr id="8085" name="直線コネクタ 8084"/>
        <xdr:cNvCxnSpPr/>
      </xdr:nvCxnSpPr>
      <xdr:spPr bwMode="auto">
        <a:xfrm>
          <a:off x="2828361" y="94016756"/>
          <a:ext cx="74507" cy="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19384</xdr:colOff>
      <xdr:row>706</xdr:row>
      <xdr:rowOff>3038</xdr:rowOff>
    </xdr:from>
    <xdr:to>
      <xdr:col>71</xdr:col>
      <xdr:colOff>3354</xdr:colOff>
      <xdr:row>706</xdr:row>
      <xdr:rowOff>3038</xdr:rowOff>
    </xdr:to>
    <xdr:cxnSp macro="">
      <xdr:nvCxnSpPr>
        <xdr:cNvPr id="8086" name="直線コネクタ 8085"/>
        <xdr:cNvCxnSpPr/>
      </xdr:nvCxnSpPr>
      <xdr:spPr bwMode="auto">
        <a:xfrm>
          <a:off x="2840941" y="92143934"/>
          <a:ext cx="7382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38100</xdr:colOff>
      <xdr:row>707</xdr:row>
      <xdr:rowOff>38100</xdr:rowOff>
    </xdr:from>
    <xdr:to>
      <xdr:col>80</xdr:col>
      <xdr:colOff>66675</xdr:colOff>
      <xdr:row>712</xdr:row>
      <xdr:rowOff>28575</xdr:rowOff>
    </xdr:to>
    <xdr:grpSp>
      <xdr:nvGrpSpPr>
        <xdr:cNvPr id="3288861" name="グループ化 648"/>
        <xdr:cNvGrpSpPr>
          <a:grpSpLocks/>
        </xdr:cNvGrpSpPr>
      </xdr:nvGrpSpPr>
      <xdr:grpSpPr bwMode="auto">
        <a:xfrm flipH="1">
          <a:off x="6584373" y="61673509"/>
          <a:ext cx="548120" cy="423430"/>
          <a:chOff x="1767052" y="985345"/>
          <a:chExt cx="1193995" cy="785448"/>
        </a:xfrm>
      </xdr:grpSpPr>
      <xdr:cxnSp macro="">
        <xdr:nvCxnSpPr>
          <xdr:cNvPr id="8088" name="直線コネクタ 8087"/>
          <xdr:cNvCxnSpPr/>
        </xdr:nvCxnSpPr>
        <xdr:spPr>
          <a:xfrm flipV="1">
            <a:off x="1767052" y="985345"/>
            <a:ext cx="816944" cy="285617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89" name="直線コネクタ 8088"/>
          <xdr:cNvCxnSpPr/>
        </xdr:nvCxnSpPr>
        <xdr:spPr>
          <a:xfrm>
            <a:off x="2583996" y="985345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90" name="直線コネクタ 8089"/>
          <xdr:cNvCxnSpPr/>
        </xdr:nvCxnSpPr>
        <xdr:spPr>
          <a:xfrm>
            <a:off x="2583996" y="1556580"/>
            <a:ext cx="377051" cy="19636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91" name="直線コネクタ 8090"/>
          <xdr:cNvCxnSpPr/>
        </xdr:nvCxnSpPr>
        <xdr:spPr>
          <a:xfrm>
            <a:off x="2961047" y="1181707"/>
            <a:ext cx="0" cy="58908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92" name="直線コネクタ 8091"/>
          <xdr:cNvCxnSpPr/>
        </xdr:nvCxnSpPr>
        <xdr:spPr>
          <a:xfrm>
            <a:off x="2583996" y="985345"/>
            <a:ext cx="0" cy="58908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73</xdr:col>
      <xdr:colOff>30904</xdr:colOff>
      <xdr:row>711</xdr:row>
      <xdr:rowOff>59690</xdr:rowOff>
    </xdr:from>
    <xdr:to>
      <xdr:col>79</xdr:col>
      <xdr:colOff>4446</xdr:colOff>
      <xdr:row>713</xdr:row>
      <xdr:rowOff>64982</xdr:rowOff>
    </xdr:to>
    <xdr:sp macro="" textlink="">
      <xdr:nvSpPr>
        <xdr:cNvPr id="8093" name="テキスト ボックス 8092"/>
        <xdr:cNvSpPr txBox="1"/>
      </xdr:nvSpPr>
      <xdr:spPr>
        <a:xfrm>
          <a:off x="3122036" y="92649879"/>
          <a:ext cx="512693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60440</xdr:colOff>
      <xdr:row>706</xdr:row>
      <xdr:rowOff>9410</xdr:rowOff>
    </xdr:from>
    <xdr:to>
      <xdr:col>82</xdr:col>
      <xdr:colOff>33982</xdr:colOff>
      <xdr:row>708</xdr:row>
      <xdr:rowOff>14702</xdr:rowOff>
    </xdr:to>
    <xdr:sp macro="" textlink="">
      <xdr:nvSpPr>
        <xdr:cNvPr id="8094" name="テキスト ボックス 8093"/>
        <xdr:cNvSpPr txBox="1"/>
      </xdr:nvSpPr>
      <xdr:spPr>
        <a:xfrm>
          <a:off x="3421148" y="92150306"/>
          <a:ext cx="512692" cy="18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3085</xdr:colOff>
      <xdr:row>708</xdr:row>
      <xdr:rowOff>35922</xdr:rowOff>
    </xdr:from>
    <xdr:to>
      <xdr:col>77</xdr:col>
      <xdr:colOff>41185</xdr:colOff>
      <xdr:row>709</xdr:row>
      <xdr:rowOff>70212</xdr:rowOff>
    </xdr:to>
    <xdr:sp macro="" textlink="">
      <xdr:nvSpPr>
        <xdr:cNvPr id="8095" name="正方形/長方形 8094"/>
        <xdr:cNvSpPr/>
      </xdr:nvSpPr>
      <xdr:spPr>
        <a:xfrm>
          <a:off x="3273934" y="92356535"/>
          <a:ext cx="217817" cy="1241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73</xdr:col>
      <xdr:colOff>37822</xdr:colOff>
      <xdr:row>707</xdr:row>
      <xdr:rowOff>84303</xdr:rowOff>
    </xdr:from>
    <xdr:to>
      <xdr:col>78</xdr:col>
      <xdr:colOff>83910</xdr:colOff>
      <xdr:row>710</xdr:row>
      <xdr:rowOff>25218</xdr:rowOff>
    </xdr:to>
    <xdr:sp macro="" textlink="">
      <xdr:nvSpPr>
        <xdr:cNvPr id="8096" name="テキスト ボックス 8095"/>
        <xdr:cNvSpPr txBox="1"/>
      </xdr:nvSpPr>
      <xdr:spPr>
        <a:xfrm>
          <a:off x="3128954" y="92315058"/>
          <a:ext cx="495381" cy="210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350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29767</xdr:colOff>
      <xdr:row>711</xdr:row>
      <xdr:rowOff>11906</xdr:rowOff>
    </xdr:from>
    <xdr:to>
      <xdr:col>79</xdr:col>
      <xdr:colOff>33566</xdr:colOff>
      <xdr:row>712</xdr:row>
      <xdr:rowOff>41672</xdr:rowOff>
    </xdr:to>
    <xdr:cxnSp macro="">
      <xdr:nvCxnSpPr>
        <xdr:cNvPr id="8097" name="直線コネクタ 8096"/>
        <xdr:cNvCxnSpPr/>
      </xdr:nvCxnSpPr>
      <xdr:spPr bwMode="auto">
        <a:xfrm flipH="1" flipV="1">
          <a:off x="3390475" y="92602095"/>
          <a:ext cx="273374" cy="119624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3085</xdr:colOff>
      <xdr:row>708</xdr:row>
      <xdr:rowOff>35922</xdr:rowOff>
    </xdr:from>
    <xdr:to>
      <xdr:col>96</xdr:col>
      <xdr:colOff>41185</xdr:colOff>
      <xdr:row>709</xdr:row>
      <xdr:rowOff>70212</xdr:rowOff>
    </xdr:to>
    <xdr:sp macro="" textlink="">
      <xdr:nvSpPr>
        <xdr:cNvPr id="8098" name="正方形/長方形 8097"/>
        <xdr:cNvSpPr/>
      </xdr:nvSpPr>
      <xdr:spPr>
        <a:xfrm>
          <a:off x="4981245" y="92356535"/>
          <a:ext cx="217817" cy="1241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93</xdr:col>
      <xdr:colOff>0</xdr:colOff>
      <xdr:row>717</xdr:row>
      <xdr:rowOff>57150</xdr:rowOff>
    </xdr:from>
    <xdr:to>
      <xdr:col>100</xdr:col>
      <xdr:colOff>38100</xdr:colOff>
      <xdr:row>719</xdr:row>
      <xdr:rowOff>0</xdr:rowOff>
    </xdr:to>
    <xdr:grpSp>
      <xdr:nvGrpSpPr>
        <xdr:cNvPr id="3288868" name="グループ化 5"/>
        <xdr:cNvGrpSpPr>
          <a:grpSpLocks/>
        </xdr:cNvGrpSpPr>
      </xdr:nvGrpSpPr>
      <xdr:grpSpPr bwMode="auto">
        <a:xfrm>
          <a:off x="8191500" y="62558468"/>
          <a:ext cx="644236" cy="116032"/>
          <a:chOff x="4791075" y="2762250"/>
          <a:chExt cx="714375" cy="142875"/>
        </a:xfrm>
      </xdr:grpSpPr>
      <xdr:sp macro="" textlink="">
        <xdr:nvSpPr>
          <xdr:cNvPr id="3289932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933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78</xdr:col>
      <xdr:colOff>66675</xdr:colOff>
      <xdr:row>735</xdr:row>
      <xdr:rowOff>47625</xdr:rowOff>
    </xdr:from>
    <xdr:to>
      <xdr:col>79</xdr:col>
      <xdr:colOff>47625</xdr:colOff>
      <xdr:row>737</xdr:row>
      <xdr:rowOff>47625</xdr:rowOff>
    </xdr:to>
    <xdr:grpSp>
      <xdr:nvGrpSpPr>
        <xdr:cNvPr id="3288872" name="グループ化 700"/>
        <xdr:cNvGrpSpPr>
          <a:grpSpLocks/>
        </xdr:cNvGrpSpPr>
      </xdr:nvGrpSpPr>
      <xdr:grpSpPr bwMode="auto">
        <a:xfrm>
          <a:off x="6959311" y="64107580"/>
          <a:ext cx="67541" cy="173181"/>
          <a:chOff x="3165758" y="15657662"/>
          <a:chExt cx="67219" cy="163244"/>
        </a:xfrm>
      </xdr:grpSpPr>
      <xdr:sp macro="" textlink="">
        <xdr:nvSpPr>
          <xdr:cNvPr id="3289840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841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842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734</xdr:row>
      <xdr:rowOff>9525</xdr:rowOff>
    </xdr:from>
    <xdr:to>
      <xdr:col>94</xdr:col>
      <xdr:colOff>28575</xdr:colOff>
      <xdr:row>740</xdr:row>
      <xdr:rowOff>9525</xdr:rowOff>
    </xdr:to>
    <xdr:grpSp>
      <xdr:nvGrpSpPr>
        <xdr:cNvPr id="3288873" name="グループ化 702"/>
        <xdr:cNvGrpSpPr>
          <a:grpSpLocks/>
        </xdr:cNvGrpSpPr>
      </xdr:nvGrpSpPr>
      <xdr:grpSpPr bwMode="auto">
        <a:xfrm>
          <a:off x="7113443" y="63982889"/>
          <a:ext cx="1193223" cy="519545"/>
          <a:chOff x="3634154" y="15407680"/>
          <a:chExt cx="1158481" cy="500696"/>
        </a:xfrm>
      </xdr:grpSpPr>
      <xdr:sp macro="" textlink="">
        <xdr:nvSpPr>
          <xdr:cNvPr id="8199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89836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837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838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203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77</xdr:col>
      <xdr:colOff>0</xdr:colOff>
      <xdr:row>739</xdr:row>
      <xdr:rowOff>66675</xdr:rowOff>
    </xdr:from>
    <xdr:to>
      <xdr:col>95</xdr:col>
      <xdr:colOff>9525</xdr:colOff>
      <xdr:row>746</xdr:row>
      <xdr:rowOff>66675</xdr:rowOff>
    </xdr:to>
    <xdr:grpSp>
      <xdr:nvGrpSpPr>
        <xdr:cNvPr id="3288874" name="グループ化 3"/>
        <xdr:cNvGrpSpPr>
          <a:grpSpLocks/>
        </xdr:cNvGrpSpPr>
      </xdr:nvGrpSpPr>
      <xdr:grpSpPr bwMode="auto">
        <a:xfrm>
          <a:off x="6806045" y="64472993"/>
          <a:ext cx="1568162" cy="606137"/>
          <a:chOff x="6864901" y="77433002"/>
          <a:chExt cx="1581053" cy="612321"/>
        </a:xfrm>
      </xdr:grpSpPr>
      <xdr:grpSp>
        <xdr:nvGrpSpPr>
          <xdr:cNvPr id="3289818" name="グループ化 3726"/>
          <xdr:cNvGrpSpPr>
            <a:grpSpLocks/>
          </xdr:cNvGrpSpPr>
        </xdr:nvGrpSpPr>
        <xdr:grpSpPr bwMode="auto">
          <a:xfrm>
            <a:off x="7065922" y="77433002"/>
            <a:ext cx="1380032" cy="612321"/>
            <a:chOff x="8078266" y="80549307"/>
            <a:chExt cx="1322989" cy="593359"/>
          </a:xfrm>
        </xdr:grpSpPr>
        <xdr:cxnSp macro="">
          <xdr:nvCxnSpPr>
            <xdr:cNvPr id="8208" name="直線コネクタ 8207"/>
            <xdr:cNvCxnSpPr/>
          </xdr:nvCxnSpPr>
          <xdr:spPr bwMode="auto">
            <a:xfrm flipH="1">
              <a:off x="8080829" y="80549307"/>
              <a:ext cx="595122" cy="244878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09" name="直線コネクタ 8208"/>
            <xdr:cNvCxnSpPr/>
          </xdr:nvCxnSpPr>
          <xdr:spPr bwMode="auto">
            <a:xfrm>
              <a:off x="8675950" y="80558725"/>
              <a:ext cx="0" cy="197786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0" name="直線コネクタ 8209"/>
            <xdr:cNvCxnSpPr/>
          </xdr:nvCxnSpPr>
          <xdr:spPr bwMode="auto">
            <a:xfrm flipH="1">
              <a:off x="8080829" y="80756512"/>
              <a:ext cx="595122" cy="235460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1" name="直線コネクタ 8210"/>
            <xdr:cNvCxnSpPr/>
          </xdr:nvCxnSpPr>
          <xdr:spPr bwMode="auto">
            <a:xfrm>
              <a:off x="8080829" y="80794185"/>
              <a:ext cx="0" cy="20720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2" name="直線コネクタ 8211"/>
            <xdr:cNvCxnSpPr/>
          </xdr:nvCxnSpPr>
          <xdr:spPr bwMode="auto">
            <a:xfrm flipH="1" flipV="1">
              <a:off x="8666652" y="80549307"/>
              <a:ext cx="725305" cy="32022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3" name="直線コネクタ 8212"/>
            <xdr:cNvCxnSpPr/>
          </xdr:nvCxnSpPr>
          <xdr:spPr bwMode="auto">
            <a:xfrm flipH="1" flipV="1">
              <a:off x="8675950" y="80756512"/>
              <a:ext cx="725305" cy="32022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4" name="直線コネクタ 8213"/>
            <xdr:cNvCxnSpPr/>
          </xdr:nvCxnSpPr>
          <xdr:spPr bwMode="auto">
            <a:xfrm>
              <a:off x="9391956" y="80869532"/>
              <a:ext cx="0" cy="207205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5" name="直線コネクタ 8214"/>
            <xdr:cNvCxnSpPr/>
          </xdr:nvCxnSpPr>
          <xdr:spPr bwMode="auto">
            <a:xfrm flipH="1" flipV="1">
              <a:off x="8666652" y="80756512"/>
              <a:ext cx="734603" cy="320225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6" name="直線コネクタ 8215"/>
            <xdr:cNvCxnSpPr/>
          </xdr:nvCxnSpPr>
          <xdr:spPr bwMode="auto">
            <a:xfrm flipH="1">
              <a:off x="8499274" y="80747093"/>
              <a:ext cx="176677" cy="75347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7" name="直線コネクタ 8216"/>
            <xdr:cNvCxnSpPr/>
          </xdr:nvCxnSpPr>
          <xdr:spPr bwMode="auto">
            <a:xfrm flipH="1" flipV="1">
              <a:off x="8080829" y="80803604"/>
              <a:ext cx="427744" cy="18837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89831" name="Freeform 227"/>
            <xdr:cNvSpPr>
              <a:spLocks/>
            </xdr:cNvSpPr>
          </xdr:nvSpPr>
          <xdr:spPr bwMode="auto">
            <a:xfrm rot="1070252">
              <a:off x="8432427" y="80762394"/>
              <a:ext cx="118595" cy="77292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8219" name="Rectangle 228"/>
            <xdr:cNvSpPr>
              <a:spLocks noChangeArrowheads="1"/>
            </xdr:cNvSpPr>
          </xdr:nvSpPr>
          <xdr:spPr bwMode="auto">
            <a:xfrm>
              <a:off x="8406286" y="80586981"/>
              <a:ext cx="371951" cy="2260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  <xdr:sp macro="" textlink="">
          <xdr:nvSpPr>
            <xdr:cNvPr id="8220" name="テキスト ボックス 8219"/>
            <xdr:cNvSpPr txBox="1"/>
          </xdr:nvSpPr>
          <xdr:spPr bwMode="auto">
            <a:xfrm>
              <a:off x="8387688" y="80794185"/>
              <a:ext cx="464939" cy="1883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175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8221" name="テキスト ボックス 8220"/>
            <xdr:cNvSpPr txBox="1"/>
          </xdr:nvSpPr>
          <xdr:spPr bwMode="auto">
            <a:xfrm>
              <a:off x="8852627" y="80944880"/>
              <a:ext cx="464939" cy="1977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8206" name="正方形/長方形 8205"/>
          <xdr:cNvSpPr/>
        </xdr:nvSpPr>
        <xdr:spPr>
          <a:xfrm>
            <a:off x="6971598" y="77734303"/>
            <a:ext cx="193994" cy="10691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8207" name="テキスト ボックス 8206"/>
          <xdr:cNvSpPr txBox="1"/>
        </xdr:nvSpPr>
        <xdr:spPr bwMode="auto">
          <a:xfrm>
            <a:off x="6864901" y="77685706"/>
            <a:ext cx="484986" cy="2041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76</xdr:col>
      <xdr:colOff>19050</xdr:colOff>
      <xdr:row>721</xdr:row>
      <xdr:rowOff>44928</xdr:rowOff>
    </xdr:from>
    <xdr:to>
      <xdr:col>102</xdr:col>
      <xdr:colOff>57150</xdr:colOff>
      <xdr:row>732</xdr:row>
      <xdr:rowOff>19050</xdr:rowOff>
    </xdr:to>
    <xdr:grpSp>
      <xdr:nvGrpSpPr>
        <xdr:cNvPr id="6" name="グループ化 5"/>
        <xdr:cNvGrpSpPr/>
      </xdr:nvGrpSpPr>
      <xdr:grpSpPr>
        <a:xfrm>
          <a:off x="6738505" y="62892610"/>
          <a:ext cx="2289463" cy="926622"/>
          <a:chOff x="6667500" y="62271753"/>
          <a:chExt cx="2266950" cy="917097"/>
        </a:xfrm>
      </xdr:grpSpPr>
      <xdr:grpSp>
        <xdr:nvGrpSpPr>
          <xdr:cNvPr id="3288870" name="グループ化 4300"/>
          <xdr:cNvGrpSpPr>
            <a:grpSpLocks/>
          </xdr:cNvGrpSpPr>
        </xdr:nvGrpSpPr>
        <xdr:grpSpPr bwMode="auto">
          <a:xfrm>
            <a:off x="6667500" y="62455425"/>
            <a:ext cx="2266950" cy="733425"/>
            <a:chOff x="11808773" y="37740569"/>
            <a:chExt cx="2377683" cy="771666"/>
          </a:xfrm>
        </xdr:grpSpPr>
        <xdr:grpSp>
          <xdr:nvGrpSpPr>
            <xdr:cNvPr id="3289843" name="グループ化 2528"/>
            <xdr:cNvGrpSpPr>
              <a:grpSpLocks/>
            </xdr:cNvGrpSpPr>
          </xdr:nvGrpSpPr>
          <xdr:grpSpPr bwMode="auto">
            <a:xfrm>
              <a:off x="11850405" y="37740569"/>
              <a:ext cx="2226648" cy="515685"/>
              <a:chOff x="13406010" y="18108261"/>
              <a:chExt cx="2153768" cy="494937"/>
            </a:xfrm>
          </xdr:grpSpPr>
          <xdr:grpSp>
            <xdr:nvGrpSpPr>
              <xdr:cNvPr id="3289857" name="グループ化 31"/>
              <xdr:cNvGrpSpPr>
                <a:grpSpLocks/>
              </xdr:cNvGrpSpPr>
            </xdr:nvGrpSpPr>
            <xdr:grpSpPr bwMode="auto">
              <a:xfrm>
                <a:off x="13818797" y="18108261"/>
                <a:ext cx="1740981" cy="494937"/>
                <a:chOff x="2706534" y="2363715"/>
                <a:chExt cx="2184767" cy="695788"/>
              </a:xfrm>
            </xdr:grpSpPr>
            <xdr:cxnSp macro="">
              <xdr:nvCxnSpPr>
                <xdr:cNvPr id="3289859" name="直線コネクタ 4"/>
                <xdr:cNvCxnSpPr>
                  <a:cxnSpLocks noChangeShapeType="1"/>
                </xdr:cNvCxnSpPr>
              </xdr:nvCxnSpPr>
              <xdr:spPr bwMode="auto">
                <a:xfrm>
                  <a:off x="2706534" y="2546903"/>
                  <a:ext cx="1965892" cy="0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0" name="直線コネクタ 5"/>
                <xdr:cNvCxnSpPr>
                  <a:cxnSpLocks noChangeShapeType="1"/>
                </xdr:cNvCxnSpPr>
              </xdr:nvCxnSpPr>
              <xdr:spPr bwMode="auto">
                <a:xfrm>
                  <a:off x="2725493" y="2999201"/>
                  <a:ext cx="1956459" cy="0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1" name="直線コネクタ 6"/>
                <xdr:cNvCxnSpPr>
                  <a:cxnSpLocks noChangeShapeType="1"/>
                </xdr:cNvCxnSpPr>
              </xdr:nvCxnSpPr>
              <xdr:spPr bwMode="auto">
                <a:xfrm>
                  <a:off x="4724105" y="2548488"/>
                  <a:ext cx="164638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2" name="直線コネクタ 8"/>
                <xdr:cNvCxnSpPr>
                  <a:cxnSpLocks noChangeShapeType="1"/>
                </xdr:cNvCxnSpPr>
              </xdr:nvCxnSpPr>
              <xdr:spPr bwMode="auto">
                <a:xfrm>
                  <a:off x="4726663" y="2998142"/>
                  <a:ext cx="164638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3" name="直線コネクタ 9"/>
                <xdr:cNvCxnSpPr>
                  <a:cxnSpLocks noChangeShapeType="1"/>
                </xdr:cNvCxnSpPr>
              </xdr:nvCxnSpPr>
              <xdr:spPr bwMode="auto">
                <a:xfrm>
                  <a:off x="4884120" y="2557069"/>
                  <a:ext cx="0" cy="43645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4" name="直線コネクタ 16"/>
                <xdr:cNvCxnSpPr>
                  <a:cxnSpLocks noChangeShapeType="1"/>
                </xdr:cNvCxnSpPr>
              </xdr:nvCxnSpPr>
              <xdr:spPr bwMode="auto">
                <a:xfrm>
                  <a:off x="3845472" y="2505489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5" name="直線コネクタ 18"/>
                <xdr:cNvCxnSpPr>
                  <a:cxnSpLocks noChangeShapeType="1"/>
                </xdr:cNvCxnSpPr>
              </xdr:nvCxnSpPr>
              <xdr:spPr bwMode="auto">
                <a:xfrm>
                  <a:off x="3911802" y="2504661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6" name="直線コネクタ 19"/>
                <xdr:cNvCxnSpPr>
                  <a:cxnSpLocks noChangeShapeType="1"/>
                </xdr:cNvCxnSpPr>
              </xdr:nvCxnSpPr>
              <xdr:spPr bwMode="auto">
                <a:xfrm>
                  <a:off x="3987019" y="2500519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7" name="直線コネクタ 20"/>
                <xdr:cNvCxnSpPr>
                  <a:cxnSpLocks noChangeShapeType="1"/>
                </xdr:cNvCxnSpPr>
              </xdr:nvCxnSpPr>
              <xdr:spPr bwMode="auto">
                <a:xfrm>
                  <a:off x="4066999" y="2499691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8" name="直線コネクタ 21"/>
                <xdr:cNvCxnSpPr>
                  <a:cxnSpLocks noChangeShapeType="1"/>
                </xdr:cNvCxnSpPr>
              </xdr:nvCxnSpPr>
              <xdr:spPr bwMode="auto">
                <a:xfrm>
                  <a:off x="4142216" y="2503833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69" name="直線コネクタ 22"/>
                <xdr:cNvCxnSpPr>
                  <a:cxnSpLocks noChangeShapeType="1"/>
                </xdr:cNvCxnSpPr>
              </xdr:nvCxnSpPr>
              <xdr:spPr bwMode="auto">
                <a:xfrm>
                  <a:off x="4215375" y="2503004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70" name="直線コネクタ 23"/>
                <xdr:cNvCxnSpPr>
                  <a:cxnSpLocks noChangeShapeType="1"/>
                </xdr:cNvCxnSpPr>
              </xdr:nvCxnSpPr>
              <xdr:spPr bwMode="auto">
                <a:xfrm>
                  <a:off x="4293502" y="2503004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71" name="直線コネクタ 24"/>
                <xdr:cNvCxnSpPr>
                  <a:cxnSpLocks noChangeShapeType="1"/>
                </xdr:cNvCxnSpPr>
              </xdr:nvCxnSpPr>
              <xdr:spPr bwMode="auto">
                <a:xfrm>
                  <a:off x="4359836" y="2502175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72" name="直線コネクタ 25"/>
                <xdr:cNvCxnSpPr>
                  <a:cxnSpLocks noChangeShapeType="1"/>
                </xdr:cNvCxnSpPr>
              </xdr:nvCxnSpPr>
              <xdr:spPr bwMode="auto">
                <a:xfrm>
                  <a:off x="2929736" y="2420917"/>
                  <a:ext cx="1733846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73" name="直線コネクタ 26"/>
                <xdr:cNvCxnSpPr>
                  <a:cxnSpLocks noChangeShapeType="1"/>
                </xdr:cNvCxnSpPr>
              </xdr:nvCxnSpPr>
              <xdr:spPr bwMode="auto">
                <a:xfrm>
                  <a:off x="2931661" y="2363715"/>
                  <a:ext cx="0" cy="11370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289874" name="直線コネクタ 29"/>
                <xdr:cNvCxnSpPr>
                  <a:cxnSpLocks noChangeShapeType="1"/>
                </xdr:cNvCxnSpPr>
              </xdr:nvCxnSpPr>
              <xdr:spPr bwMode="auto">
                <a:xfrm>
                  <a:off x="4657970" y="2363715"/>
                  <a:ext cx="0" cy="11370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</xdr:grpSp>
          <xdr:cxnSp macro="">
            <xdr:nvCxnSpPr>
              <xdr:cNvPr id="3289858" name="直線コネクタ 4"/>
              <xdr:cNvCxnSpPr>
                <a:cxnSpLocks noChangeShapeType="1"/>
              </xdr:cNvCxnSpPr>
            </xdr:nvCxnSpPr>
            <xdr:spPr bwMode="auto">
              <a:xfrm flipV="1">
                <a:off x="13406010" y="18238942"/>
                <a:ext cx="416133" cy="159593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  <xdr:sp macro="" textlink="">
          <xdr:nvSpPr>
            <xdr:cNvPr id="8162" name="Rectangle 218"/>
            <xdr:cNvSpPr>
              <a:spLocks noChangeArrowheads="1"/>
            </xdr:cNvSpPr>
          </xdr:nvSpPr>
          <xdr:spPr bwMode="auto">
            <a:xfrm>
              <a:off x="13427196" y="38181521"/>
              <a:ext cx="75926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8163" name="Rectangle 218"/>
            <xdr:cNvSpPr>
              <a:spLocks noChangeArrowheads="1"/>
            </xdr:cNvSpPr>
          </xdr:nvSpPr>
          <xdr:spPr bwMode="auto">
            <a:xfrm>
              <a:off x="12368228" y="38211586"/>
              <a:ext cx="74927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8164" name="Rectangle 218"/>
            <xdr:cNvSpPr>
              <a:spLocks noChangeArrowheads="1"/>
            </xdr:cNvSpPr>
          </xdr:nvSpPr>
          <xdr:spPr bwMode="auto">
            <a:xfrm>
              <a:off x="11808773" y="38241651"/>
              <a:ext cx="75926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250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cxnSp macro="">
          <xdr:nvCxnSpPr>
            <xdr:cNvPr id="3289847" name="直線コネクタ 16"/>
            <xdr:cNvCxnSpPr>
              <a:cxnSpLocks noChangeShapeType="1"/>
            </xdr:cNvCxnSpPr>
          </xdr:nvCxnSpPr>
          <xdr:spPr bwMode="auto">
            <a:xfrm>
              <a:off x="12542844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9848" name="直線コネクタ 18"/>
            <xdr:cNvCxnSpPr>
              <a:cxnSpLocks noChangeShapeType="1"/>
            </xdr:cNvCxnSpPr>
          </xdr:nvCxnSpPr>
          <xdr:spPr bwMode="auto">
            <a:xfrm>
              <a:off x="12599994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9849" name="直線コネクタ 19"/>
            <xdr:cNvCxnSpPr>
              <a:cxnSpLocks noChangeShapeType="1"/>
            </xdr:cNvCxnSpPr>
          </xdr:nvCxnSpPr>
          <xdr:spPr bwMode="auto">
            <a:xfrm>
              <a:off x="12661278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9850" name="直線コネクタ 20"/>
            <xdr:cNvCxnSpPr>
              <a:cxnSpLocks noChangeShapeType="1"/>
            </xdr:cNvCxnSpPr>
          </xdr:nvCxnSpPr>
          <xdr:spPr bwMode="auto">
            <a:xfrm>
              <a:off x="12722561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9851" name="直線コネクタ 21"/>
            <xdr:cNvCxnSpPr>
              <a:cxnSpLocks noChangeShapeType="1"/>
            </xdr:cNvCxnSpPr>
          </xdr:nvCxnSpPr>
          <xdr:spPr bwMode="auto">
            <a:xfrm>
              <a:off x="12793369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9852" name="直線コネクタ 22"/>
            <xdr:cNvCxnSpPr>
              <a:cxnSpLocks noChangeShapeType="1"/>
            </xdr:cNvCxnSpPr>
          </xdr:nvCxnSpPr>
          <xdr:spPr bwMode="auto">
            <a:xfrm>
              <a:off x="12850519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9853" name="直線コネクタ 23"/>
            <xdr:cNvCxnSpPr>
              <a:cxnSpLocks noChangeShapeType="1"/>
            </xdr:cNvCxnSpPr>
          </xdr:nvCxnSpPr>
          <xdr:spPr bwMode="auto">
            <a:xfrm>
              <a:off x="12911804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289854" name="直線コネクタ 24"/>
            <xdr:cNvCxnSpPr>
              <a:cxnSpLocks noChangeShapeType="1"/>
            </xdr:cNvCxnSpPr>
          </xdr:nvCxnSpPr>
          <xdr:spPr bwMode="auto">
            <a:xfrm>
              <a:off x="12963561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8173" name="Rectangle 218"/>
            <xdr:cNvSpPr>
              <a:spLocks noChangeArrowheads="1"/>
            </xdr:cNvSpPr>
          </xdr:nvSpPr>
          <xdr:spPr bwMode="auto">
            <a:xfrm>
              <a:off x="13067546" y="38221608"/>
              <a:ext cx="74927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8174" name="Rectangle 218"/>
            <xdr:cNvSpPr>
              <a:spLocks noChangeArrowheads="1"/>
            </xdr:cNvSpPr>
          </xdr:nvSpPr>
          <xdr:spPr bwMode="auto">
            <a:xfrm>
              <a:off x="12697907" y="38191543"/>
              <a:ext cx="75926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150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8193" name="Rectangle 218"/>
          <xdr:cNvSpPr>
            <a:spLocks noChangeArrowheads="1"/>
          </xdr:cNvSpPr>
        </xdr:nvSpPr>
        <xdr:spPr bwMode="auto">
          <a:xfrm>
            <a:off x="7577587" y="62271753"/>
            <a:ext cx="718047" cy="257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2375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3288875" name="直線コネクタ 4"/>
          <xdr:cNvCxnSpPr>
            <a:cxnSpLocks noChangeShapeType="1"/>
          </xdr:cNvCxnSpPr>
        </xdr:nvCxnSpPr>
        <xdr:spPr bwMode="auto">
          <a:xfrm flipV="1">
            <a:off x="6724650" y="62903100"/>
            <a:ext cx="409575" cy="16192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8223" name="Rectangle 218"/>
          <xdr:cNvSpPr>
            <a:spLocks noChangeArrowheads="1"/>
          </xdr:cNvSpPr>
        </xdr:nvSpPr>
        <xdr:spPr bwMode="auto">
          <a:xfrm>
            <a:off x="7028790" y="62866267"/>
            <a:ext cx="423905" cy="2571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425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126</xdr:col>
      <xdr:colOff>28575</xdr:colOff>
      <xdr:row>442</xdr:row>
      <xdr:rowOff>9525</xdr:rowOff>
    </xdr:from>
    <xdr:to>
      <xdr:col>144</xdr:col>
      <xdr:colOff>76200</xdr:colOff>
      <xdr:row>447</xdr:row>
      <xdr:rowOff>47625</xdr:rowOff>
    </xdr:to>
    <xdr:grpSp>
      <xdr:nvGrpSpPr>
        <xdr:cNvPr id="3288877" name="グループ化 21"/>
        <xdr:cNvGrpSpPr>
          <a:grpSpLocks/>
        </xdr:cNvGrpSpPr>
      </xdr:nvGrpSpPr>
      <xdr:grpSpPr bwMode="auto">
        <a:xfrm>
          <a:off x="11077575" y="38698343"/>
          <a:ext cx="1606261" cy="471055"/>
          <a:chOff x="11050005" y="83533046"/>
          <a:chExt cx="1582670" cy="464438"/>
        </a:xfrm>
      </xdr:grpSpPr>
      <xdr:grpSp>
        <xdr:nvGrpSpPr>
          <xdr:cNvPr id="3289797" name="グループ化 3084738"/>
          <xdr:cNvGrpSpPr>
            <a:grpSpLocks/>
          </xdr:cNvGrpSpPr>
        </xdr:nvGrpSpPr>
        <xdr:grpSpPr bwMode="auto">
          <a:xfrm>
            <a:off x="11050005" y="83533046"/>
            <a:ext cx="1254332" cy="464438"/>
            <a:chOff x="7944179" y="80549307"/>
            <a:chExt cx="1236387" cy="454290"/>
          </a:xfrm>
        </xdr:grpSpPr>
        <xdr:sp macro="" textlink="">
          <xdr:nvSpPr>
            <xdr:cNvPr id="2697" name="テキスト ボックス 2696"/>
            <xdr:cNvSpPr txBox="1"/>
          </xdr:nvSpPr>
          <xdr:spPr bwMode="auto">
            <a:xfrm>
              <a:off x="7944179" y="80781088"/>
              <a:ext cx="467074" cy="1946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cxnSp macro="">
          <xdr:nvCxnSpPr>
            <xdr:cNvPr id="2698" name="直線コネクタ 2697"/>
            <xdr:cNvCxnSpPr/>
          </xdr:nvCxnSpPr>
          <xdr:spPr bwMode="auto">
            <a:xfrm flipH="1">
              <a:off x="8074960" y="80549307"/>
              <a:ext cx="597855" cy="241052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99" name="直線コネクタ 2698"/>
            <xdr:cNvCxnSpPr/>
          </xdr:nvCxnSpPr>
          <xdr:spPr bwMode="auto">
            <a:xfrm>
              <a:off x="8672815" y="80558578"/>
              <a:ext cx="0" cy="203967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0" name="直線コネクタ 2699"/>
            <xdr:cNvCxnSpPr/>
          </xdr:nvCxnSpPr>
          <xdr:spPr bwMode="auto">
            <a:xfrm flipH="1">
              <a:off x="8084301" y="80753274"/>
              <a:ext cx="588514" cy="241052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1" name="直線コネクタ 2700"/>
            <xdr:cNvCxnSpPr/>
          </xdr:nvCxnSpPr>
          <xdr:spPr bwMode="auto">
            <a:xfrm>
              <a:off x="8084301" y="80799630"/>
              <a:ext cx="0" cy="203967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2" name="直線コネクタ 2701"/>
            <xdr:cNvCxnSpPr/>
          </xdr:nvCxnSpPr>
          <xdr:spPr bwMode="auto">
            <a:xfrm flipH="1" flipV="1">
              <a:off x="8672815" y="80549307"/>
              <a:ext cx="467074" cy="203967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3" name="直線コネクタ 2702"/>
            <xdr:cNvCxnSpPr/>
          </xdr:nvCxnSpPr>
          <xdr:spPr bwMode="auto">
            <a:xfrm flipH="1" flipV="1">
              <a:off x="8672815" y="80753274"/>
              <a:ext cx="476416" cy="213238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直線コネクタ 2703"/>
            <xdr:cNvCxnSpPr/>
          </xdr:nvCxnSpPr>
          <xdr:spPr bwMode="auto">
            <a:xfrm>
              <a:off x="9139889" y="80762545"/>
              <a:ext cx="0" cy="194696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直線コネクタ 2704"/>
            <xdr:cNvCxnSpPr/>
          </xdr:nvCxnSpPr>
          <xdr:spPr bwMode="auto">
            <a:xfrm flipH="1" flipV="1">
              <a:off x="8663473" y="80753274"/>
              <a:ext cx="476416" cy="213238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直線コネクタ 2705"/>
            <xdr:cNvCxnSpPr/>
          </xdr:nvCxnSpPr>
          <xdr:spPr bwMode="auto">
            <a:xfrm flipH="1">
              <a:off x="8504668" y="80744003"/>
              <a:ext cx="168147" cy="83441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直線コネクタ 2706"/>
            <xdr:cNvCxnSpPr/>
          </xdr:nvCxnSpPr>
          <xdr:spPr bwMode="auto">
            <a:xfrm flipH="1" flipV="1">
              <a:off x="8084301" y="80799630"/>
              <a:ext cx="420367" cy="27814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89814" name="Freeform 227"/>
            <xdr:cNvSpPr>
              <a:spLocks/>
            </xdr:cNvSpPr>
          </xdr:nvSpPr>
          <xdr:spPr bwMode="auto">
            <a:xfrm rot="1070252">
              <a:off x="8432427" y="80762394"/>
              <a:ext cx="118595" cy="77292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709" name="Rectangle 228"/>
            <xdr:cNvSpPr>
              <a:spLocks noChangeArrowheads="1"/>
            </xdr:cNvSpPr>
          </xdr:nvSpPr>
          <xdr:spPr bwMode="auto">
            <a:xfrm>
              <a:off x="8401912" y="80586392"/>
              <a:ext cx="373659" cy="2225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  <xdr:sp macro="" textlink="">
          <xdr:nvSpPr>
            <xdr:cNvPr id="2710" name="テキスト ボックス 2709"/>
            <xdr:cNvSpPr txBox="1"/>
          </xdr:nvSpPr>
          <xdr:spPr bwMode="auto">
            <a:xfrm>
              <a:off x="8392570" y="80790359"/>
              <a:ext cx="467074" cy="1946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100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2711" name="テキスト ボックス 2710"/>
            <xdr:cNvSpPr txBox="1"/>
          </xdr:nvSpPr>
          <xdr:spPr bwMode="auto">
            <a:xfrm>
              <a:off x="8710181" y="80688375"/>
              <a:ext cx="467074" cy="1946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516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cxnSp macro="">
        <xdr:nvCxnSpPr>
          <xdr:cNvPr id="2692" name="直線コネクタ 2691"/>
          <xdr:cNvCxnSpPr/>
        </xdr:nvCxnSpPr>
        <xdr:spPr bwMode="auto">
          <a:xfrm flipH="1">
            <a:off x="12272546" y="83646786"/>
            <a:ext cx="246404" cy="94783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3" name="直線コネクタ 2692"/>
          <xdr:cNvCxnSpPr/>
        </xdr:nvCxnSpPr>
        <xdr:spPr bwMode="auto">
          <a:xfrm flipH="1">
            <a:off x="12263069" y="83855309"/>
            <a:ext cx="246404" cy="104262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4" name="直線コネクタ 2693"/>
          <xdr:cNvCxnSpPr/>
        </xdr:nvCxnSpPr>
        <xdr:spPr bwMode="auto">
          <a:xfrm>
            <a:off x="12518950" y="83665743"/>
            <a:ext cx="0" cy="199045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直線コネクタ 2694"/>
          <xdr:cNvCxnSpPr/>
        </xdr:nvCxnSpPr>
        <xdr:spPr bwMode="auto">
          <a:xfrm flipH="1">
            <a:off x="12263069" y="83864787"/>
            <a:ext cx="255881" cy="94783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96" name="テキスト ボックス 2695"/>
          <xdr:cNvSpPr txBox="1"/>
        </xdr:nvSpPr>
        <xdr:spPr bwMode="auto">
          <a:xfrm>
            <a:off x="12158822" y="83713134"/>
            <a:ext cx="473853" cy="1990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38</xdr:col>
      <xdr:colOff>0</xdr:colOff>
      <xdr:row>557</xdr:row>
      <xdr:rowOff>47625</xdr:rowOff>
    </xdr:from>
    <xdr:to>
      <xdr:col>56</xdr:col>
      <xdr:colOff>47625</xdr:colOff>
      <xdr:row>565</xdr:row>
      <xdr:rowOff>9525</xdr:rowOff>
    </xdr:to>
    <xdr:grpSp>
      <xdr:nvGrpSpPr>
        <xdr:cNvPr id="3288878" name="グループ化 2746"/>
        <xdr:cNvGrpSpPr>
          <a:grpSpLocks/>
        </xdr:cNvGrpSpPr>
      </xdr:nvGrpSpPr>
      <xdr:grpSpPr bwMode="auto">
        <a:xfrm>
          <a:off x="3429000" y="48694398"/>
          <a:ext cx="1606261" cy="654627"/>
          <a:chOff x="11757476" y="15796617"/>
          <a:chExt cx="1607289" cy="647446"/>
        </a:xfrm>
      </xdr:grpSpPr>
      <xdr:grpSp>
        <xdr:nvGrpSpPr>
          <xdr:cNvPr id="3289781" name="Group 47"/>
          <xdr:cNvGrpSpPr>
            <a:grpSpLocks/>
          </xdr:cNvGrpSpPr>
        </xdr:nvGrpSpPr>
        <xdr:grpSpPr bwMode="auto">
          <a:xfrm>
            <a:off x="11757476" y="15842535"/>
            <a:ext cx="1537482" cy="482598"/>
            <a:chOff x="1010" y="518"/>
            <a:chExt cx="172" cy="53"/>
          </a:xfrm>
        </xdr:grpSpPr>
        <xdr:sp macro="" textlink="">
          <xdr:nvSpPr>
            <xdr:cNvPr id="3289788" name="Line 48"/>
            <xdr:cNvSpPr>
              <a:spLocks noChangeShapeType="1"/>
            </xdr:cNvSpPr>
          </xdr:nvSpPr>
          <xdr:spPr bwMode="auto">
            <a:xfrm flipH="1">
              <a:off x="1089" y="518"/>
              <a:ext cx="32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89" name="Line 49"/>
            <xdr:cNvSpPr>
              <a:spLocks noChangeShapeType="1"/>
            </xdr:cNvSpPr>
          </xdr:nvSpPr>
          <xdr:spPr bwMode="auto">
            <a:xfrm flipV="1">
              <a:off x="1010" y="544"/>
              <a:ext cx="81" cy="27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90" name="Line 50"/>
            <xdr:cNvSpPr>
              <a:spLocks noChangeShapeType="1"/>
            </xdr:cNvSpPr>
          </xdr:nvSpPr>
          <xdr:spPr bwMode="auto">
            <a:xfrm>
              <a:off x="1121" y="519"/>
              <a:ext cx="61" cy="26"/>
            </a:xfrm>
            <a:prstGeom prst="line">
              <a:avLst/>
            </a:prstGeom>
            <a:noFill/>
            <a:ln w="158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91" name="Line 51"/>
            <xdr:cNvSpPr>
              <a:spLocks noChangeShapeType="1"/>
            </xdr:cNvSpPr>
          </xdr:nvSpPr>
          <xdr:spPr bwMode="auto">
            <a:xfrm flipV="1">
              <a:off x="1012" y="518"/>
              <a:ext cx="109" cy="34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92" name="Line 52"/>
            <xdr:cNvSpPr>
              <a:spLocks noChangeShapeType="1"/>
            </xdr:cNvSpPr>
          </xdr:nvSpPr>
          <xdr:spPr bwMode="auto">
            <a:xfrm flipH="1">
              <a:off x="1090" y="535"/>
              <a:ext cx="31" cy="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93" name="Line 53"/>
            <xdr:cNvSpPr>
              <a:spLocks noChangeShapeType="1"/>
            </xdr:cNvSpPr>
          </xdr:nvSpPr>
          <xdr:spPr bwMode="auto">
            <a:xfrm>
              <a:off x="1122" y="536"/>
              <a:ext cx="59" cy="26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94" name="Line 54"/>
            <xdr:cNvSpPr>
              <a:spLocks noChangeShapeType="1"/>
            </xdr:cNvSpPr>
          </xdr:nvSpPr>
          <xdr:spPr bwMode="auto">
            <a:xfrm>
              <a:off x="1121" y="519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95" name="Line 55"/>
            <xdr:cNvSpPr>
              <a:spLocks noChangeShapeType="1"/>
            </xdr:cNvSpPr>
          </xdr:nvSpPr>
          <xdr:spPr bwMode="auto">
            <a:xfrm>
              <a:off x="1011" y="552"/>
              <a:ext cx="0" cy="1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96" name="Line 56"/>
            <xdr:cNvSpPr>
              <a:spLocks noChangeShapeType="1"/>
            </xdr:cNvSpPr>
          </xdr:nvSpPr>
          <xdr:spPr bwMode="auto">
            <a:xfrm>
              <a:off x="1181" y="545"/>
              <a:ext cx="0" cy="17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289782" name="Freeform 227"/>
          <xdr:cNvSpPr>
            <a:spLocks/>
          </xdr:cNvSpPr>
        </xdr:nvSpPr>
        <xdr:spPr bwMode="auto">
          <a:xfrm rot="-310882">
            <a:off x="12415436" y="16011033"/>
            <a:ext cx="122289" cy="78691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718" name="Rectangle 228"/>
          <xdr:cNvSpPr>
            <a:spLocks noChangeArrowheads="1"/>
          </xdr:cNvSpPr>
        </xdr:nvSpPr>
        <xdr:spPr bwMode="auto">
          <a:xfrm>
            <a:off x="12354194" y="16072734"/>
            <a:ext cx="384979" cy="2285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2719" name="テキスト ボックス 2718"/>
          <xdr:cNvSpPr txBox="1"/>
        </xdr:nvSpPr>
        <xdr:spPr bwMode="auto">
          <a:xfrm>
            <a:off x="12912414" y="15796617"/>
            <a:ext cx="452351" cy="2380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720" name="テキスト ボックス 2719"/>
          <xdr:cNvSpPr txBox="1"/>
        </xdr:nvSpPr>
        <xdr:spPr bwMode="auto">
          <a:xfrm>
            <a:off x="11853721" y="16206031"/>
            <a:ext cx="490849" cy="2380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721" name="正方形/長方形 2720"/>
          <xdr:cNvSpPr/>
        </xdr:nvSpPr>
        <xdr:spPr bwMode="auto">
          <a:xfrm>
            <a:off x="12383068" y="15806138"/>
            <a:ext cx="221363" cy="1523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2722" name="テキスト ボックス 2721"/>
          <xdr:cNvSpPr txBox="1"/>
        </xdr:nvSpPr>
        <xdr:spPr bwMode="auto">
          <a:xfrm>
            <a:off x="12277198" y="15806138"/>
            <a:ext cx="442726" cy="2094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245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38</xdr:col>
      <xdr:colOff>66675</xdr:colOff>
      <xdr:row>553</xdr:row>
      <xdr:rowOff>47625</xdr:rowOff>
    </xdr:from>
    <xdr:to>
      <xdr:col>39</xdr:col>
      <xdr:colOff>47625</xdr:colOff>
      <xdr:row>555</xdr:row>
      <xdr:rowOff>47625</xdr:rowOff>
    </xdr:to>
    <xdr:grpSp>
      <xdr:nvGrpSpPr>
        <xdr:cNvPr id="3288879" name="グループ化 700"/>
        <xdr:cNvGrpSpPr>
          <a:grpSpLocks/>
        </xdr:cNvGrpSpPr>
      </xdr:nvGrpSpPr>
      <xdr:grpSpPr bwMode="auto">
        <a:xfrm>
          <a:off x="3495675" y="48348034"/>
          <a:ext cx="67541" cy="173182"/>
          <a:chOff x="3165758" y="15657662"/>
          <a:chExt cx="67219" cy="163244"/>
        </a:xfrm>
      </xdr:grpSpPr>
      <xdr:sp macro="" textlink="">
        <xdr:nvSpPr>
          <xdr:cNvPr id="3289778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779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780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552</xdr:row>
      <xdr:rowOff>9525</xdr:rowOff>
    </xdr:from>
    <xdr:to>
      <xdr:col>54</xdr:col>
      <xdr:colOff>28575</xdr:colOff>
      <xdr:row>558</xdr:row>
      <xdr:rowOff>9525</xdr:rowOff>
    </xdr:to>
    <xdr:grpSp>
      <xdr:nvGrpSpPr>
        <xdr:cNvPr id="3288880" name="グループ化 702"/>
        <xdr:cNvGrpSpPr>
          <a:grpSpLocks/>
        </xdr:cNvGrpSpPr>
      </xdr:nvGrpSpPr>
      <xdr:grpSpPr bwMode="auto">
        <a:xfrm>
          <a:off x="3649807" y="48223343"/>
          <a:ext cx="1193223" cy="519546"/>
          <a:chOff x="3634154" y="15407680"/>
          <a:chExt cx="1158481" cy="500696"/>
        </a:xfrm>
      </xdr:grpSpPr>
      <xdr:sp macro="" textlink="">
        <xdr:nvSpPr>
          <xdr:cNvPr id="2737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89774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775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776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744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144</xdr:col>
      <xdr:colOff>57150</xdr:colOff>
      <xdr:row>562</xdr:row>
      <xdr:rowOff>28575</xdr:rowOff>
    </xdr:from>
    <xdr:to>
      <xdr:col>165</xdr:col>
      <xdr:colOff>76200</xdr:colOff>
      <xdr:row>570</xdr:row>
      <xdr:rowOff>19050</xdr:rowOff>
    </xdr:to>
    <xdr:grpSp>
      <xdr:nvGrpSpPr>
        <xdr:cNvPr id="3288881" name="グループ化 1"/>
        <xdr:cNvGrpSpPr>
          <a:grpSpLocks/>
        </xdr:cNvGrpSpPr>
      </xdr:nvGrpSpPr>
      <xdr:grpSpPr bwMode="auto">
        <a:xfrm>
          <a:off x="12664786" y="49108302"/>
          <a:ext cx="1837459" cy="683203"/>
          <a:chOff x="12520894" y="48734521"/>
          <a:chExt cx="1826490" cy="678986"/>
        </a:xfrm>
      </xdr:grpSpPr>
      <xdr:grpSp>
        <xdr:nvGrpSpPr>
          <xdr:cNvPr id="3289750" name="グループ化 3"/>
          <xdr:cNvGrpSpPr>
            <a:grpSpLocks/>
          </xdr:cNvGrpSpPr>
        </xdr:nvGrpSpPr>
        <xdr:grpSpPr bwMode="auto">
          <a:xfrm>
            <a:off x="12606293" y="48734521"/>
            <a:ext cx="1741091" cy="678986"/>
            <a:chOff x="3578273" y="62549202"/>
            <a:chExt cx="1769610" cy="693835"/>
          </a:xfrm>
        </xdr:grpSpPr>
        <xdr:sp macro="" textlink="">
          <xdr:nvSpPr>
            <xdr:cNvPr id="3289756" name="Freeform 227"/>
            <xdr:cNvSpPr>
              <a:spLocks/>
            </xdr:cNvSpPr>
          </xdr:nvSpPr>
          <xdr:spPr bwMode="auto">
            <a:xfrm rot="3200040">
              <a:off x="4151524" y="62870945"/>
              <a:ext cx="134034" cy="71362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713" name="Rectangle 228"/>
            <xdr:cNvSpPr>
              <a:spLocks noChangeArrowheads="1"/>
            </xdr:cNvSpPr>
          </xdr:nvSpPr>
          <xdr:spPr bwMode="auto">
            <a:xfrm>
              <a:off x="3967726" y="62852144"/>
              <a:ext cx="515129" cy="3811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  <xdr:grpSp>
          <xdr:nvGrpSpPr>
            <xdr:cNvPr id="3289758" name="グループ化 2"/>
            <xdr:cNvGrpSpPr>
              <a:grpSpLocks/>
            </xdr:cNvGrpSpPr>
          </xdr:nvGrpSpPr>
          <xdr:grpSpPr bwMode="auto">
            <a:xfrm>
              <a:off x="3578273" y="62549202"/>
              <a:ext cx="1769610" cy="693835"/>
              <a:chOff x="3578273" y="62549202"/>
              <a:chExt cx="1769610" cy="693835"/>
            </a:xfrm>
          </xdr:grpSpPr>
          <xdr:grpSp>
            <xdr:nvGrpSpPr>
              <xdr:cNvPr id="3289759" name="Group 63"/>
              <xdr:cNvGrpSpPr>
                <a:grpSpLocks/>
              </xdr:cNvGrpSpPr>
            </xdr:nvGrpSpPr>
            <xdr:grpSpPr bwMode="auto">
              <a:xfrm>
                <a:off x="3578273" y="62584339"/>
                <a:ext cx="1123950" cy="514350"/>
                <a:chOff x="1236" y="509"/>
                <a:chExt cx="118" cy="54"/>
              </a:xfrm>
            </xdr:grpSpPr>
            <xdr:sp macro="" textlink="">
              <xdr:nvSpPr>
                <xdr:cNvPr id="3289764" name="Line 64"/>
                <xdr:cNvSpPr>
                  <a:spLocks noChangeShapeType="1"/>
                </xdr:cNvSpPr>
              </xdr:nvSpPr>
              <xdr:spPr bwMode="auto">
                <a:xfrm flipH="1" flipV="1">
                  <a:off x="1274" y="523"/>
                  <a:ext cx="27" cy="22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65" name="Line 65"/>
                <xdr:cNvSpPr>
                  <a:spLocks noChangeShapeType="1"/>
                </xdr:cNvSpPr>
              </xdr:nvSpPr>
              <xdr:spPr bwMode="auto">
                <a:xfrm flipV="1">
                  <a:off x="1237" y="523"/>
                  <a:ext cx="37" cy="3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66" name="Line 66"/>
                <xdr:cNvSpPr>
                  <a:spLocks noChangeShapeType="1"/>
                </xdr:cNvSpPr>
              </xdr:nvSpPr>
              <xdr:spPr bwMode="auto">
                <a:xfrm>
                  <a:off x="1300" y="545"/>
                  <a:ext cx="52" cy="18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67" name="Line 67"/>
                <xdr:cNvSpPr>
                  <a:spLocks noChangeShapeType="1"/>
                </xdr:cNvSpPr>
              </xdr:nvSpPr>
              <xdr:spPr bwMode="auto">
                <a:xfrm>
                  <a:off x="1273" y="510"/>
                  <a:ext cx="81" cy="28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68" name="Line 68"/>
                <xdr:cNvSpPr>
                  <a:spLocks noChangeShapeType="1"/>
                </xdr:cNvSpPr>
              </xdr:nvSpPr>
              <xdr:spPr bwMode="auto">
                <a:xfrm>
                  <a:off x="1274" y="537"/>
                  <a:ext cx="24" cy="8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69" name="Line 69"/>
                <xdr:cNvSpPr>
                  <a:spLocks noChangeShapeType="1"/>
                </xdr:cNvSpPr>
              </xdr:nvSpPr>
              <xdr:spPr bwMode="auto">
                <a:xfrm flipH="1">
                  <a:off x="1237" y="536"/>
                  <a:ext cx="35" cy="16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70" name="Line 70"/>
                <xdr:cNvSpPr>
                  <a:spLocks noChangeShapeType="1"/>
                </xdr:cNvSpPr>
              </xdr:nvSpPr>
              <xdr:spPr bwMode="auto">
                <a:xfrm>
                  <a:off x="1273" y="509"/>
                  <a:ext cx="0" cy="26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71" name="Line 72"/>
                <xdr:cNvSpPr>
                  <a:spLocks noChangeShapeType="1"/>
                </xdr:cNvSpPr>
              </xdr:nvSpPr>
              <xdr:spPr bwMode="auto">
                <a:xfrm>
                  <a:off x="1236" y="526"/>
                  <a:ext cx="0" cy="26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72" name="Line 75"/>
                <xdr:cNvSpPr>
                  <a:spLocks noChangeShapeType="1"/>
                </xdr:cNvSpPr>
              </xdr:nvSpPr>
              <xdr:spPr bwMode="auto">
                <a:xfrm>
                  <a:off x="1353" y="538"/>
                  <a:ext cx="0" cy="25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716" name="テキスト ボックス 2715"/>
              <xdr:cNvSpPr txBox="1"/>
            </xdr:nvSpPr>
            <xdr:spPr bwMode="auto">
              <a:xfrm>
                <a:off x="4132956" y="62998729"/>
                <a:ext cx="651201" cy="24430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600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  <xdr:sp macro="" textlink="">
            <xdr:nvSpPr>
              <xdr:cNvPr id="2717" name="正方形/長方形 2716"/>
              <xdr:cNvSpPr/>
            </xdr:nvSpPr>
            <xdr:spPr>
              <a:xfrm>
                <a:off x="4113517" y="62549202"/>
                <a:ext cx="223547" cy="156357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ja-JP" altLang="en-US"/>
              </a:p>
            </xdr:txBody>
          </xdr:sp>
          <xdr:sp macro="" textlink="">
            <xdr:nvSpPr>
              <xdr:cNvPr id="2723" name="テキスト ボックス 2722"/>
              <xdr:cNvSpPr txBox="1"/>
            </xdr:nvSpPr>
            <xdr:spPr bwMode="auto">
              <a:xfrm>
                <a:off x="3919129" y="62627381"/>
                <a:ext cx="447093" cy="21499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245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  <xdr:sp macro="" textlink="">
            <xdr:nvSpPr>
              <xdr:cNvPr id="2724" name="テキスト ボックス 2723"/>
              <xdr:cNvSpPr txBox="1"/>
            </xdr:nvSpPr>
            <xdr:spPr bwMode="auto">
              <a:xfrm>
                <a:off x="4696682" y="62901006"/>
                <a:ext cx="651201" cy="24430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280(</a:t>
                </a:r>
                <a:r>
                  <a:rPr kumimoji="1" lang="ja-JP" altLang="en-US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外</a:t>
                </a:r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)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</xdr:grpSp>
      </xdr:grpSp>
      <xdr:sp macro="" textlink="">
        <xdr:nvSpPr>
          <xdr:cNvPr id="3289751" name="Line 69"/>
          <xdr:cNvSpPr>
            <a:spLocks noChangeShapeType="1"/>
          </xdr:cNvSpPr>
        </xdr:nvSpPr>
        <xdr:spPr bwMode="auto">
          <a:xfrm flipH="1">
            <a:off x="12600652" y="48772701"/>
            <a:ext cx="350255" cy="159426"/>
          </a:xfrm>
          <a:prstGeom prst="line">
            <a:avLst/>
          </a:prstGeom>
          <a:noFill/>
          <a:ln w="12700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5" name="テキスト ボックス 2734"/>
          <xdr:cNvSpPr txBox="1"/>
        </xdr:nvSpPr>
        <xdr:spPr bwMode="auto">
          <a:xfrm>
            <a:off x="12520894" y="48897095"/>
            <a:ext cx="439888" cy="2103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150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89753" name="Line 67"/>
          <xdr:cNvSpPr>
            <a:spLocks noChangeShapeType="1"/>
          </xdr:cNvSpPr>
        </xdr:nvSpPr>
        <xdr:spPr bwMode="auto">
          <a:xfrm>
            <a:off x="13734563" y="49043033"/>
            <a:ext cx="79760" cy="2742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754" name="Line 67"/>
          <xdr:cNvSpPr>
            <a:spLocks noChangeShapeType="1"/>
          </xdr:cNvSpPr>
        </xdr:nvSpPr>
        <xdr:spPr bwMode="auto">
          <a:xfrm>
            <a:off x="13739479" y="49284537"/>
            <a:ext cx="79760" cy="2742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755" name="Line 75"/>
          <xdr:cNvSpPr>
            <a:spLocks noChangeShapeType="1"/>
          </xdr:cNvSpPr>
        </xdr:nvSpPr>
        <xdr:spPr bwMode="auto">
          <a:xfrm>
            <a:off x="13780652" y="49061468"/>
            <a:ext cx="0" cy="2330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116</xdr:col>
      <xdr:colOff>57150</xdr:colOff>
      <xdr:row>454</xdr:row>
      <xdr:rowOff>9525</xdr:rowOff>
    </xdr:from>
    <xdr:to>
      <xdr:col>143</xdr:col>
      <xdr:colOff>28575</xdr:colOff>
      <xdr:row>460</xdr:row>
      <xdr:rowOff>76200</xdr:rowOff>
    </xdr:to>
    <xdr:grpSp>
      <xdr:nvGrpSpPr>
        <xdr:cNvPr id="3288882" name="グループ化 2"/>
        <xdr:cNvGrpSpPr>
          <a:grpSpLocks/>
        </xdr:cNvGrpSpPr>
      </xdr:nvGrpSpPr>
      <xdr:grpSpPr bwMode="auto">
        <a:xfrm>
          <a:off x="10240241" y="39737434"/>
          <a:ext cx="2309379" cy="586221"/>
          <a:chOff x="3216186" y="39003317"/>
          <a:chExt cx="2289141" cy="578153"/>
        </a:xfrm>
      </xdr:grpSpPr>
      <xdr:grpSp>
        <xdr:nvGrpSpPr>
          <xdr:cNvPr id="3289726" name="グループ化 3"/>
          <xdr:cNvGrpSpPr>
            <a:grpSpLocks/>
          </xdr:cNvGrpSpPr>
        </xdr:nvGrpSpPr>
        <xdr:grpSpPr bwMode="auto">
          <a:xfrm>
            <a:off x="3216186" y="39004279"/>
            <a:ext cx="2289141" cy="577191"/>
            <a:chOff x="3275759" y="62660539"/>
            <a:chExt cx="2334883" cy="602076"/>
          </a:xfrm>
        </xdr:grpSpPr>
        <xdr:sp macro="" textlink="">
          <xdr:nvSpPr>
            <xdr:cNvPr id="3289734" name="Freeform 227"/>
            <xdr:cNvSpPr>
              <a:spLocks/>
            </xdr:cNvSpPr>
          </xdr:nvSpPr>
          <xdr:spPr bwMode="auto">
            <a:xfrm rot="3200040">
              <a:off x="3838728" y="62943084"/>
              <a:ext cx="134034" cy="71362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5987" name="Rectangle 228"/>
            <xdr:cNvSpPr>
              <a:spLocks noChangeArrowheads="1"/>
            </xdr:cNvSpPr>
          </xdr:nvSpPr>
          <xdr:spPr bwMode="auto">
            <a:xfrm>
              <a:off x="3713550" y="62966018"/>
              <a:ext cx="369690" cy="29659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  <xdr:grpSp>
          <xdr:nvGrpSpPr>
            <xdr:cNvPr id="3289736" name="グループ化 2"/>
            <xdr:cNvGrpSpPr>
              <a:grpSpLocks/>
            </xdr:cNvGrpSpPr>
          </xdr:nvGrpSpPr>
          <xdr:grpSpPr bwMode="auto">
            <a:xfrm>
              <a:off x="3275759" y="62660539"/>
              <a:ext cx="2334883" cy="514350"/>
              <a:chOff x="3275759" y="62660539"/>
              <a:chExt cx="2334883" cy="514350"/>
            </a:xfrm>
          </xdr:grpSpPr>
          <xdr:grpSp>
            <xdr:nvGrpSpPr>
              <xdr:cNvPr id="3289737" name="Group 63"/>
              <xdr:cNvGrpSpPr>
                <a:grpSpLocks/>
              </xdr:cNvGrpSpPr>
            </xdr:nvGrpSpPr>
            <xdr:grpSpPr bwMode="auto">
              <a:xfrm>
                <a:off x="3359198" y="62660539"/>
                <a:ext cx="1038225" cy="514350"/>
                <a:chOff x="1213" y="517"/>
                <a:chExt cx="109" cy="54"/>
              </a:xfrm>
            </xdr:grpSpPr>
            <xdr:sp macro="" textlink="">
              <xdr:nvSpPr>
                <xdr:cNvPr id="3289742" name="Line 68"/>
                <xdr:cNvSpPr>
                  <a:spLocks noChangeShapeType="1"/>
                </xdr:cNvSpPr>
              </xdr:nvSpPr>
              <xdr:spPr bwMode="auto">
                <a:xfrm>
                  <a:off x="1250" y="546"/>
                  <a:ext cx="71" cy="24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43" name="Line 64"/>
                <xdr:cNvSpPr>
                  <a:spLocks noChangeShapeType="1"/>
                </xdr:cNvSpPr>
              </xdr:nvSpPr>
              <xdr:spPr bwMode="auto">
                <a:xfrm flipH="1" flipV="1">
                  <a:off x="1250" y="535"/>
                  <a:ext cx="20" cy="19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44" name="Line 65"/>
                <xdr:cNvSpPr>
                  <a:spLocks noChangeShapeType="1"/>
                </xdr:cNvSpPr>
              </xdr:nvSpPr>
              <xdr:spPr bwMode="auto">
                <a:xfrm>
                  <a:off x="1214" y="533"/>
                  <a:ext cx="36" cy="2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45" name="Line 66"/>
                <xdr:cNvSpPr>
                  <a:spLocks noChangeShapeType="1"/>
                </xdr:cNvSpPr>
              </xdr:nvSpPr>
              <xdr:spPr bwMode="auto">
                <a:xfrm>
                  <a:off x="1269" y="553"/>
                  <a:ext cx="53" cy="18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46" name="Line 67"/>
                <xdr:cNvSpPr>
                  <a:spLocks noChangeShapeType="1"/>
                </xdr:cNvSpPr>
              </xdr:nvSpPr>
              <xdr:spPr bwMode="auto">
                <a:xfrm>
                  <a:off x="1250" y="517"/>
                  <a:ext cx="71" cy="25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47" name="Line 69"/>
                <xdr:cNvSpPr>
                  <a:spLocks noChangeShapeType="1"/>
                </xdr:cNvSpPr>
              </xdr:nvSpPr>
              <xdr:spPr bwMode="auto">
                <a:xfrm flipH="1">
                  <a:off x="1213" y="546"/>
                  <a:ext cx="37" cy="17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48" name="Line 72"/>
                <xdr:cNvSpPr>
                  <a:spLocks noChangeShapeType="1"/>
                </xdr:cNvSpPr>
              </xdr:nvSpPr>
              <xdr:spPr bwMode="auto">
                <a:xfrm>
                  <a:off x="1214" y="535"/>
                  <a:ext cx="0" cy="28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89749" name="Line 75"/>
                <xdr:cNvSpPr>
                  <a:spLocks noChangeShapeType="1"/>
                </xdr:cNvSpPr>
              </xdr:nvSpPr>
              <xdr:spPr bwMode="auto">
                <a:xfrm>
                  <a:off x="1321" y="542"/>
                  <a:ext cx="0" cy="28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5990" name="テキスト ボックス 5989"/>
              <xdr:cNvSpPr txBox="1"/>
            </xdr:nvSpPr>
            <xdr:spPr bwMode="auto">
              <a:xfrm>
                <a:off x="3995681" y="62886926"/>
                <a:ext cx="428062" cy="2471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600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  <xdr:sp macro="" textlink="">
            <xdr:nvSpPr>
              <xdr:cNvPr id="5991" name="正方形/長方形 5990"/>
              <xdr:cNvSpPr/>
            </xdr:nvSpPr>
            <xdr:spPr>
              <a:xfrm>
                <a:off x="5386882" y="62748514"/>
                <a:ext cx="223760" cy="15818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ja-JP" altLang="en-US"/>
              </a:p>
            </xdr:txBody>
          </xdr:sp>
          <xdr:sp macro="" textlink="">
            <xdr:nvSpPr>
              <xdr:cNvPr id="5992" name="テキスト ボックス 5991"/>
              <xdr:cNvSpPr txBox="1"/>
            </xdr:nvSpPr>
            <xdr:spPr bwMode="auto">
              <a:xfrm>
                <a:off x="3664906" y="62728741"/>
                <a:ext cx="447519" cy="21750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315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  <xdr:sp macro="" textlink="">
            <xdr:nvSpPr>
              <xdr:cNvPr id="5993" name="テキスト ボックス 5992"/>
              <xdr:cNvSpPr txBox="1"/>
            </xdr:nvSpPr>
            <xdr:spPr bwMode="auto">
              <a:xfrm>
                <a:off x="3275759" y="62788061"/>
                <a:ext cx="437791" cy="2471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100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</xdr:grpSp>
      </xdr:grpSp>
      <xdr:grpSp>
        <xdr:nvGrpSpPr>
          <xdr:cNvPr id="3289727" name="グループ化 1"/>
          <xdr:cNvGrpSpPr>
            <a:grpSpLocks/>
          </xdr:cNvGrpSpPr>
        </xdr:nvGrpSpPr>
        <xdr:grpSpPr bwMode="auto">
          <a:xfrm>
            <a:off x="3301911" y="39003317"/>
            <a:ext cx="1628017" cy="525980"/>
            <a:chOff x="3301911" y="39003317"/>
            <a:chExt cx="1628017" cy="525980"/>
          </a:xfrm>
        </xdr:grpSpPr>
        <xdr:sp macro="" textlink="">
          <xdr:nvSpPr>
            <xdr:cNvPr id="3289728" name="Line 69"/>
            <xdr:cNvSpPr>
              <a:spLocks noChangeShapeType="1"/>
            </xdr:cNvSpPr>
          </xdr:nvSpPr>
          <xdr:spPr bwMode="auto">
            <a:xfrm flipH="1">
              <a:off x="3301911" y="39003317"/>
              <a:ext cx="346365" cy="154671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29" name="Line 72"/>
            <xdr:cNvSpPr>
              <a:spLocks noChangeShapeType="1"/>
            </xdr:cNvSpPr>
          </xdr:nvSpPr>
          <xdr:spPr bwMode="auto">
            <a:xfrm>
              <a:off x="3638287" y="39026150"/>
              <a:ext cx="0" cy="25598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30" name="Line 67"/>
            <xdr:cNvSpPr>
              <a:spLocks noChangeShapeType="1"/>
            </xdr:cNvSpPr>
          </xdr:nvSpPr>
          <xdr:spPr bwMode="auto">
            <a:xfrm>
              <a:off x="4338049" y="39240969"/>
              <a:ext cx="80637" cy="2871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31" name="Line 67"/>
            <xdr:cNvSpPr>
              <a:spLocks noChangeShapeType="1"/>
            </xdr:cNvSpPr>
          </xdr:nvSpPr>
          <xdr:spPr bwMode="auto">
            <a:xfrm>
              <a:off x="4343660" y="39507017"/>
              <a:ext cx="61979" cy="2228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89732" name="Line 75"/>
            <xdr:cNvSpPr>
              <a:spLocks noChangeShapeType="1"/>
            </xdr:cNvSpPr>
          </xdr:nvSpPr>
          <xdr:spPr bwMode="auto">
            <a:xfrm>
              <a:off x="4380454" y="39250755"/>
              <a:ext cx="0" cy="265469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30" name="テキスト ボックス 2729"/>
            <xdr:cNvSpPr txBox="1"/>
          </xdr:nvSpPr>
          <xdr:spPr bwMode="auto">
            <a:xfrm>
              <a:off x="4313067" y="39268699"/>
              <a:ext cx="619976" cy="2369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280(</a:t>
              </a:r>
              <a:r>
                <a: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外</a:t>
              </a:r>
              <a:r>
                <a:rPr kumimoji="1" lang="en-US" altLang="ja-JP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)</a:t>
              </a:r>
              <a:endPara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</xdr:grpSp>
    <xdr:clientData/>
  </xdr:twoCellAnchor>
  <xdr:twoCellAnchor>
    <xdr:from>
      <xdr:col>9</xdr:col>
      <xdr:colOff>85725</xdr:colOff>
      <xdr:row>451</xdr:row>
      <xdr:rowOff>9525</xdr:rowOff>
    </xdr:from>
    <xdr:to>
      <xdr:col>28</xdr:col>
      <xdr:colOff>228600</xdr:colOff>
      <xdr:row>457</xdr:row>
      <xdr:rowOff>85725</xdr:rowOff>
    </xdr:to>
    <xdr:grpSp>
      <xdr:nvGrpSpPr>
        <xdr:cNvPr id="3288883" name="グループ化 17"/>
        <xdr:cNvGrpSpPr>
          <a:grpSpLocks/>
        </xdr:cNvGrpSpPr>
      </xdr:nvGrpSpPr>
      <xdr:grpSpPr bwMode="auto">
        <a:xfrm>
          <a:off x="865043" y="39477661"/>
          <a:ext cx="1770784" cy="595746"/>
          <a:chOff x="844854" y="38690071"/>
          <a:chExt cx="1730697" cy="584062"/>
        </a:xfrm>
      </xdr:grpSpPr>
      <xdr:grpSp>
        <xdr:nvGrpSpPr>
          <xdr:cNvPr id="3289692" name="グループ化 16"/>
          <xdr:cNvGrpSpPr>
            <a:grpSpLocks/>
          </xdr:cNvGrpSpPr>
        </xdr:nvGrpSpPr>
        <xdr:grpSpPr bwMode="auto">
          <a:xfrm>
            <a:off x="844854" y="38690071"/>
            <a:ext cx="1184987" cy="584062"/>
            <a:chOff x="844854" y="38690071"/>
            <a:chExt cx="1184987" cy="584062"/>
          </a:xfrm>
        </xdr:grpSpPr>
        <xdr:grpSp>
          <xdr:nvGrpSpPr>
            <xdr:cNvPr id="3289697" name="グループ化 10"/>
            <xdr:cNvGrpSpPr>
              <a:grpSpLocks/>
            </xdr:cNvGrpSpPr>
          </xdr:nvGrpSpPr>
          <xdr:grpSpPr bwMode="auto">
            <a:xfrm>
              <a:off x="844854" y="38690071"/>
              <a:ext cx="1184987" cy="584062"/>
              <a:chOff x="10389283" y="86088879"/>
              <a:chExt cx="1215788" cy="590658"/>
            </a:xfrm>
          </xdr:grpSpPr>
          <xdr:grpSp>
            <xdr:nvGrpSpPr>
              <xdr:cNvPr id="3289700" name="グループ化 3689"/>
              <xdr:cNvGrpSpPr>
                <a:grpSpLocks/>
              </xdr:cNvGrpSpPr>
            </xdr:nvGrpSpPr>
            <xdr:grpSpPr bwMode="auto">
              <a:xfrm>
                <a:off x="10634309" y="86088879"/>
                <a:ext cx="970762" cy="590658"/>
                <a:chOff x="8016349" y="80606489"/>
                <a:chExt cx="933974" cy="567118"/>
              </a:xfrm>
            </xdr:grpSpPr>
            <xdr:grpSp>
              <xdr:nvGrpSpPr>
                <xdr:cNvPr id="3289706" name="グループ化 27"/>
                <xdr:cNvGrpSpPr>
                  <a:grpSpLocks/>
                </xdr:cNvGrpSpPr>
              </xdr:nvGrpSpPr>
              <xdr:grpSpPr bwMode="auto">
                <a:xfrm>
                  <a:off x="8016349" y="80606489"/>
                  <a:ext cx="933974" cy="567118"/>
                  <a:chOff x="3428112" y="58248492"/>
                  <a:chExt cx="973257" cy="587076"/>
                </a:xfrm>
              </xdr:grpSpPr>
              <xdr:grpSp>
                <xdr:nvGrpSpPr>
                  <xdr:cNvPr id="3289710" name="グループ化 22"/>
                  <xdr:cNvGrpSpPr>
                    <a:grpSpLocks/>
                  </xdr:cNvGrpSpPr>
                </xdr:nvGrpSpPr>
                <xdr:grpSpPr bwMode="auto">
                  <a:xfrm>
                    <a:off x="3428112" y="58248492"/>
                    <a:ext cx="973257" cy="587076"/>
                    <a:chOff x="3547123" y="55970207"/>
                    <a:chExt cx="935370" cy="564594"/>
                  </a:xfrm>
                </xdr:grpSpPr>
                <xdr:grpSp>
                  <xdr:nvGrpSpPr>
                    <xdr:cNvPr id="3289713" name="グループ化 12"/>
                    <xdr:cNvGrpSpPr>
                      <a:grpSpLocks/>
                    </xdr:cNvGrpSpPr>
                  </xdr:nvGrpSpPr>
                  <xdr:grpSpPr bwMode="auto">
                    <a:xfrm>
                      <a:off x="3547123" y="55970207"/>
                      <a:ext cx="935370" cy="564594"/>
                      <a:chOff x="3694705" y="57052727"/>
                      <a:chExt cx="952831" cy="574852"/>
                    </a:xfrm>
                  </xdr:grpSpPr>
                  <xdr:grpSp>
                    <xdr:nvGrpSpPr>
                      <xdr:cNvPr id="3289715" name="グループ化 7"/>
                      <xdr:cNvGrpSpPr>
                        <a:grpSpLocks/>
                      </xdr:cNvGrpSpPr>
                    </xdr:nvGrpSpPr>
                    <xdr:grpSpPr bwMode="auto">
                      <a:xfrm>
                        <a:off x="3694705" y="57052727"/>
                        <a:ext cx="952831" cy="574852"/>
                        <a:chOff x="4125785" y="29763564"/>
                        <a:chExt cx="923331" cy="559816"/>
                      </a:xfrm>
                    </xdr:grpSpPr>
                    <xdr:grpSp>
                      <xdr:nvGrpSpPr>
                        <xdr:cNvPr id="3289719" name="グループ化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213851" y="29763564"/>
                          <a:ext cx="745285" cy="267935"/>
                          <a:chOff x="4356726" y="29775470"/>
                          <a:chExt cx="745285" cy="267935"/>
                        </a:xfrm>
                      </xdr:grpSpPr>
                      <xdr:grpSp>
                        <xdr:nvGrpSpPr>
                          <xdr:cNvPr id="3289722" name="グループ化 648"/>
                          <xdr:cNvGrpSpPr>
                            <a:grpSpLocks/>
                          </xdr:cNvGrpSpPr>
                        </xdr:nvGrpSpPr>
                        <xdr:grpSpPr bwMode="auto">
                          <a:xfrm flipH="1">
                            <a:off x="4412551" y="29775470"/>
                            <a:ext cx="689460" cy="168043"/>
                            <a:chOff x="1823116" y="1160503"/>
                            <a:chExt cx="1557240" cy="324142"/>
                          </a:xfrm>
                        </xdr:grpSpPr>
                        <xdr:cxnSp macro="">
                          <xdr:nvCxnSpPr>
                            <xdr:cNvPr id="2769" name="直線コネクタ 2768"/>
                            <xdr:cNvCxnSpPr/>
                          </xdr:nvCxnSpPr>
                          <xdr:spPr>
                            <a:xfrm flipV="1">
                              <a:off x="1938770" y="1160503"/>
                              <a:ext cx="708736" cy="330919"/>
                            </a:xfrm>
                            <a:prstGeom prst="line">
                              <a:avLst/>
                            </a:prstGeom>
                            <a:ln w="3175">
                              <a:prstDash val="sysDot"/>
                            </a:ln>
                          </xdr:spPr>
                          <xdr:style>
                            <a:lnRef idx="1">
                              <a:schemeClr val="dk1"/>
                            </a:lnRef>
                            <a:fillRef idx="0">
                              <a:schemeClr val="dk1"/>
                            </a:fillRef>
                            <a:effectRef idx="0">
                              <a:schemeClr val="dk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2770" name="直線コネクタ 2769"/>
                            <xdr:cNvCxnSpPr/>
                          </xdr:nvCxnSpPr>
                          <xdr:spPr>
                            <a:xfrm>
                              <a:off x="2668351" y="1160503"/>
                              <a:ext cx="708736" cy="296085"/>
                            </a:xfrm>
                            <a:prstGeom prst="line">
                              <a:avLst/>
                            </a:prstGeom>
                            <a:ln w="3175">
                              <a:prstDash val="sysDot"/>
                            </a:ln>
                          </xdr:spPr>
                          <xdr:style>
                            <a:lnRef idx="1">
                              <a:schemeClr val="dk1"/>
                            </a:lnRef>
                            <a:fillRef idx="0">
                              <a:schemeClr val="dk1"/>
                            </a:fillRef>
                            <a:effectRef idx="0">
                              <a:schemeClr val="dk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</xdr:grpSp>
                      <xdr:sp macro="" textlink="">
                        <xdr:nvSpPr>
                          <xdr:cNvPr id="2768" name="テキスト ボックス 2767"/>
                          <xdr:cNvSpPr txBox="1"/>
                        </xdr:nvSpPr>
                        <xdr:spPr>
                          <a:xfrm>
                            <a:off x="4358624" y="29856734"/>
                            <a:ext cx="452225" cy="189615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pPr algn="ctr"/>
                            <a:r>
                              <a:rPr kumimoji="1" lang="en-US" altLang="ja-JP" sz="900">
                                <a:latin typeface="ＭＳ ゴシック" panose="020B0609070205080204" pitchFamily="49" charset="-128"/>
                                <a:ea typeface="ＭＳ ゴシック" panose="020B0609070205080204" pitchFamily="49" charset="-128"/>
                              </a:rPr>
                              <a:t>140</a:t>
                            </a:r>
                            <a:endParaRPr kumimoji="1" lang="ja-JP" altLang="en-US" sz="900">
                              <a:latin typeface="ＭＳ ゴシック" panose="020B0609070205080204" pitchFamily="49" charset="-128"/>
                              <a:ea typeface="ＭＳ ゴシック" panose="020B0609070205080204" pitchFamily="49" charset="-128"/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2765" name="テキスト ボックス 2764"/>
                        <xdr:cNvSpPr txBox="1"/>
                      </xdr:nvSpPr>
                      <xdr:spPr>
                        <a:xfrm>
                          <a:off x="4123459" y="30142794"/>
                          <a:ext cx="470683" cy="180586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kumimoji="1" lang="en-US" altLang="ja-JP" sz="900">
                              <a:latin typeface="ＭＳ ゴシック" panose="020B0609070205080204" pitchFamily="49" charset="-128"/>
                              <a:ea typeface="ＭＳ ゴシック" panose="020B0609070205080204" pitchFamily="49" charset="-128"/>
                            </a:rPr>
                            <a:t>100</a:t>
                          </a:r>
                          <a:endParaRPr kumimoji="1" lang="ja-JP" altLang="en-US" sz="900">
                            <a:latin typeface="ＭＳ ゴシック" panose="020B0609070205080204" pitchFamily="49" charset="-128"/>
                            <a:ea typeface="ＭＳ ゴシック" panose="020B0609070205080204" pitchFamily="49" charset="-128"/>
                          </a:endParaRPr>
                        </a:p>
                      </xdr:txBody>
                    </xdr:sp>
                    <xdr:sp macro="" textlink="">
                      <xdr:nvSpPr>
                        <xdr:cNvPr id="2766" name="テキスト ボックス 2765"/>
                        <xdr:cNvSpPr txBox="1"/>
                      </xdr:nvSpPr>
                      <xdr:spPr>
                        <a:xfrm>
                          <a:off x="4584913" y="29917062"/>
                          <a:ext cx="461454" cy="189615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kumimoji="1" lang="en-US" altLang="ja-JP" sz="900">
                              <a:latin typeface="ＭＳ ゴシック" panose="020B0609070205080204" pitchFamily="49" charset="-128"/>
                              <a:ea typeface="ＭＳ ゴシック" panose="020B0609070205080204" pitchFamily="49" charset="-128"/>
                            </a:rPr>
                            <a:t>250</a:t>
                          </a:r>
                          <a:endParaRPr kumimoji="1" lang="ja-JP" altLang="en-US" sz="900">
                            <a:latin typeface="ＭＳ ゴシック" panose="020B0609070205080204" pitchFamily="49" charset="-128"/>
                            <a:ea typeface="ＭＳ ゴシック" panose="020B0609070205080204" pitchFamily="49" charset="-128"/>
                          </a:endParaRPr>
                        </a:p>
                      </xdr:txBody>
                    </xdr:sp>
                  </xdr:grpSp>
                  <xdr:grpSp>
                    <xdr:nvGrpSpPr>
                      <xdr:cNvPr id="3289716" name="グループ化 11"/>
                      <xdr:cNvGrpSpPr>
                        <a:grpSpLocks/>
                      </xdr:cNvGrpSpPr>
                    </xdr:nvGrpSpPr>
                    <xdr:grpSpPr bwMode="auto">
                      <a:xfrm>
                        <a:off x="3842905" y="57207185"/>
                        <a:ext cx="337289" cy="265505"/>
                        <a:chOff x="3842905" y="57207185"/>
                        <a:chExt cx="337289" cy="265505"/>
                      </a:xfrm>
                    </xdr:grpSpPr>
                    <xdr:cxnSp macro="">
                      <xdr:nvCxnSpPr>
                        <xdr:cNvPr id="2762" name="直線コネクタ 2761"/>
                        <xdr:cNvCxnSpPr/>
                      </xdr:nvCxnSpPr>
                      <xdr:spPr bwMode="auto">
                        <a:xfrm flipH="1">
                          <a:off x="3844688" y="57303066"/>
                          <a:ext cx="333338" cy="166893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2763" name="直線コネクタ 2762"/>
                        <xdr:cNvCxnSpPr/>
                      </xdr:nvCxnSpPr>
                      <xdr:spPr bwMode="auto">
                        <a:xfrm>
                          <a:off x="3844688" y="57210348"/>
                          <a:ext cx="0" cy="259611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</xdr:grpSp>
                <xdr:cxnSp macro="">
                  <xdr:nvCxnSpPr>
                    <xdr:cNvPr id="2759" name="直線コネクタ 2758"/>
                    <xdr:cNvCxnSpPr/>
                  </xdr:nvCxnSpPr>
                  <xdr:spPr bwMode="auto">
                    <a:xfrm flipH="1" flipV="1">
                      <a:off x="4012237" y="56115909"/>
                      <a:ext cx="383326" cy="27319"/>
                    </a:xfrm>
                    <a:prstGeom prst="line">
                      <a:avLst/>
                    </a:prstGeom>
                    <a:ln w="19050">
                      <a:prstDash val="solid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3289711" name="Freeform 227"/>
                  <xdr:cNvSpPr>
                    <a:spLocks/>
                  </xdr:cNvSpPr>
                </xdr:nvSpPr>
                <xdr:spPr bwMode="auto">
                  <a:xfrm rot="-449890">
                    <a:off x="3734599" y="58528066"/>
                    <a:ext cx="102165" cy="54235"/>
                  </a:xfrm>
                  <a:custGeom>
                    <a:avLst/>
                    <a:gdLst>
                      <a:gd name="T0" fmla="*/ 0 w 15"/>
                      <a:gd name="T1" fmla="*/ 2147483646 h 8"/>
                      <a:gd name="T2" fmla="*/ 2147483646 w 15"/>
                      <a:gd name="T3" fmla="*/ 2147483646 h 8"/>
                      <a:gd name="T4" fmla="*/ 2147483646 w 15"/>
                      <a:gd name="T5" fmla="*/ 0 h 8"/>
                      <a:gd name="T6" fmla="*/ 2147483646 w 15"/>
                      <a:gd name="T7" fmla="*/ 2147483646 h 8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15" h="8">
                        <a:moveTo>
                          <a:pt x="0" y="8"/>
                        </a:moveTo>
                        <a:cubicBezTo>
                          <a:pt x="1" y="5"/>
                          <a:pt x="2" y="3"/>
                          <a:pt x="3" y="2"/>
                        </a:cubicBezTo>
                        <a:cubicBezTo>
                          <a:pt x="4" y="1"/>
                          <a:pt x="6" y="0"/>
                          <a:pt x="8" y="0"/>
                        </a:cubicBezTo>
                        <a:cubicBezTo>
                          <a:pt x="10" y="0"/>
                          <a:pt x="12" y="1"/>
                          <a:pt x="15" y="2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prstDash val="solid"/>
                    <a:round/>
                    <a:headEnd/>
                    <a:tailEnd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xmlns:mc="http://schemas.openxmlformats.org/markup-compatibility/2006" val="E6E6E6" mc:Ignorable="a14" a14:legacySpreadsheetColorIndex="9"/>
                        </a:solidFill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2757" name="Rectangle 228"/>
                  <xdr:cNvSpPr>
                    <a:spLocks noChangeArrowheads="1"/>
                  </xdr:cNvSpPr>
                </xdr:nvSpPr>
                <xdr:spPr bwMode="auto">
                  <a:xfrm>
                    <a:off x="3717503" y="58504154"/>
                    <a:ext cx="389125" cy="29353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xmlns:mc="http://schemas.openxmlformats.org/markup-compatibility/2006" val="E6E6E6" mc:Ignorable="a14" a14:legacySpreadsheetColorIndex="9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xmlns:mc="http://schemas.openxmlformats.org/markup-compatibility/2006"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wrap="none" lIns="0" tIns="0" rIns="0" bIns="0" anchor="ctr" upright="1">
                    <a:noAutofit/>
                  </a:bodyPr>
                  <a:lstStyle/>
                  <a:p>
                    <a:pPr algn="ctr" rtl="0">
                      <a:defRPr sz="1000"/>
                    </a:pPr>
                    <a:r>
                      <a:rPr lang="ja-JP" altLang="en-US" sz="900" b="0" i="0" u="none" strike="noStrike" baseline="0">
                        <a:solidFill>
                          <a:srgbClr val="000000"/>
                        </a:solidFill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rPr>
                      <a:t>135°</a:t>
                    </a:r>
                  </a:p>
                </xdr:txBody>
              </xdr:sp>
            </xdr:grpSp>
            <xdr:cxnSp macro="">
              <xdr:nvCxnSpPr>
                <xdr:cNvPr id="2751" name="直線コネクタ 2750"/>
                <xdr:cNvCxnSpPr/>
              </xdr:nvCxnSpPr>
              <xdr:spPr bwMode="auto">
                <a:xfrm flipH="1" flipV="1">
                  <a:off x="8480769" y="80862607"/>
                  <a:ext cx="382754" cy="164647"/>
                </a:xfrm>
                <a:prstGeom prst="line">
                  <a:avLst/>
                </a:prstGeom>
                <a:ln w="3175">
                  <a:prstDash val="sysDot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53" name="直線コネクタ 2752"/>
                <xdr:cNvCxnSpPr/>
              </xdr:nvCxnSpPr>
              <xdr:spPr bwMode="auto">
                <a:xfrm flipH="1">
                  <a:off x="8154028" y="80917489"/>
                  <a:ext cx="224051" cy="109765"/>
                </a:xfrm>
                <a:prstGeom prst="line">
                  <a:avLst/>
                </a:prstGeom>
                <a:ln w="19050">
                  <a:prstDash val="soli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54" name="直線コネクタ 2753"/>
                <xdr:cNvCxnSpPr/>
              </xdr:nvCxnSpPr>
              <xdr:spPr bwMode="auto">
                <a:xfrm flipH="1">
                  <a:off x="8368744" y="80752842"/>
                  <a:ext cx="121361" cy="164647"/>
                </a:xfrm>
                <a:prstGeom prst="line">
                  <a:avLst/>
                </a:prstGeom>
                <a:ln w="19050">
                  <a:prstDash val="soli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2739" name="直線コネクタ 2738"/>
              <xdr:cNvCxnSpPr/>
            </xdr:nvCxnSpPr>
            <xdr:spPr bwMode="auto">
              <a:xfrm flipH="1" flipV="1">
                <a:off x="10476612" y="86107932"/>
                <a:ext cx="300799" cy="133374"/>
              </a:xfrm>
              <a:prstGeom prst="line">
                <a:avLst/>
              </a:prstGeom>
              <a:ln w="3175">
                <a:prstDash val="sysDot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740" name="直線コネクタ 2739"/>
              <xdr:cNvCxnSpPr/>
            </xdr:nvCxnSpPr>
            <xdr:spPr bwMode="auto">
              <a:xfrm flipH="1" flipV="1">
                <a:off x="10466908" y="86374681"/>
                <a:ext cx="310502" cy="133374"/>
              </a:xfrm>
              <a:prstGeom prst="line">
                <a:avLst/>
              </a:prstGeom>
              <a:ln w="3175">
                <a:prstDash val="sysDot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747" name="直線コネクタ 2746"/>
              <xdr:cNvCxnSpPr/>
            </xdr:nvCxnSpPr>
            <xdr:spPr bwMode="auto">
              <a:xfrm>
                <a:off x="10476612" y="86107932"/>
                <a:ext cx="0" cy="266749"/>
              </a:xfrm>
              <a:prstGeom prst="line">
                <a:avLst/>
              </a:prstGeom>
              <a:ln w="3175">
                <a:prstDash val="sysDot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748" name="直線コネクタ 2747"/>
              <xdr:cNvCxnSpPr/>
            </xdr:nvCxnSpPr>
            <xdr:spPr bwMode="auto">
              <a:xfrm flipH="1" flipV="1">
                <a:off x="10457205" y="86374681"/>
                <a:ext cx="329908" cy="142901"/>
              </a:xfrm>
              <a:prstGeom prst="line">
                <a:avLst/>
              </a:prstGeom>
              <a:ln w="19050">
                <a:prstDash val="soli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749" name="テキスト ボックス 2748"/>
              <xdr:cNvSpPr txBox="1"/>
            </xdr:nvSpPr>
            <xdr:spPr bwMode="auto">
              <a:xfrm>
                <a:off x="10389283" y="86241307"/>
                <a:ext cx="494862" cy="1905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600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</xdr:grpSp>
        <xdr:cxnSp macro="">
          <xdr:nvCxnSpPr>
            <xdr:cNvPr id="2772" name="直線コネクタ 2771"/>
            <xdr:cNvCxnSpPr/>
          </xdr:nvCxnSpPr>
          <xdr:spPr bwMode="auto">
            <a:xfrm>
              <a:off x="1554156" y="38690071"/>
              <a:ext cx="0" cy="273190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直線コネクタ 2772"/>
            <xdr:cNvCxnSpPr/>
          </xdr:nvCxnSpPr>
          <xdr:spPr bwMode="auto">
            <a:xfrm>
              <a:off x="1941908" y="38869058"/>
              <a:ext cx="0" cy="263770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289693" name="Line 67"/>
          <xdr:cNvSpPr>
            <a:spLocks noChangeShapeType="1"/>
          </xdr:cNvSpPr>
        </xdr:nvSpPr>
        <xdr:spPr bwMode="auto">
          <a:xfrm>
            <a:off x="1973502" y="38883068"/>
            <a:ext cx="79800" cy="28395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694" name="Line 67"/>
          <xdr:cNvSpPr>
            <a:spLocks noChangeShapeType="1"/>
          </xdr:cNvSpPr>
        </xdr:nvSpPr>
        <xdr:spPr bwMode="auto">
          <a:xfrm>
            <a:off x="1979055" y="39146174"/>
            <a:ext cx="61336" cy="22034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695" name="Line 75"/>
          <xdr:cNvSpPr>
            <a:spLocks noChangeShapeType="1"/>
          </xdr:cNvSpPr>
        </xdr:nvSpPr>
        <xdr:spPr bwMode="auto">
          <a:xfrm>
            <a:off x="2015467" y="38892746"/>
            <a:ext cx="0" cy="262534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83" name="テキスト ボックス 2782"/>
          <xdr:cNvSpPr txBox="1"/>
        </xdr:nvSpPr>
        <xdr:spPr bwMode="auto">
          <a:xfrm>
            <a:off x="1960823" y="38916160"/>
            <a:ext cx="614728" cy="2355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280(</a:t>
            </a:r>
            <a:r>
              <a: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外</a:t>
            </a:r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)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133</xdr:col>
      <xdr:colOff>19050</xdr:colOff>
      <xdr:row>504</xdr:row>
      <xdr:rowOff>38100</xdr:rowOff>
    </xdr:from>
    <xdr:to>
      <xdr:col>153</xdr:col>
      <xdr:colOff>47625</xdr:colOff>
      <xdr:row>511</xdr:row>
      <xdr:rowOff>28575</xdr:rowOff>
    </xdr:to>
    <xdr:grpSp>
      <xdr:nvGrpSpPr>
        <xdr:cNvPr id="3288884" name="グループ化 2784"/>
        <xdr:cNvGrpSpPr>
          <a:grpSpLocks/>
        </xdr:cNvGrpSpPr>
      </xdr:nvGrpSpPr>
      <xdr:grpSpPr bwMode="auto">
        <a:xfrm>
          <a:off x="11674186" y="44095555"/>
          <a:ext cx="1760394" cy="596611"/>
          <a:chOff x="844854" y="38690071"/>
          <a:chExt cx="1730697" cy="584062"/>
        </a:xfrm>
      </xdr:grpSpPr>
      <xdr:grpSp>
        <xdr:nvGrpSpPr>
          <xdr:cNvPr id="3289658" name="グループ化 2785"/>
          <xdr:cNvGrpSpPr>
            <a:grpSpLocks/>
          </xdr:cNvGrpSpPr>
        </xdr:nvGrpSpPr>
        <xdr:grpSpPr bwMode="auto">
          <a:xfrm>
            <a:off x="844854" y="38690071"/>
            <a:ext cx="1184987" cy="584062"/>
            <a:chOff x="844854" y="38690071"/>
            <a:chExt cx="1184987" cy="584062"/>
          </a:xfrm>
        </xdr:grpSpPr>
        <xdr:grpSp>
          <xdr:nvGrpSpPr>
            <xdr:cNvPr id="3289663" name="グループ化 10"/>
            <xdr:cNvGrpSpPr>
              <a:grpSpLocks/>
            </xdr:cNvGrpSpPr>
          </xdr:nvGrpSpPr>
          <xdr:grpSpPr bwMode="auto">
            <a:xfrm>
              <a:off x="844854" y="38690071"/>
              <a:ext cx="1184987" cy="584062"/>
              <a:chOff x="10389283" y="86088879"/>
              <a:chExt cx="1215788" cy="590658"/>
            </a:xfrm>
          </xdr:grpSpPr>
          <xdr:grpSp>
            <xdr:nvGrpSpPr>
              <xdr:cNvPr id="3289666" name="グループ化 3689"/>
              <xdr:cNvGrpSpPr>
                <a:grpSpLocks/>
              </xdr:cNvGrpSpPr>
            </xdr:nvGrpSpPr>
            <xdr:grpSpPr bwMode="auto">
              <a:xfrm>
                <a:off x="10634309" y="86088879"/>
                <a:ext cx="970762" cy="590658"/>
                <a:chOff x="8016349" y="80606489"/>
                <a:chExt cx="933974" cy="567118"/>
              </a:xfrm>
            </xdr:grpSpPr>
            <xdr:grpSp>
              <xdr:nvGrpSpPr>
                <xdr:cNvPr id="3289672" name="グループ化 27"/>
                <xdr:cNvGrpSpPr>
                  <a:grpSpLocks/>
                </xdr:cNvGrpSpPr>
              </xdr:nvGrpSpPr>
              <xdr:grpSpPr bwMode="auto">
                <a:xfrm>
                  <a:off x="8016349" y="80606489"/>
                  <a:ext cx="933974" cy="567118"/>
                  <a:chOff x="3428112" y="58248492"/>
                  <a:chExt cx="973257" cy="587076"/>
                </a:xfrm>
              </xdr:grpSpPr>
              <xdr:grpSp>
                <xdr:nvGrpSpPr>
                  <xdr:cNvPr id="3289676" name="グループ化 22"/>
                  <xdr:cNvGrpSpPr>
                    <a:grpSpLocks/>
                  </xdr:cNvGrpSpPr>
                </xdr:nvGrpSpPr>
                <xdr:grpSpPr bwMode="auto">
                  <a:xfrm>
                    <a:off x="3428112" y="58248492"/>
                    <a:ext cx="973257" cy="587076"/>
                    <a:chOff x="3547123" y="55970207"/>
                    <a:chExt cx="935370" cy="564594"/>
                  </a:xfrm>
                </xdr:grpSpPr>
                <xdr:grpSp>
                  <xdr:nvGrpSpPr>
                    <xdr:cNvPr id="3289679" name="グループ化 12"/>
                    <xdr:cNvGrpSpPr>
                      <a:grpSpLocks/>
                    </xdr:cNvGrpSpPr>
                  </xdr:nvGrpSpPr>
                  <xdr:grpSpPr bwMode="auto">
                    <a:xfrm>
                      <a:off x="3547123" y="55970207"/>
                      <a:ext cx="935370" cy="564594"/>
                      <a:chOff x="3694705" y="57052727"/>
                      <a:chExt cx="952831" cy="574852"/>
                    </a:xfrm>
                  </xdr:grpSpPr>
                  <xdr:grpSp>
                    <xdr:nvGrpSpPr>
                      <xdr:cNvPr id="3289681" name="グループ化 7"/>
                      <xdr:cNvGrpSpPr>
                        <a:grpSpLocks/>
                      </xdr:cNvGrpSpPr>
                    </xdr:nvGrpSpPr>
                    <xdr:grpSpPr bwMode="auto">
                      <a:xfrm>
                        <a:off x="3694705" y="57052727"/>
                        <a:ext cx="952831" cy="574852"/>
                        <a:chOff x="4125785" y="29763564"/>
                        <a:chExt cx="923331" cy="559816"/>
                      </a:xfrm>
                    </xdr:grpSpPr>
                    <xdr:grpSp>
                      <xdr:nvGrpSpPr>
                        <xdr:cNvPr id="3289685" name="グループ化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213851" y="29763564"/>
                          <a:ext cx="745285" cy="267935"/>
                          <a:chOff x="4356726" y="29775470"/>
                          <a:chExt cx="745285" cy="267935"/>
                        </a:xfrm>
                      </xdr:grpSpPr>
                      <xdr:grpSp>
                        <xdr:nvGrpSpPr>
                          <xdr:cNvPr id="3289688" name="グループ化 648"/>
                          <xdr:cNvGrpSpPr>
                            <a:grpSpLocks/>
                          </xdr:cNvGrpSpPr>
                        </xdr:nvGrpSpPr>
                        <xdr:grpSpPr bwMode="auto">
                          <a:xfrm flipH="1">
                            <a:off x="4412551" y="29775470"/>
                            <a:ext cx="689460" cy="168043"/>
                            <a:chOff x="1823116" y="1160503"/>
                            <a:chExt cx="1557240" cy="324142"/>
                          </a:xfrm>
                        </xdr:grpSpPr>
                        <xdr:cxnSp macro="">
                          <xdr:nvCxnSpPr>
                            <xdr:cNvPr id="2818" name="直線コネクタ 2817"/>
                            <xdr:cNvCxnSpPr/>
                          </xdr:nvCxnSpPr>
                          <xdr:spPr>
                            <a:xfrm flipV="1">
                              <a:off x="1938770" y="1160503"/>
                              <a:ext cx="708736" cy="330919"/>
                            </a:xfrm>
                            <a:prstGeom prst="line">
                              <a:avLst/>
                            </a:prstGeom>
                            <a:ln w="3175">
                              <a:prstDash val="sysDot"/>
                            </a:ln>
                          </xdr:spPr>
                          <xdr:style>
                            <a:lnRef idx="1">
                              <a:schemeClr val="dk1"/>
                            </a:lnRef>
                            <a:fillRef idx="0">
                              <a:schemeClr val="dk1"/>
                            </a:fillRef>
                            <a:effectRef idx="0">
                              <a:schemeClr val="dk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2819" name="直線コネクタ 2818"/>
                            <xdr:cNvCxnSpPr/>
                          </xdr:nvCxnSpPr>
                          <xdr:spPr>
                            <a:xfrm>
                              <a:off x="2668351" y="1160503"/>
                              <a:ext cx="708736" cy="296085"/>
                            </a:xfrm>
                            <a:prstGeom prst="line">
                              <a:avLst/>
                            </a:prstGeom>
                            <a:ln w="3175">
                              <a:prstDash val="sysDot"/>
                            </a:ln>
                          </xdr:spPr>
                          <xdr:style>
                            <a:lnRef idx="1">
                              <a:schemeClr val="dk1"/>
                            </a:lnRef>
                            <a:fillRef idx="0">
                              <a:schemeClr val="dk1"/>
                            </a:fillRef>
                            <a:effectRef idx="0">
                              <a:schemeClr val="dk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</xdr:grpSp>
                      <xdr:sp macro="" textlink="">
                        <xdr:nvSpPr>
                          <xdr:cNvPr id="2817" name="テキスト ボックス 2816"/>
                          <xdr:cNvSpPr txBox="1"/>
                        </xdr:nvSpPr>
                        <xdr:spPr>
                          <a:xfrm>
                            <a:off x="4358624" y="29856734"/>
                            <a:ext cx="452225" cy="189615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pPr algn="ctr"/>
                            <a:r>
                              <a:rPr kumimoji="1" lang="en-US" altLang="ja-JP" sz="900">
                                <a:latin typeface="ＭＳ ゴシック" panose="020B0609070205080204" pitchFamily="49" charset="-128"/>
                                <a:ea typeface="ＭＳ ゴシック" panose="020B0609070205080204" pitchFamily="49" charset="-128"/>
                              </a:rPr>
                              <a:t>140</a:t>
                            </a:r>
                            <a:endParaRPr kumimoji="1" lang="ja-JP" altLang="en-US" sz="900">
                              <a:latin typeface="ＭＳ ゴシック" panose="020B0609070205080204" pitchFamily="49" charset="-128"/>
                              <a:ea typeface="ＭＳ ゴシック" panose="020B0609070205080204" pitchFamily="49" charset="-128"/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2814" name="テキスト ボックス 2813"/>
                        <xdr:cNvSpPr txBox="1"/>
                      </xdr:nvSpPr>
                      <xdr:spPr>
                        <a:xfrm>
                          <a:off x="4123459" y="30142794"/>
                          <a:ext cx="470683" cy="180586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kumimoji="1" lang="en-US" altLang="ja-JP" sz="900">
                              <a:latin typeface="ＭＳ ゴシック" panose="020B0609070205080204" pitchFamily="49" charset="-128"/>
                              <a:ea typeface="ＭＳ ゴシック" panose="020B0609070205080204" pitchFamily="49" charset="-128"/>
                            </a:rPr>
                            <a:t>100</a:t>
                          </a:r>
                          <a:endParaRPr kumimoji="1" lang="ja-JP" altLang="en-US" sz="900">
                            <a:latin typeface="ＭＳ ゴシック" panose="020B0609070205080204" pitchFamily="49" charset="-128"/>
                            <a:ea typeface="ＭＳ ゴシック" panose="020B0609070205080204" pitchFamily="49" charset="-128"/>
                          </a:endParaRPr>
                        </a:p>
                      </xdr:txBody>
                    </xdr:sp>
                    <xdr:sp macro="" textlink="">
                      <xdr:nvSpPr>
                        <xdr:cNvPr id="2815" name="テキスト ボックス 2814"/>
                        <xdr:cNvSpPr txBox="1"/>
                      </xdr:nvSpPr>
                      <xdr:spPr>
                        <a:xfrm>
                          <a:off x="4584913" y="29917062"/>
                          <a:ext cx="461454" cy="189615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kumimoji="1" lang="en-US" altLang="ja-JP" sz="900">
                              <a:latin typeface="ＭＳ ゴシック" panose="020B0609070205080204" pitchFamily="49" charset="-128"/>
                              <a:ea typeface="ＭＳ ゴシック" panose="020B0609070205080204" pitchFamily="49" charset="-128"/>
                            </a:rPr>
                            <a:t>250</a:t>
                          </a:r>
                          <a:endParaRPr kumimoji="1" lang="ja-JP" altLang="en-US" sz="900">
                            <a:latin typeface="ＭＳ ゴシック" panose="020B0609070205080204" pitchFamily="49" charset="-128"/>
                            <a:ea typeface="ＭＳ ゴシック" panose="020B0609070205080204" pitchFamily="49" charset="-128"/>
                          </a:endParaRPr>
                        </a:p>
                      </xdr:txBody>
                    </xdr:sp>
                  </xdr:grpSp>
                  <xdr:grpSp>
                    <xdr:nvGrpSpPr>
                      <xdr:cNvPr id="3289682" name="グループ化 11"/>
                      <xdr:cNvGrpSpPr>
                        <a:grpSpLocks/>
                      </xdr:cNvGrpSpPr>
                    </xdr:nvGrpSpPr>
                    <xdr:grpSpPr bwMode="auto">
                      <a:xfrm>
                        <a:off x="3842905" y="57207185"/>
                        <a:ext cx="337289" cy="265505"/>
                        <a:chOff x="3842905" y="57207185"/>
                        <a:chExt cx="337289" cy="265505"/>
                      </a:xfrm>
                    </xdr:grpSpPr>
                    <xdr:cxnSp macro="">
                      <xdr:nvCxnSpPr>
                        <xdr:cNvPr id="2811" name="直線コネクタ 2810"/>
                        <xdr:cNvCxnSpPr/>
                      </xdr:nvCxnSpPr>
                      <xdr:spPr bwMode="auto">
                        <a:xfrm flipH="1">
                          <a:off x="3844688" y="57303066"/>
                          <a:ext cx="333338" cy="166893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2812" name="直線コネクタ 2811"/>
                        <xdr:cNvCxnSpPr/>
                      </xdr:nvCxnSpPr>
                      <xdr:spPr bwMode="auto">
                        <a:xfrm>
                          <a:off x="3844688" y="57210348"/>
                          <a:ext cx="0" cy="259611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</xdr:grpSp>
                <xdr:cxnSp macro="">
                  <xdr:nvCxnSpPr>
                    <xdr:cNvPr id="2808" name="直線コネクタ 2807"/>
                    <xdr:cNvCxnSpPr/>
                  </xdr:nvCxnSpPr>
                  <xdr:spPr bwMode="auto">
                    <a:xfrm flipH="1" flipV="1">
                      <a:off x="4012237" y="56115909"/>
                      <a:ext cx="383326" cy="27319"/>
                    </a:xfrm>
                    <a:prstGeom prst="line">
                      <a:avLst/>
                    </a:prstGeom>
                    <a:ln w="19050">
                      <a:prstDash val="solid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3289677" name="Freeform 227"/>
                  <xdr:cNvSpPr>
                    <a:spLocks/>
                  </xdr:cNvSpPr>
                </xdr:nvSpPr>
                <xdr:spPr bwMode="auto">
                  <a:xfrm rot="-449890">
                    <a:off x="3734599" y="58528066"/>
                    <a:ext cx="102165" cy="54235"/>
                  </a:xfrm>
                  <a:custGeom>
                    <a:avLst/>
                    <a:gdLst>
                      <a:gd name="T0" fmla="*/ 0 w 15"/>
                      <a:gd name="T1" fmla="*/ 2147483646 h 8"/>
                      <a:gd name="T2" fmla="*/ 2147483646 w 15"/>
                      <a:gd name="T3" fmla="*/ 2147483646 h 8"/>
                      <a:gd name="T4" fmla="*/ 2147483646 w 15"/>
                      <a:gd name="T5" fmla="*/ 0 h 8"/>
                      <a:gd name="T6" fmla="*/ 2147483646 w 15"/>
                      <a:gd name="T7" fmla="*/ 2147483646 h 8"/>
                      <a:gd name="T8" fmla="*/ 0 60000 65536"/>
                      <a:gd name="T9" fmla="*/ 0 60000 65536"/>
                      <a:gd name="T10" fmla="*/ 0 60000 65536"/>
                      <a:gd name="T11" fmla="*/ 0 60000 65536"/>
                    </a:gdLst>
                    <a:ahLst/>
                    <a:cxnLst>
                      <a:cxn ang="T8">
                        <a:pos x="T0" y="T1"/>
                      </a:cxn>
                      <a:cxn ang="T9">
                        <a:pos x="T2" y="T3"/>
                      </a:cxn>
                      <a:cxn ang="T10">
                        <a:pos x="T4" y="T5"/>
                      </a:cxn>
                      <a:cxn ang="T11">
                        <a:pos x="T6" y="T7"/>
                      </a:cxn>
                    </a:cxnLst>
                    <a:rect l="0" t="0" r="r" b="b"/>
                    <a:pathLst>
                      <a:path w="15" h="8">
                        <a:moveTo>
                          <a:pt x="0" y="8"/>
                        </a:moveTo>
                        <a:cubicBezTo>
                          <a:pt x="1" y="5"/>
                          <a:pt x="2" y="3"/>
                          <a:pt x="3" y="2"/>
                        </a:cubicBezTo>
                        <a:cubicBezTo>
                          <a:pt x="4" y="1"/>
                          <a:pt x="6" y="0"/>
                          <a:pt x="8" y="0"/>
                        </a:cubicBezTo>
                        <a:cubicBezTo>
                          <a:pt x="10" y="0"/>
                          <a:pt x="12" y="1"/>
                          <a:pt x="15" y="2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prstDash val="solid"/>
                    <a:round/>
                    <a:headEnd/>
                    <a:tailEnd/>
                  </a:ln>
                  <a:effectLst/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xmlns:mc="http://schemas.openxmlformats.org/markup-compatibility/2006" val="E6E6E6" mc:Ignorable="a14" a14:legacySpreadsheetColorIndex="9"/>
                        </a:solidFill>
                      </a14:hiddenFill>
                    </a:ex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</xdr:sp>
              <xdr:sp macro="" textlink="">
                <xdr:nvSpPr>
                  <xdr:cNvPr id="2806" name="Rectangle 228"/>
                  <xdr:cNvSpPr>
                    <a:spLocks noChangeArrowheads="1"/>
                  </xdr:cNvSpPr>
                </xdr:nvSpPr>
                <xdr:spPr bwMode="auto">
                  <a:xfrm>
                    <a:off x="3717503" y="58504154"/>
                    <a:ext cx="389125" cy="29353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xmlns:mc="http://schemas.openxmlformats.org/markup-compatibility/2006" val="E6E6E6" mc:Ignorable="a14" a14:legacySpreadsheetColorIndex="9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xmlns:mc="http://schemas.openxmlformats.org/markup-compatibility/2006"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wrap="none" lIns="0" tIns="0" rIns="0" bIns="0" anchor="ctr" upright="1">
                    <a:noAutofit/>
                  </a:bodyPr>
                  <a:lstStyle/>
                  <a:p>
                    <a:pPr algn="ctr" rtl="0">
                      <a:defRPr sz="1000"/>
                    </a:pPr>
                    <a:r>
                      <a:rPr lang="ja-JP" altLang="en-US" sz="900" b="0" i="0" u="none" strike="noStrike" baseline="0">
                        <a:solidFill>
                          <a:srgbClr val="000000"/>
                        </a:solidFill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rPr>
                      <a:t>135°</a:t>
                    </a:r>
                  </a:p>
                </xdr:txBody>
              </xdr:sp>
            </xdr:grpSp>
            <xdr:cxnSp macro="">
              <xdr:nvCxnSpPr>
                <xdr:cNvPr id="2801" name="直線コネクタ 2800"/>
                <xdr:cNvCxnSpPr/>
              </xdr:nvCxnSpPr>
              <xdr:spPr bwMode="auto">
                <a:xfrm flipH="1" flipV="1">
                  <a:off x="8480769" y="80862607"/>
                  <a:ext cx="382754" cy="164647"/>
                </a:xfrm>
                <a:prstGeom prst="line">
                  <a:avLst/>
                </a:prstGeom>
                <a:ln w="3175">
                  <a:prstDash val="sysDot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802" name="直線コネクタ 2801"/>
                <xdr:cNvCxnSpPr/>
              </xdr:nvCxnSpPr>
              <xdr:spPr bwMode="auto">
                <a:xfrm flipH="1">
                  <a:off x="8154028" y="80917489"/>
                  <a:ext cx="224051" cy="109765"/>
                </a:xfrm>
                <a:prstGeom prst="line">
                  <a:avLst/>
                </a:prstGeom>
                <a:ln w="19050">
                  <a:prstDash val="soli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803" name="直線コネクタ 2802"/>
                <xdr:cNvCxnSpPr/>
              </xdr:nvCxnSpPr>
              <xdr:spPr bwMode="auto">
                <a:xfrm flipH="1">
                  <a:off x="8368744" y="80752842"/>
                  <a:ext cx="121361" cy="164647"/>
                </a:xfrm>
                <a:prstGeom prst="line">
                  <a:avLst/>
                </a:prstGeom>
                <a:ln w="19050">
                  <a:prstDash val="soli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2795" name="直線コネクタ 2794"/>
              <xdr:cNvCxnSpPr/>
            </xdr:nvCxnSpPr>
            <xdr:spPr bwMode="auto">
              <a:xfrm flipH="1" flipV="1">
                <a:off x="10476612" y="86107932"/>
                <a:ext cx="300799" cy="133374"/>
              </a:xfrm>
              <a:prstGeom prst="line">
                <a:avLst/>
              </a:prstGeom>
              <a:ln w="3175">
                <a:prstDash val="sysDot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796" name="直線コネクタ 2795"/>
              <xdr:cNvCxnSpPr/>
            </xdr:nvCxnSpPr>
            <xdr:spPr bwMode="auto">
              <a:xfrm flipH="1" flipV="1">
                <a:off x="10466908" y="86374681"/>
                <a:ext cx="310502" cy="133374"/>
              </a:xfrm>
              <a:prstGeom prst="line">
                <a:avLst/>
              </a:prstGeom>
              <a:ln w="3175">
                <a:prstDash val="sysDot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797" name="直線コネクタ 2796"/>
              <xdr:cNvCxnSpPr/>
            </xdr:nvCxnSpPr>
            <xdr:spPr bwMode="auto">
              <a:xfrm>
                <a:off x="10466908" y="86117459"/>
                <a:ext cx="0" cy="266749"/>
              </a:xfrm>
              <a:prstGeom prst="line">
                <a:avLst/>
              </a:prstGeom>
              <a:ln w="3175">
                <a:prstDash val="sysDot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798" name="直線コネクタ 2797"/>
              <xdr:cNvCxnSpPr/>
            </xdr:nvCxnSpPr>
            <xdr:spPr bwMode="auto">
              <a:xfrm flipH="1" flipV="1">
                <a:off x="10457205" y="86374681"/>
                <a:ext cx="329908" cy="142901"/>
              </a:xfrm>
              <a:prstGeom prst="line">
                <a:avLst/>
              </a:prstGeom>
              <a:ln w="19050">
                <a:prstDash val="soli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799" name="テキスト ボックス 2798"/>
              <xdr:cNvSpPr txBox="1"/>
            </xdr:nvSpPr>
            <xdr:spPr bwMode="auto">
              <a:xfrm>
                <a:off x="10389283" y="86241307"/>
                <a:ext cx="494862" cy="19053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900"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600</a:t>
                </a:r>
                <a:endPara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endParaRPr>
              </a:p>
            </xdr:txBody>
          </xdr:sp>
        </xdr:grpSp>
        <xdr:cxnSp macro="">
          <xdr:nvCxnSpPr>
            <xdr:cNvPr id="2792" name="直線コネクタ 2791"/>
            <xdr:cNvCxnSpPr/>
          </xdr:nvCxnSpPr>
          <xdr:spPr bwMode="auto">
            <a:xfrm>
              <a:off x="1554156" y="38690071"/>
              <a:ext cx="0" cy="273190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3" name="直線コネクタ 2792"/>
            <xdr:cNvCxnSpPr/>
          </xdr:nvCxnSpPr>
          <xdr:spPr bwMode="auto">
            <a:xfrm>
              <a:off x="1941908" y="38869058"/>
              <a:ext cx="0" cy="263770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289659" name="Line 67"/>
          <xdr:cNvSpPr>
            <a:spLocks noChangeShapeType="1"/>
          </xdr:cNvSpPr>
        </xdr:nvSpPr>
        <xdr:spPr bwMode="auto">
          <a:xfrm>
            <a:off x="1973502" y="38883068"/>
            <a:ext cx="79800" cy="28395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660" name="Line 67"/>
          <xdr:cNvSpPr>
            <a:spLocks noChangeShapeType="1"/>
          </xdr:cNvSpPr>
        </xdr:nvSpPr>
        <xdr:spPr bwMode="auto">
          <a:xfrm>
            <a:off x="1979055" y="39146174"/>
            <a:ext cx="61336" cy="22034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9661" name="Line 75"/>
          <xdr:cNvSpPr>
            <a:spLocks noChangeShapeType="1"/>
          </xdr:cNvSpPr>
        </xdr:nvSpPr>
        <xdr:spPr bwMode="auto">
          <a:xfrm>
            <a:off x="2015467" y="38892746"/>
            <a:ext cx="0" cy="262534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90" name="テキスト ボックス 2789"/>
          <xdr:cNvSpPr txBox="1"/>
        </xdr:nvSpPr>
        <xdr:spPr bwMode="auto">
          <a:xfrm>
            <a:off x="1960823" y="38916160"/>
            <a:ext cx="614728" cy="2355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280(</a:t>
            </a:r>
            <a:r>
              <a:rPr kumimoji="1" lang="ja-JP" altLang="en-US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外</a:t>
            </a:r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)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35</xdr:col>
      <xdr:colOff>28575</xdr:colOff>
      <xdr:row>449</xdr:row>
      <xdr:rowOff>57150</xdr:rowOff>
    </xdr:from>
    <xdr:to>
      <xdr:col>52</xdr:col>
      <xdr:colOff>28575</xdr:colOff>
      <xdr:row>457</xdr:row>
      <xdr:rowOff>9525</xdr:rowOff>
    </xdr:to>
    <xdr:grpSp>
      <xdr:nvGrpSpPr>
        <xdr:cNvPr id="3288885" name="グループ化 2"/>
        <xdr:cNvGrpSpPr>
          <a:grpSpLocks/>
        </xdr:cNvGrpSpPr>
      </xdr:nvGrpSpPr>
      <xdr:grpSpPr bwMode="auto">
        <a:xfrm>
          <a:off x="3197802" y="39352105"/>
          <a:ext cx="1472046" cy="645102"/>
          <a:chOff x="3159529" y="38970387"/>
          <a:chExt cx="1460469" cy="637574"/>
        </a:xfrm>
      </xdr:grpSpPr>
      <xdr:grpSp>
        <xdr:nvGrpSpPr>
          <xdr:cNvPr id="3289647" name="グループ化 702"/>
          <xdr:cNvGrpSpPr>
            <a:grpSpLocks/>
          </xdr:cNvGrpSpPr>
        </xdr:nvGrpSpPr>
        <xdr:grpSpPr bwMode="auto">
          <a:xfrm>
            <a:off x="3503755" y="39129781"/>
            <a:ext cx="1116243" cy="478180"/>
            <a:chOff x="3529626" y="15613323"/>
            <a:chExt cx="1095170" cy="464933"/>
          </a:xfrm>
        </xdr:grpSpPr>
        <xdr:sp macro="" textlink="">
          <xdr:nvSpPr>
            <xdr:cNvPr id="2816" name="Rectangle 218"/>
            <xdr:cNvSpPr>
              <a:spLocks noChangeArrowheads="1"/>
            </xdr:cNvSpPr>
          </xdr:nvSpPr>
          <xdr:spPr bwMode="auto">
            <a:xfrm>
              <a:off x="3903665" y="15828441"/>
              <a:ext cx="374614" cy="2498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289654" name="Freeform 227"/>
            <xdr:cNvSpPr>
              <a:spLocks/>
            </xdr:cNvSpPr>
          </xdr:nvSpPr>
          <xdr:spPr bwMode="auto">
            <a:xfrm rot="5400000">
              <a:off x="3501798" y="15655466"/>
              <a:ext cx="124626" cy="66055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9655" name="Line 221"/>
            <xdr:cNvSpPr>
              <a:spLocks noChangeShapeType="1"/>
            </xdr:cNvSpPr>
          </xdr:nvSpPr>
          <xdr:spPr bwMode="auto">
            <a:xfrm>
              <a:off x="3634154" y="15844994"/>
              <a:ext cx="990642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9656" name="Line 222"/>
            <xdr:cNvSpPr>
              <a:spLocks noChangeShapeType="1"/>
            </xdr:cNvSpPr>
          </xdr:nvSpPr>
          <xdr:spPr bwMode="auto">
            <a:xfrm flipH="1" flipV="1">
              <a:off x="3529626" y="15699254"/>
              <a:ext cx="113172" cy="146461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823" name="Rectangle 228"/>
            <xdr:cNvSpPr>
              <a:spLocks noChangeArrowheads="1"/>
            </xdr:cNvSpPr>
          </xdr:nvSpPr>
          <xdr:spPr bwMode="auto">
            <a:xfrm>
              <a:off x="3706992" y="15615636"/>
              <a:ext cx="374614" cy="26832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</xdr:grpSp>
      <xdr:cxnSp macro="">
        <xdr:nvCxnSpPr>
          <xdr:cNvPr id="3289648" name="直線コネクタ 24"/>
          <xdr:cNvCxnSpPr>
            <a:cxnSpLocks noChangeShapeType="1"/>
          </xdr:cNvCxnSpPr>
        </xdr:nvCxnSpPr>
        <xdr:spPr bwMode="auto">
          <a:xfrm>
            <a:off x="3507249" y="39037550"/>
            <a:ext cx="0" cy="185226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3289649" name="Freeform 227"/>
          <xdr:cNvSpPr>
            <a:spLocks/>
          </xdr:cNvSpPr>
        </xdr:nvSpPr>
        <xdr:spPr bwMode="auto">
          <a:xfrm rot="2584320">
            <a:off x="3585861" y="39307261"/>
            <a:ext cx="127370" cy="6761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27" name="Rectangle 228"/>
          <xdr:cNvSpPr>
            <a:spLocks noChangeArrowheads="1"/>
          </xdr:cNvSpPr>
        </xdr:nvSpPr>
        <xdr:spPr bwMode="auto">
          <a:xfrm>
            <a:off x="3541351" y="38970387"/>
            <a:ext cx="381822" cy="2759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2828" name="Rectangle 218"/>
          <xdr:cNvSpPr>
            <a:spLocks noChangeArrowheads="1"/>
          </xdr:cNvSpPr>
        </xdr:nvSpPr>
        <xdr:spPr bwMode="auto">
          <a:xfrm>
            <a:off x="3226348" y="39217804"/>
            <a:ext cx="372276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280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829" name="Rectangle 218"/>
          <xdr:cNvSpPr>
            <a:spLocks noChangeArrowheads="1"/>
          </xdr:cNvSpPr>
        </xdr:nvSpPr>
        <xdr:spPr bwMode="auto">
          <a:xfrm>
            <a:off x="3159529" y="38970387"/>
            <a:ext cx="381822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78</xdr:col>
      <xdr:colOff>66675</xdr:colOff>
      <xdr:row>553</xdr:row>
      <xdr:rowOff>47625</xdr:rowOff>
    </xdr:from>
    <xdr:to>
      <xdr:col>79</xdr:col>
      <xdr:colOff>47625</xdr:colOff>
      <xdr:row>555</xdr:row>
      <xdr:rowOff>47625</xdr:rowOff>
    </xdr:to>
    <xdr:grpSp>
      <xdr:nvGrpSpPr>
        <xdr:cNvPr id="3288886" name="グループ化 700"/>
        <xdr:cNvGrpSpPr>
          <a:grpSpLocks/>
        </xdr:cNvGrpSpPr>
      </xdr:nvGrpSpPr>
      <xdr:grpSpPr bwMode="auto">
        <a:xfrm>
          <a:off x="6959311" y="48348034"/>
          <a:ext cx="67541" cy="173182"/>
          <a:chOff x="3165758" y="15657662"/>
          <a:chExt cx="67219" cy="163244"/>
        </a:xfrm>
      </xdr:grpSpPr>
      <xdr:sp macro="" textlink="">
        <xdr:nvSpPr>
          <xdr:cNvPr id="3289644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645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646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552</xdr:row>
      <xdr:rowOff>9525</xdr:rowOff>
    </xdr:from>
    <xdr:to>
      <xdr:col>94</xdr:col>
      <xdr:colOff>28575</xdr:colOff>
      <xdr:row>558</xdr:row>
      <xdr:rowOff>9525</xdr:rowOff>
    </xdr:to>
    <xdr:grpSp>
      <xdr:nvGrpSpPr>
        <xdr:cNvPr id="3288887" name="グループ化 702"/>
        <xdr:cNvGrpSpPr>
          <a:grpSpLocks/>
        </xdr:cNvGrpSpPr>
      </xdr:nvGrpSpPr>
      <xdr:grpSpPr bwMode="auto">
        <a:xfrm>
          <a:off x="7113443" y="48223343"/>
          <a:ext cx="1193223" cy="519546"/>
          <a:chOff x="3634154" y="15407680"/>
          <a:chExt cx="1158481" cy="500696"/>
        </a:xfrm>
      </xdr:grpSpPr>
      <xdr:sp macro="" textlink="">
        <xdr:nvSpPr>
          <xdr:cNvPr id="2870" name="Rectangle 218"/>
          <xdr:cNvSpPr>
            <a:spLocks noChangeArrowheads="1"/>
          </xdr:cNvSpPr>
        </xdr:nvSpPr>
        <xdr:spPr bwMode="auto">
          <a:xfrm>
            <a:off x="3895746" y="15658028"/>
            <a:ext cx="373704" cy="2503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89640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641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89642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74" name="Rectangle 228"/>
          <xdr:cNvSpPr>
            <a:spLocks noChangeArrowheads="1"/>
          </xdr:cNvSpPr>
        </xdr:nvSpPr>
        <xdr:spPr bwMode="auto">
          <a:xfrm>
            <a:off x="4362876" y="15407680"/>
            <a:ext cx="373704" cy="268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159</xdr:col>
      <xdr:colOff>76200</xdr:colOff>
      <xdr:row>441</xdr:row>
      <xdr:rowOff>0</xdr:rowOff>
    </xdr:from>
    <xdr:to>
      <xdr:col>176</xdr:col>
      <xdr:colOff>76200</xdr:colOff>
      <xdr:row>448</xdr:row>
      <xdr:rowOff>38100</xdr:rowOff>
    </xdr:to>
    <xdr:grpSp>
      <xdr:nvGrpSpPr>
        <xdr:cNvPr id="3288888" name="グループ化 2894"/>
        <xdr:cNvGrpSpPr>
          <a:grpSpLocks/>
        </xdr:cNvGrpSpPr>
      </xdr:nvGrpSpPr>
      <xdr:grpSpPr bwMode="auto">
        <a:xfrm>
          <a:off x="13982700" y="38602227"/>
          <a:ext cx="1472045" cy="644237"/>
          <a:chOff x="3159529" y="38970387"/>
          <a:chExt cx="1460469" cy="637574"/>
        </a:xfrm>
      </xdr:grpSpPr>
      <xdr:grpSp>
        <xdr:nvGrpSpPr>
          <xdr:cNvPr id="3289628" name="グループ化 702"/>
          <xdr:cNvGrpSpPr>
            <a:grpSpLocks/>
          </xdr:cNvGrpSpPr>
        </xdr:nvGrpSpPr>
        <xdr:grpSpPr bwMode="auto">
          <a:xfrm>
            <a:off x="3503755" y="39129781"/>
            <a:ext cx="1116243" cy="478180"/>
            <a:chOff x="3529626" y="15613323"/>
            <a:chExt cx="1095170" cy="464933"/>
          </a:xfrm>
        </xdr:grpSpPr>
        <xdr:sp macro="" textlink="">
          <xdr:nvSpPr>
            <xdr:cNvPr id="2902" name="Rectangle 218"/>
            <xdr:cNvSpPr>
              <a:spLocks noChangeArrowheads="1"/>
            </xdr:cNvSpPr>
          </xdr:nvSpPr>
          <xdr:spPr bwMode="auto">
            <a:xfrm>
              <a:off x="3903665" y="15828441"/>
              <a:ext cx="374614" cy="2498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289635" name="Freeform 227"/>
            <xdr:cNvSpPr>
              <a:spLocks/>
            </xdr:cNvSpPr>
          </xdr:nvSpPr>
          <xdr:spPr bwMode="auto">
            <a:xfrm rot="5400000">
              <a:off x="3501798" y="15655466"/>
              <a:ext cx="124626" cy="66055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9636" name="Line 221"/>
            <xdr:cNvSpPr>
              <a:spLocks noChangeShapeType="1"/>
            </xdr:cNvSpPr>
          </xdr:nvSpPr>
          <xdr:spPr bwMode="auto">
            <a:xfrm>
              <a:off x="3634154" y="15844994"/>
              <a:ext cx="990642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9637" name="Line 222"/>
            <xdr:cNvSpPr>
              <a:spLocks noChangeShapeType="1"/>
            </xdr:cNvSpPr>
          </xdr:nvSpPr>
          <xdr:spPr bwMode="auto">
            <a:xfrm flipH="1" flipV="1">
              <a:off x="3529626" y="15699254"/>
              <a:ext cx="113172" cy="146461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906" name="Rectangle 228"/>
            <xdr:cNvSpPr>
              <a:spLocks noChangeArrowheads="1"/>
            </xdr:cNvSpPr>
          </xdr:nvSpPr>
          <xdr:spPr bwMode="auto">
            <a:xfrm>
              <a:off x="3706992" y="15615636"/>
              <a:ext cx="374614" cy="26832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</xdr:grpSp>
      <xdr:cxnSp macro="">
        <xdr:nvCxnSpPr>
          <xdr:cNvPr id="3289629" name="直線コネクタ 24"/>
          <xdr:cNvCxnSpPr>
            <a:cxnSpLocks noChangeShapeType="1"/>
          </xdr:cNvCxnSpPr>
        </xdr:nvCxnSpPr>
        <xdr:spPr bwMode="auto">
          <a:xfrm>
            <a:off x="3507249" y="39037550"/>
            <a:ext cx="0" cy="185226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3289630" name="Freeform 227"/>
          <xdr:cNvSpPr>
            <a:spLocks/>
          </xdr:cNvSpPr>
        </xdr:nvSpPr>
        <xdr:spPr bwMode="auto">
          <a:xfrm rot="2584320">
            <a:off x="3585861" y="39307261"/>
            <a:ext cx="127370" cy="6761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99" name="Rectangle 228"/>
          <xdr:cNvSpPr>
            <a:spLocks noChangeArrowheads="1"/>
          </xdr:cNvSpPr>
        </xdr:nvSpPr>
        <xdr:spPr bwMode="auto">
          <a:xfrm>
            <a:off x="3541351" y="38970387"/>
            <a:ext cx="381822" cy="2759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2900" name="Rectangle 218"/>
          <xdr:cNvSpPr>
            <a:spLocks noChangeArrowheads="1"/>
          </xdr:cNvSpPr>
        </xdr:nvSpPr>
        <xdr:spPr bwMode="auto">
          <a:xfrm>
            <a:off x="3226348" y="39217804"/>
            <a:ext cx="372276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315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901" name="Rectangle 218"/>
          <xdr:cNvSpPr>
            <a:spLocks noChangeArrowheads="1"/>
          </xdr:cNvSpPr>
        </xdr:nvSpPr>
        <xdr:spPr bwMode="auto">
          <a:xfrm>
            <a:off x="3159529" y="38970387"/>
            <a:ext cx="381822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144</xdr:col>
      <xdr:colOff>28575</xdr:colOff>
      <xdr:row>429</xdr:row>
      <xdr:rowOff>0</xdr:rowOff>
    </xdr:from>
    <xdr:to>
      <xdr:col>164</xdr:col>
      <xdr:colOff>47625</xdr:colOff>
      <xdr:row>435</xdr:row>
      <xdr:rowOff>38100</xdr:rowOff>
    </xdr:to>
    <xdr:grpSp>
      <xdr:nvGrpSpPr>
        <xdr:cNvPr id="3288891" name="グループ化 10"/>
        <xdr:cNvGrpSpPr>
          <a:grpSpLocks/>
        </xdr:cNvGrpSpPr>
      </xdr:nvGrpSpPr>
      <xdr:grpSpPr bwMode="auto">
        <a:xfrm>
          <a:off x="12636211" y="37563136"/>
          <a:ext cx="1750869" cy="557646"/>
          <a:chOff x="10305062" y="86082296"/>
          <a:chExt cx="1755160" cy="547597"/>
        </a:xfrm>
      </xdr:grpSpPr>
      <xdr:grpSp>
        <xdr:nvGrpSpPr>
          <xdr:cNvPr id="3289549" name="グループ化 3689"/>
          <xdr:cNvGrpSpPr>
            <a:grpSpLocks/>
          </xdr:cNvGrpSpPr>
        </xdr:nvGrpSpPr>
        <xdr:grpSpPr bwMode="auto">
          <a:xfrm>
            <a:off x="10779857" y="86082296"/>
            <a:ext cx="1280365" cy="516809"/>
            <a:chOff x="8156385" y="80599979"/>
            <a:chExt cx="1231845" cy="496211"/>
          </a:xfrm>
        </xdr:grpSpPr>
        <xdr:grpSp>
          <xdr:nvGrpSpPr>
            <xdr:cNvPr id="3289555" name="グループ化 27"/>
            <xdr:cNvGrpSpPr>
              <a:grpSpLocks/>
            </xdr:cNvGrpSpPr>
          </xdr:nvGrpSpPr>
          <xdr:grpSpPr bwMode="auto">
            <a:xfrm>
              <a:off x="8161611" y="80599979"/>
              <a:ext cx="1226619" cy="496211"/>
              <a:chOff x="3579484" y="58241907"/>
              <a:chExt cx="1278211" cy="513675"/>
            </a:xfrm>
          </xdr:grpSpPr>
          <xdr:grpSp>
            <xdr:nvGrpSpPr>
              <xdr:cNvPr id="3289560" name="グループ化 22"/>
              <xdr:cNvGrpSpPr>
                <a:grpSpLocks/>
              </xdr:cNvGrpSpPr>
            </xdr:nvGrpSpPr>
            <xdr:grpSpPr bwMode="auto">
              <a:xfrm>
                <a:off x="3579484" y="58241907"/>
                <a:ext cx="1278211" cy="513675"/>
                <a:chOff x="3692604" y="55963886"/>
                <a:chExt cx="1228453" cy="494004"/>
              </a:xfrm>
            </xdr:grpSpPr>
            <xdr:grpSp>
              <xdr:nvGrpSpPr>
                <xdr:cNvPr id="3289563" name="グループ化 12"/>
                <xdr:cNvGrpSpPr>
                  <a:grpSpLocks/>
                </xdr:cNvGrpSpPr>
              </xdr:nvGrpSpPr>
              <xdr:grpSpPr bwMode="auto">
                <a:xfrm>
                  <a:off x="3692604" y="55963886"/>
                  <a:ext cx="1228453" cy="494004"/>
                  <a:chOff x="3842905" y="57046239"/>
                  <a:chExt cx="1251386" cy="502979"/>
                </a:xfrm>
              </xdr:grpSpPr>
              <xdr:grpSp>
                <xdr:nvGrpSpPr>
                  <xdr:cNvPr id="3289565" name="グループ化 7"/>
                  <xdr:cNvGrpSpPr>
                    <a:grpSpLocks/>
                  </xdr:cNvGrpSpPr>
                </xdr:nvGrpSpPr>
                <xdr:grpSpPr bwMode="auto">
                  <a:xfrm>
                    <a:off x="3844821" y="57046239"/>
                    <a:ext cx="1249470" cy="502979"/>
                    <a:chOff x="4271253" y="29757310"/>
                    <a:chExt cx="1210786" cy="489824"/>
                  </a:xfrm>
                </xdr:grpSpPr>
                <xdr:grpSp>
                  <xdr:nvGrpSpPr>
                    <xdr:cNvPr id="3289569" name="グループ化 6"/>
                    <xdr:cNvGrpSpPr>
                      <a:grpSpLocks/>
                    </xdr:cNvGrpSpPr>
                  </xdr:nvGrpSpPr>
                  <xdr:grpSpPr bwMode="auto">
                    <a:xfrm>
                      <a:off x="4271253" y="29757310"/>
                      <a:ext cx="1072986" cy="403976"/>
                      <a:chOff x="4414128" y="29769216"/>
                      <a:chExt cx="1072986" cy="403976"/>
                    </a:xfrm>
                  </xdr:grpSpPr>
                  <xdr:grpSp>
                    <xdr:nvGrpSpPr>
                      <xdr:cNvPr id="3289572" name="グループ化 648"/>
                      <xdr:cNvGrpSpPr>
                        <a:grpSpLocks/>
                      </xdr:cNvGrpSpPr>
                    </xdr:nvGrpSpPr>
                    <xdr:grpSpPr bwMode="auto">
                      <a:xfrm flipH="1">
                        <a:off x="4414128" y="29769216"/>
                        <a:ext cx="1072986" cy="243728"/>
                        <a:chOff x="953306" y="1148441"/>
                        <a:chExt cx="2423484" cy="470133"/>
                      </a:xfrm>
                    </xdr:grpSpPr>
                    <xdr:cxnSp macro="">
                      <xdr:nvCxnSpPr>
                        <xdr:cNvPr id="2956" name="直線コネクタ 2955"/>
                        <xdr:cNvCxnSpPr/>
                      </xdr:nvCxnSpPr>
                      <xdr:spPr>
                        <a:xfrm flipV="1">
                          <a:off x="952827" y="1148441"/>
                          <a:ext cx="1201614" cy="466039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2957" name="直線コネクタ 2956"/>
                        <xdr:cNvCxnSpPr/>
                      </xdr:nvCxnSpPr>
                      <xdr:spPr>
                        <a:xfrm>
                          <a:off x="2154441" y="1148441"/>
                          <a:ext cx="1222331" cy="396996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2958" name="直線コネクタ 2957"/>
                        <xdr:cNvCxnSpPr/>
                      </xdr:nvCxnSpPr>
                      <xdr:spPr>
                        <a:xfrm flipH="1">
                          <a:off x="2154441" y="1148441"/>
                          <a:ext cx="0" cy="396996"/>
                        </a:xfrm>
                        <a:prstGeom prst="line">
                          <a:avLst/>
                        </a:prstGeom>
                        <a:ln w="31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  <xdr:sp macro="" textlink="">
                    <xdr:nvSpPr>
                      <xdr:cNvPr id="2955" name="テキスト ボックス 2954"/>
                      <xdr:cNvSpPr txBox="1"/>
                    </xdr:nvSpPr>
                    <xdr:spPr>
                      <a:xfrm>
                        <a:off x="4744348" y="29983976"/>
                        <a:ext cx="458628" cy="18791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r>
                          <a:rPr kumimoji="1" lang="en-US" altLang="ja-JP" sz="900">
                            <a:latin typeface="ＭＳ ゴシック" panose="020B0609070205080204" pitchFamily="49" charset="-128"/>
                            <a:ea typeface="ＭＳ ゴシック" panose="020B0609070205080204" pitchFamily="49" charset="-128"/>
                          </a:rPr>
                          <a:t>200</a:t>
                        </a:r>
                        <a:endParaRPr kumimoji="1" lang="ja-JP" altLang="en-US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endParaRPr>
                      </a:p>
                    </xdr:txBody>
                  </xdr:sp>
                </xdr:grpSp>
                <xdr:sp macro="" textlink="">
                  <xdr:nvSpPr>
                    <xdr:cNvPr id="2952" name="テキスト ボックス 2951"/>
                    <xdr:cNvSpPr txBox="1"/>
                  </xdr:nvSpPr>
                  <xdr:spPr>
                    <a:xfrm>
                      <a:off x="4344641" y="30070502"/>
                      <a:ext cx="467801" cy="178967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kumimoji="1" lang="en-US" altLang="ja-JP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rPr>
                        <a:t>416</a:t>
                      </a:r>
                      <a:endParaRPr kumimoji="1" lang="ja-JP" altLang="en-US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endParaRPr>
                    </a:p>
                  </xdr:txBody>
                </xdr:sp>
                <xdr:sp macro="" textlink="">
                  <xdr:nvSpPr>
                    <xdr:cNvPr id="2953" name="テキスト ボックス 2952"/>
                    <xdr:cNvSpPr txBox="1"/>
                  </xdr:nvSpPr>
                  <xdr:spPr>
                    <a:xfrm>
                      <a:off x="5023411" y="29989967"/>
                      <a:ext cx="458628" cy="19686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kumimoji="1" lang="en-US" altLang="ja-JP" sz="900">
                          <a:latin typeface="ＭＳ ゴシック" panose="020B0609070205080204" pitchFamily="49" charset="-128"/>
                          <a:ea typeface="ＭＳ ゴシック" panose="020B0609070205080204" pitchFamily="49" charset="-128"/>
                        </a:rPr>
                        <a:t>600</a:t>
                      </a:r>
                      <a:endParaRPr kumimoji="1" lang="ja-JP" altLang="en-US" sz="900">
                        <a:latin typeface="ＭＳ ゴシック" panose="020B0609070205080204" pitchFamily="49" charset="-128"/>
                        <a:ea typeface="ＭＳ ゴシック" panose="020B0609070205080204" pitchFamily="49" charset="-128"/>
                      </a:endParaRPr>
                    </a:p>
                  </xdr:txBody>
                </xdr:sp>
              </xdr:grpSp>
              <xdr:grpSp>
                <xdr:nvGrpSpPr>
                  <xdr:cNvPr id="3289566" name="グループ化 11"/>
                  <xdr:cNvGrpSpPr>
                    <a:grpSpLocks/>
                  </xdr:cNvGrpSpPr>
                </xdr:nvGrpSpPr>
                <xdr:grpSpPr bwMode="auto">
                  <a:xfrm>
                    <a:off x="3842905" y="57244820"/>
                    <a:ext cx="553909" cy="227870"/>
                    <a:chOff x="3842905" y="57244820"/>
                    <a:chExt cx="553909" cy="227870"/>
                  </a:xfrm>
                </xdr:grpSpPr>
                <xdr:cxnSp macro="">
                  <xdr:nvCxnSpPr>
                    <xdr:cNvPr id="2949" name="直線コネクタ 2948"/>
                    <xdr:cNvCxnSpPr/>
                  </xdr:nvCxnSpPr>
                  <xdr:spPr bwMode="auto">
                    <a:xfrm flipH="1">
                      <a:off x="3844829" y="57248390"/>
                      <a:ext cx="549006" cy="275661"/>
                    </a:xfrm>
                    <a:prstGeom prst="line">
                      <a:avLst/>
                    </a:prstGeom>
                    <a:ln w="3175">
                      <a:prstDash val="sysDot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950" name="直線コネクタ 2949"/>
                    <xdr:cNvCxnSpPr/>
                  </xdr:nvCxnSpPr>
                  <xdr:spPr bwMode="auto">
                    <a:xfrm>
                      <a:off x="3844829" y="57266768"/>
                      <a:ext cx="0" cy="257283"/>
                    </a:xfrm>
                    <a:prstGeom prst="line">
                      <a:avLst/>
                    </a:prstGeom>
                    <a:ln w="3175">
                      <a:prstDash val="sysDot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  <xdr:cxnSp macro="">
              <xdr:nvCxnSpPr>
                <xdr:cNvPr id="2946" name="直線コネクタ 2945"/>
                <xdr:cNvCxnSpPr/>
              </xdr:nvCxnSpPr>
              <xdr:spPr bwMode="auto">
                <a:xfrm flipH="1">
                  <a:off x="4391404" y="56207553"/>
                  <a:ext cx="390270" cy="27074"/>
                </a:xfrm>
                <a:prstGeom prst="line">
                  <a:avLst/>
                </a:prstGeom>
                <a:ln w="19050">
                  <a:prstDash val="soli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289561" name="Freeform 227"/>
              <xdr:cNvSpPr>
                <a:spLocks/>
              </xdr:cNvSpPr>
            </xdr:nvSpPr>
            <xdr:spPr bwMode="auto">
              <a:xfrm rot="1718122">
                <a:off x="4278170" y="58475606"/>
                <a:ext cx="102165" cy="54235"/>
              </a:xfrm>
              <a:custGeom>
                <a:avLst/>
                <a:gdLst>
                  <a:gd name="T0" fmla="*/ 0 w 15"/>
                  <a:gd name="T1" fmla="*/ 2147483646 h 8"/>
                  <a:gd name="T2" fmla="*/ 2147483646 w 15"/>
                  <a:gd name="T3" fmla="*/ 2147483646 h 8"/>
                  <a:gd name="T4" fmla="*/ 2147483646 w 15"/>
                  <a:gd name="T5" fmla="*/ 0 h 8"/>
                  <a:gd name="T6" fmla="*/ 2147483646 w 15"/>
                  <a:gd name="T7" fmla="*/ 2147483646 h 8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5" h="8">
                    <a:moveTo>
                      <a:pt x="0" y="8"/>
                    </a:moveTo>
                    <a:cubicBezTo>
                      <a:pt x="1" y="5"/>
                      <a:pt x="2" y="3"/>
                      <a:pt x="3" y="2"/>
                    </a:cubicBezTo>
                    <a:cubicBezTo>
                      <a:pt x="4" y="1"/>
                      <a:pt x="6" y="0"/>
                      <a:pt x="8" y="0"/>
                    </a:cubicBezTo>
                    <a:cubicBezTo>
                      <a:pt x="10" y="0"/>
                      <a:pt x="12" y="1"/>
                      <a:pt x="15" y="2"/>
                    </a:cubicBezTo>
                  </a:path>
                </a:pathLst>
              </a:custGeom>
              <a:noFill/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  <xdr:sp macro="" textlink="">
            <xdr:nvSpPr>
              <xdr:cNvPr id="2938" name="Rectangle 228"/>
              <xdr:cNvSpPr>
                <a:spLocks noChangeArrowheads="1"/>
              </xdr:cNvSpPr>
            </xdr:nvSpPr>
            <xdr:spPr bwMode="auto">
              <a:xfrm>
                <a:off x="4142224" y="58260675"/>
                <a:ext cx="386741" cy="3002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none" lIns="0" tIns="0" rIns="0" bIns="0" anchor="ctr" upright="1">
                <a:noAutofit/>
              </a:bodyPr>
              <a:lstStyle/>
              <a:p>
                <a:pPr algn="ctr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ゴシック" panose="020B0609070205080204" pitchFamily="49" charset="-128"/>
                    <a:ea typeface="ＭＳ ゴシック" panose="020B0609070205080204" pitchFamily="49" charset="-128"/>
                  </a:rPr>
                  <a:t>135°</a:t>
                </a:r>
              </a:p>
            </xdr:txBody>
          </xdr:sp>
        </xdr:grpSp>
        <xdr:cxnSp macro="">
          <xdr:nvCxnSpPr>
            <xdr:cNvPr id="2924" name="直線コネクタ 2923"/>
            <xdr:cNvCxnSpPr/>
          </xdr:nvCxnSpPr>
          <xdr:spPr bwMode="auto">
            <a:xfrm flipH="1" flipV="1">
              <a:off x="8701637" y="80799410"/>
              <a:ext cx="538140" cy="244756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9" name="直線コネクタ 2928"/>
            <xdr:cNvCxnSpPr/>
          </xdr:nvCxnSpPr>
          <xdr:spPr bwMode="auto">
            <a:xfrm>
              <a:off x="9249056" y="80844735"/>
              <a:ext cx="0" cy="199431"/>
            </a:xfrm>
            <a:prstGeom prst="line">
              <a:avLst/>
            </a:prstGeom>
            <a:ln w="3175">
              <a:prstDash val="sysDot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直線コネクタ 2929"/>
            <xdr:cNvCxnSpPr/>
          </xdr:nvCxnSpPr>
          <xdr:spPr bwMode="auto">
            <a:xfrm flipH="1">
              <a:off x="8154219" y="80799410"/>
              <a:ext cx="547419" cy="217561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直線コネクタ 2931"/>
            <xdr:cNvCxnSpPr/>
          </xdr:nvCxnSpPr>
          <xdr:spPr bwMode="auto">
            <a:xfrm flipH="1" flipV="1">
              <a:off x="8701637" y="80790345"/>
              <a:ext cx="167009" cy="81585"/>
            </a:xfrm>
            <a:prstGeom prst="line">
              <a:avLst/>
            </a:prstGeom>
            <a:ln w="19050">
              <a:prstDash val="soli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05" name="直線コネクタ 2904"/>
          <xdr:cNvCxnSpPr/>
        </xdr:nvCxnSpPr>
        <xdr:spPr bwMode="auto">
          <a:xfrm flipH="1" flipV="1">
            <a:off x="10478649" y="86167268"/>
            <a:ext cx="308600" cy="132179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7" name="直線コネクタ 2906"/>
          <xdr:cNvCxnSpPr/>
        </xdr:nvCxnSpPr>
        <xdr:spPr bwMode="auto">
          <a:xfrm flipH="1" flipV="1">
            <a:off x="10469006" y="86374977"/>
            <a:ext cx="308600" cy="132179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8" name="直線コネクタ 2907"/>
          <xdr:cNvCxnSpPr/>
        </xdr:nvCxnSpPr>
        <xdr:spPr bwMode="auto">
          <a:xfrm>
            <a:off x="10478649" y="86167268"/>
            <a:ext cx="0" cy="207709"/>
          </a:xfrm>
          <a:prstGeom prst="line">
            <a:avLst/>
          </a:prstGeom>
          <a:ln w="3175">
            <a:prstDash val="sysDot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9" name="直線コネクタ 2908"/>
          <xdr:cNvCxnSpPr/>
        </xdr:nvCxnSpPr>
        <xdr:spPr bwMode="auto">
          <a:xfrm flipH="1" flipV="1">
            <a:off x="10459362" y="86374977"/>
            <a:ext cx="327887" cy="141620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910" name="テキスト ボックス 2909"/>
          <xdr:cNvSpPr txBox="1"/>
        </xdr:nvSpPr>
        <xdr:spPr bwMode="auto">
          <a:xfrm>
            <a:off x="10305062" y="86441066"/>
            <a:ext cx="491831" cy="1888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49</xdr:col>
      <xdr:colOff>34754</xdr:colOff>
      <xdr:row>159</xdr:row>
      <xdr:rowOff>13431</xdr:rowOff>
    </xdr:from>
    <xdr:to>
      <xdr:col>50</xdr:col>
      <xdr:colOff>23285</xdr:colOff>
      <xdr:row>159</xdr:row>
      <xdr:rowOff>13530</xdr:rowOff>
    </xdr:to>
    <xdr:cxnSp macro="">
      <xdr:nvCxnSpPr>
        <xdr:cNvPr id="2935" name="直線コネクタ 2934"/>
        <xdr:cNvCxnSpPr/>
      </xdr:nvCxnSpPr>
      <xdr:spPr>
        <a:xfrm flipH="1" flipV="1">
          <a:off x="4330435" y="13791674"/>
          <a:ext cx="73407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66675</xdr:colOff>
      <xdr:row>140</xdr:row>
      <xdr:rowOff>55876</xdr:rowOff>
    </xdr:from>
    <xdr:to>
      <xdr:col>59</xdr:col>
      <xdr:colOff>28575</xdr:colOff>
      <xdr:row>148</xdr:row>
      <xdr:rowOff>34590</xdr:rowOff>
    </xdr:to>
    <xdr:grpSp>
      <xdr:nvGrpSpPr>
        <xdr:cNvPr id="7" name="グループ化 6"/>
        <xdr:cNvGrpSpPr/>
      </xdr:nvGrpSpPr>
      <xdr:grpSpPr>
        <a:xfrm>
          <a:off x="3409084" y="12438376"/>
          <a:ext cx="1866900" cy="671441"/>
          <a:chOff x="3417849" y="12528399"/>
          <a:chExt cx="1878516" cy="675665"/>
        </a:xfrm>
      </xdr:grpSpPr>
      <xdr:cxnSp macro="">
        <xdr:nvCxnSpPr>
          <xdr:cNvPr id="2942" name="直線コネクタ 2941"/>
          <xdr:cNvCxnSpPr/>
        </xdr:nvCxnSpPr>
        <xdr:spPr bwMode="auto">
          <a:xfrm>
            <a:off x="3786652" y="12589382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00" name="直線コネクタ 3899"/>
          <xdr:cNvCxnSpPr/>
        </xdr:nvCxnSpPr>
        <xdr:spPr bwMode="auto">
          <a:xfrm>
            <a:off x="4823367" y="12600998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288894" name="グループ化 2"/>
          <xdr:cNvGrpSpPr>
            <a:grpSpLocks/>
          </xdr:cNvGrpSpPr>
        </xdr:nvGrpSpPr>
        <xdr:grpSpPr bwMode="auto">
          <a:xfrm>
            <a:off x="3417849" y="12528399"/>
            <a:ext cx="1878516" cy="675665"/>
            <a:chOff x="3438525" y="12371840"/>
            <a:chExt cx="1847850" cy="672107"/>
          </a:xfrm>
        </xdr:grpSpPr>
        <xdr:cxnSp macro="">
          <xdr:nvCxnSpPr>
            <xdr:cNvPr id="984" name="直線コネクタ 983"/>
            <xdr:cNvCxnSpPr/>
          </xdr:nvCxnSpPr>
          <xdr:spPr bwMode="auto">
            <a:xfrm>
              <a:off x="3438525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5" name="直線コネクタ 984"/>
            <xdr:cNvCxnSpPr/>
          </xdr:nvCxnSpPr>
          <xdr:spPr bwMode="auto">
            <a:xfrm>
              <a:off x="3438525" y="12767997"/>
              <a:ext cx="183832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6" name="直線コネクタ 985"/>
            <xdr:cNvCxnSpPr/>
          </xdr:nvCxnSpPr>
          <xdr:spPr bwMode="auto">
            <a:xfrm>
              <a:off x="4686300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9" name="直線コネクタ 988"/>
            <xdr:cNvCxnSpPr/>
          </xdr:nvCxnSpPr>
          <xdr:spPr bwMode="auto">
            <a:xfrm>
              <a:off x="4038600" y="12371843"/>
              <a:ext cx="0" cy="658558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1" name="直線コネクタ 990"/>
            <xdr:cNvCxnSpPr/>
          </xdr:nvCxnSpPr>
          <xdr:spPr bwMode="auto">
            <a:xfrm>
              <a:off x="4695825" y="12371840"/>
              <a:ext cx="0" cy="672107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3" name="直線コネクタ 992"/>
            <xdr:cNvCxnSpPr/>
          </xdr:nvCxnSpPr>
          <xdr:spPr bwMode="auto">
            <a:xfrm>
              <a:off x="3700456" y="13018431"/>
              <a:ext cx="205322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4" name="直線コネクタ 993"/>
            <xdr:cNvCxnSpPr/>
          </xdr:nvCxnSpPr>
          <xdr:spPr bwMode="auto">
            <a:xfrm flipH="1">
              <a:off x="4981575" y="12796893"/>
              <a:ext cx="219075" cy="221538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5" name="直線コネクタ 994"/>
            <xdr:cNvCxnSpPr/>
          </xdr:nvCxnSpPr>
          <xdr:spPr bwMode="auto">
            <a:xfrm rot="5400000" flipH="1">
              <a:off x="3489675" y="12798125"/>
              <a:ext cx="221538" cy="219075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6" name="直線コネクタ 995"/>
            <xdr:cNvCxnSpPr/>
          </xdr:nvCxnSpPr>
          <xdr:spPr bwMode="auto">
            <a:xfrm>
              <a:off x="4743450" y="1244204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7" name="直線コネクタ 996"/>
            <xdr:cNvCxnSpPr/>
          </xdr:nvCxnSpPr>
          <xdr:spPr bwMode="auto">
            <a:xfrm>
              <a:off x="4901553" y="1243933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8" name="直線コネクタ 997"/>
            <xdr:cNvCxnSpPr/>
          </xdr:nvCxnSpPr>
          <xdr:spPr bwMode="auto">
            <a:xfrm>
              <a:off x="4981575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9" name="直線コネクタ 998"/>
            <xdr:cNvCxnSpPr/>
          </xdr:nvCxnSpPr>
          <xdr:spPr bwMode="auto">
            <a:xfrm>
              <a:off x="3980552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0" name="直線コネクタ 999"/>
            <xdr:cNvCxnSpPr/>
          </xdr:nvCxnSpPr>
          <xdr:spPr bwMode="auto">
            <a:xfrm>
              <a:off x="3891360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1" name="直線コネクタ 1000"/>
            <xdr:cNvCxnSpPr/>
          </xdr:nvCxnSpPr>
          <xdr:spPr bwMode="auto">
            <a:xfrm>
              <a:off x="3716827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2" name="直線コネクタ 1001"/>
            <xdr:cNvCxnSpPr/>
          </xdr:nvCxnSpPr>
          <xdr:spPr bwMode="auto">
            <a:xfrm>
              <a:off x="3733800" y="12739101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3" name="直線コネクタ 1002"/>
            <xdr:cNvCxnSpPr/>
          </xdr:nvCxnSpPr>
          <xdr:spPr bwMode="auto">
            <a:xfrm>
              <a:off x="43624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4" name="直線コネクタ 1003"/>
            <xdr:cNvCxnSpPr/>
          </xdr:nvCxnSpPr>
          <xdr:spPr bwMode="auto">
            <a:xfrm>
              <a:off x="44577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5" name="直線コネクタ 1004"/>
            <xdr:cNvCxnSpPr/>
          </xdr:nvCxnSpPr>
          <xdr:spPr bwMode="auto">
            <a:xfrm>
              <a:off x="4552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6" name="直線コネクタ 1005"/>
            <xdr:cNvCxnSpPr/>
          </xdr:nvCxnSpPr>
          <xdr:spPr bwMode="auto">
            <a:xfrm>
              <a:off x="46291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7" name="直線コネクタ 1006"/>
            <xdr:cNvCxnSpPr/>
          </xdr:nvCxnSpPr>
          <xdr:spPr bwMode="auto">
            <a:xfrm>
              <a:off x="42672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8" name="直線コネクタ 1007"/>
            <xdr:cNvCxnSpPr/>
          </xdr:nvCxnSpPr>
          <xdr:spPr bwMode="auto">
            <a:xfrm>
              <a:off x="4171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9" name="直線コネクタ 1008"/>
            <xdr:cNvCxnSpPr/>
          </xdr:nvCxnSpPr>
          <xdr:spPr bwMode="auto">
            <a:xfrm>
              <a:off x="40957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0" name="直線コネクタ 1009"/>
            <xdr:cNvCxnSpPr/>
          </xdr:nvCxnSpPr>
          <xdr:spPr bwMode="auto">
            <a:xfrm>
              <a:off x="4393406" y="12941377"/>
              <a:ext cx="169069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1" name="直線コネクタ 1010"/>
            <xdr:cNvCxnSpPr/>
          </xdr:nvCxnSpPr>
          <xdr:spPr bwMode="auto">
            <a:xfrm flipV="1">
              <a:off x="4543425" y="12517564"/>
              <a:ext cx="409575" cy="42428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2" name="直線コネクタ 1011"/>
            <xdr:cNvCxnSpPr/>
          </xdr:nvCxnSpPr>
          <xdr:spPr bwMode="auto">
            <a:xfrm>
              <a:off x="4181475" y="12941374"/>
              <a:ext cx="157163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3" name="直線コネクタ 1012"/>
            <xdr:cNvCxnSpPr/>
          </xdr:nvCxnSpPr>
          <xdr:spPr bwMode="auto">
            <a:xfrm flipH="1" flipV="1">
              <a:off x="3771900" y="12546459"/>
              <a:ext cx="419100" cy="394915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直線コネクタ 2940"/>
            <xdr:cNvCxnSpPr/>
          </xdr:nvCxnSpPr>
          <xdr:spPr bwMode="auto">
            <a:xfrm>
              <a:off x="3743325" y="12979903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7" name="直線コネクタ 2946"/>
            <xdr:cNvCxnSpPr/>
          </xdr:nvCxnSpPr>
          <xdr:spPr bwMode="auto">
            <a:xfrm>
              <a:off x="4833141" y="13018431"/>
              <a:ext cx="157959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89</xdr:col>
      <xdr:colOff>29357</xdr:colOff>
      <xdr:row>159</xdr:row>
      <xdr:rowOff>9786</xdr:rowOff>
    </xdr:from>
    <xdr:to>
      <xdr:col>90</xdr:col>
      <xdr:colOff>17889</xdr:colOff>
      <xdr:row>159</xdr:row>
      <xdr:rowOff>9885</xdr:rowOff>
    </xdr:to>
    <xdr:cxnSp macro="">
      <xdr:nvCxnSpPr>
        <xdr:cNvPr id="3000" name="直線コネクタ 2999"/>
        <xdr:cNvCxnSpPr/>
      </xdr:nvCxnSpPr>
      <xdr:spPr>
        <a:xfrm flipH="1" flipV="1">
          <a:off x="7714597" y="13788416"/>
          <a:ext cx="73343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57150</xdr:colOff>
      <xdr:row>406</xdr:row>
      <xdr:rowOff>47625</xdr:rowOff>
    </xdr:from>
    <xdr:to>
      <xdr:col>60</xdr:col>
      <xdr:colOff>19050</xdr:colOff>
      <xdr:row>414</xdr:row>
      <xdr:rowOff>19050</xdr:rowOff>
    </xdr:to>
    <xdr:grpSp>
      <xdr:nvGrpSpPr>
        <xdr:cNvPr id="3288897" name="グループ化 3000"/>
        <xdr:cNvGrpSpPr>
          <a:grpSpLocks/>
        </xdr:cNvGrpSpPr>
      </xdr:nvGrpSpPr>
      <xdr:grpSpPr bwMode="auto">
        <a:xfrm>
          <a:off x="3486150" y="35619170"/>
          <a:ext cx="1866900" cy="664153"/>
          <a:chOff x="3438525" y="12363450"/>
          <a:chExt cx="1847850" cy="654981"/>
        </a:xfrm>
      </xdr:grpSpPr>
      <xdr:cxnSp macro="">
        <xdr:nvCxnSpPr>
          <xdr:cNvPr id="3002" name="直線コネクタ 3001"/>
          <xdr:cNvCxnSpPr/>
        </xdr:nvCxnSpPr>
        <xdr:spPr bwMode="auto">
          <a:xfrm>
            <a:off x="3438525" y="1237294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直線コネクタ 3002"/>
          <xdr:cNvCxnSpPr/>
        </xdr:nvCxnSpPr>
        <xdr:spPr bwMode="auto">
          <a:xfrm>
            <a:off x="3438525" y="12762134"/>
            <a:ext cx="18383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4" name="直線コネクタ 3003"/>
          <xdr:cNvCxnSpPr/>
        </xdr:nvCxnSpPr>
        <xdr:spPr bwMode="auto">
          <a:xfrm>
            <a:off x="4686300" y="1237294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5" name="直線コネクタ 3004"/>
          <xdr:cNvCxnSpPr/>
        </xdr:nvCxnSpPr>
        <xdr:spPr bwMode="auto">
          <a:xfrm>
            <a:off x="4686300" y="12401420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6" name="直線コネクタ 3005"/>
          <xdr:cNvCxnSpPr/>
        </xdr:nvCxnSpPr>
        <xdr:spPr bwMode="auto">
          <a:xfrm>
            <a:off x="3629025" y="12401420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7" name="直線コネクタ 3006"/>
          <xdr:cNvCxnSpPr/>
        </xdr:nvCxnSpPr>
        <xdr:spPr bwMode="auto">
          <a:xfrm>
            <a:off x="4038600" y="12401420"/>
            <a:ext cx="0" cy="531579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8" name="直線コネクタ 3007"/>
          <xdr:cNvCxnSpPr/>
        </xdr:nvCxnSpPr>
        <xdr:spPr bwMode="auto">
          <a:xfrm>
            <a:off x="3829050" y="12932999"/>
            <a:ext cx="20955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9" name="直線コネクタ 3008"/>
          <xdr:cNvCxnSpPr/>
        </xdr:nvCxnSpPr>
        <xdr:spPr bwMode="auto">
          <a:xfrm>
            <a:off x="4695825" y="12401420"/>
            <a:ext cx="0" cy="531579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0" name="直線コネクタ 3009"/>
          <xdr:cNvCxnSpPr/>
        </xdr:nvCxnSpPr>
        <xdr:spPr bwMode="auto">
          <a:xfrm>
            <a:off x="4695825" y="12932999"/>
            <a:ext cx="20002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1" name="直線コネクタ 3010"/>
          <xdr:cNvCxnSpPr/>
        </xdr:nvCxnSpPr>
        <xdr:spPr bwMode="auto">
          <a:xfrm>
            <a:off x="3743325" y="13018431"/>
            <a:ext cx="476250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2" name="直線コネクタ 3011"/>
          <xdr:cNvCxnSpPr/>
        </xdr:nvCxnSpPr>
        <xdr:spPr bwMode="auto">
          <a:xfrm flipH="1">
            <a:off x="4981575" y="12800104"/>
            <a:ext cx="219075" cy="218327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3" name="直線コネクタ 3012"/>
          <xdr:cNvCxnSpPr/>
        </xdr:nvCxnSpPr>
        <xdr:spPr bwMode="auto">
          <a:xfrm rot="5400000" flipH="1">
            <a:off x="3534149" y="12799730"/>
            <a:ext cx="218327" cy="219075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4" name="直線コネクタ 3013"/>
          <xdr:cNvCxnSpPr/>
        </xdr:nvCxnSpPr>
        <xdr:spPr bwMode="auto">
          <a:xfrm>
            <a:off x="4743450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5" name="直線コネクタ 3014"/>
          <xdr:cNvCxnSpPr/>
        </xdr:nvCxnSpPr>
        <xdr:spPr bwMode="auto">
          <a:xfrm>
            <a:off x="48672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6" name="直線コネクタ 3015"/>
          <xdr:cNvCxnSpPr/>
        </xdr:nvCxnSpPr>
        <xdr:spPr bwMode="auto">
          <a:xfrm>
            <a:off x="49815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7" name="直線コネクタ 3016"/>
          <xdr:cNvCxnSpPr/>
        </xdr:nvCxnSpPr>
        <xdr:spPr bwMode="auto">
          <a:xfrm>
            <a:off x="401002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8" name="直線コネクタ 3017"/>
          <xdr:cNvCxnSpPr/>
        </xdr:nvCxnSpPr>
        <xdr:spPr bwMode="auto">
          <a:xfrm>
            <a:off x="3886200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9" name="直線コネクタ 3018"/>
          <xdr:cNvCxnSpPr/>
        </xdr:nvCxnSpPr>
        <xdr:spPr bwMode="auto">
          <a:xfrm>
            <a:off x="37623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0" name="直線コネクタ 3019"/>
          <xdr:cNvCxnSpPr/>
        </xdr:nvCxnSpPr>
        <xdr:spPr bwMode="auto">
          <a:xfrm>
            <a:off x="3733800" y="12733657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1" name="直線コネクタ 3020"/>
          <xdr:cNvCxnSpPr/>
        </xdr:nvCxnSpPr>
        <xdr:spPr bwMode="auto">
          <a:xfrm>
            <a:off x="43624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2" name="直線コネクタ 3021"/>
          <xdr:cNvCxnSpPr/>
        </xdr:nvCxnSpPr>
        <xdr:spPr bwMode="auto">
          <a:xfrm>
            <a:off x="445770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3" name="直線コネクタ 3022"/>
          <xdr:cNvCxnSpPr/>
        </xdr:nvCxnSpPr>
        <xdr:spPr bwMode="auto">
          <a:xfrm>
            <a:off x="45529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4" name="直線コネクタ 3023"/>
          <xdr:cNvCxnSpPr/>
        </xdr:nvCxnSpPr>
        <xdr:spPr bwMode="auto">
          <a:xfrm>
            <a:off x="46291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5" name="直線コネクタ 3024"/>
          <xdr:cNvCxnSpPr/>
        </xdr:nvCxnSpPr>
        <xdr:spPr bwMode="auto">
          <a:xfrm>
            <a:off x="426720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6" name="直線コネクタ 3025"/>
          <xdr:cNvCxnSpPr/>
        </xdr:nvCxnSpPr>
        <xdr:spPr bwMode="auto">
          <a:xfrm>
            <a:off x="41719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7" name="直線コネクタ 3026"/>
          <xdr:cNvCxnSpPr/>
        </xdr:nvCxnSpPr>
        <xdr:spPr bwMode="auto">
          <a:xfrm>
            <a:off x="40957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8" name="直線コネクタ 3027"/>
          <xdr:cNvCxnSpPr/>
        </xdr:nvCxnSpPr>
        <xdr:spPr bwMode="auto">
          <a:xfrm>
            <a:off x="4333875" y="12923506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29" name="直線コネクタ 3028"/>
          <xdr:cNvCxnSpPr/>
        </xdr:nvCxnSpPr>
        <xdr:spPr bwMode="auto">
          <a:xfrm flipV="1">
            <a:off x="4562475" y="12515330"/>
            <a:ext cx="390525" cy="408177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0" name="直線コネクタ 3029"/>
          <xdr:cNvCxnSpPr/>
        </xdr:nvCxnSpPr>
        <xdr:spPr bwMode="auto">
          <a:xfrm>
            <a:off x="4181475" y="12942491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1" name="直線コネクタ 3030"/>
          <xdr:cNvCxnSpPr/>
        </xdr:nvCxnSpPr>
        <xdr:spPr bwMode="auto">
          <a:xfrm flipH="1" flipV="1">
            <a:off x="3771900" y="12543807"/>
            <a:ext cx="419100" cy="398684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2" name="直線コネクタ 3031"/>
          <xdr:cNvCxnSpPr/>
        </xdr:nvCxnSpPr>
        <xdr:spPr bwMode="auto">
          <a:xfrm>
            <a:off x="3743325" y="12980461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3" name="直線コネクタ 3032"/>
          <xdr:cNvCxnSpPr/>
        </xdr:nvCxnSpPr>
        <xdr:spPr bwMode="auto">
          <a:xfrm>
            <a:off x="4505325" y="13018431"/>
            <a:ext cx="485775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76200</xdr:colOff>
      <xdr:row>433</xdr:row>
      <xdr:rowOff>66675</xdr:rowOff>
    </xdr:from>
    <xdr:to>
      <xdr:col>61</xdr:col>
      <xdr:colOff>57150</xdr:colOff>
      <xdr:row>439</xdr:row>
      <xdr:rowOff>38100</xdr:rowOff>
    </xdr:to>
    <xdr:grpSp>
      <xdr:nvGrpSpPr>
        <xdr:cNvPr id="3288898" name="グループ化 31"/>
        <xdr:cNvGrpSpPr>
          <a:grpSpLocks/>
        </xdr:cNvGrpSpPr>
      </xdr:nvGrpSpPr>
      <xdr:grpSpPr bwMode="auto">
        <a:xfrm>
          <a:off x="3245427" y="37976175"/>
          <a:ext cx="2232314" cy="490970"/>
          <a:chOff x="2070308" y="2363715"/>
          <a:chExt cx="2820993" cy="695788"/>
        </a:xfrm>
      </xdr:grpSpPr>
      <xdr:cxnSp macro="">
        <xdr:nvCxnSpPr>
          <xdr:cNvPr id="3289430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1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2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3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4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5" name="直線コネクタ 16"/>
          <xdr:cNvCxnSpPr>
            <a:cxnSpLocks noChangeShapeType="1"/>
          </xdr:cNvCxnSpPr>
        </xdr:nvCxnSpPr>
        <xdr:spPr bwMode="auto">
          <a:xfrm>
            <a:off x="2937429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6" name="直線コネクタ 18"/>
          <xdr:cNvCxnSpPr>
            <a:cxnSpLocks noChangeShapeType="1"/>
          </xdr:cNvCxnSpPr>
        </xdr:nvCxnSpPr>
        <xdr:spPr bwMode="auto">
          <a:xfrm>
            <a:off x="3112223" y="2504661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7" name="直線コネクタ 19"/>
          <xdr:cNvCxnSpPr>
            <a:cxnSpLocks noChangeShapeType="1"/>
          </xdr:cNvCxnSpPr>
        </xdr:nvCxnSpPr>
        <xdr:spPr bwMode="auto">
          <a:xfrm>
            <a:off x="3282056" y="2500519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8" name="直線コネクタ 20"/>
          <xdr:cNvCxnSpPr>
            <a:cxnSpLocks noChangeShapeType="1"/>
          </xdr:cNvCxnSpPr>
        </xdr:nvCxnSpPr>
        <xdr:spPr bwMode="auto">
          <a:xfrm>
            <a:off x="3456850" y="2499690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39" name="直線コネクタ 22"/>
          <xdr:cNvCxnSpPr>
            <a:cxnSpLocks noChangeShapeType="1"/>
          </xdr:cNvCxnSpPr>
        </xdr:nvCxnSpPr>
        <xdr:spPr bwMode="auto">
          <a:xfrm>
            <a:off x="3625677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40" name="直線コネクタ 23"/>
          <xdr:cNvCxnSpPr>
            <a:cxnSpLocks noChangeShapeType="1"/>
          </xdr:cNvCxnSpPr>
        </xdr:nvCxnSpPr>
        <xdr:spPr bwMode="auto">
          <a:xfrm>
            <a:off x="3788856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41" name="直線コネクタ 24"/>
          <xdr:cNvCxnSpPr>
            <a:cxnSpLocks noChangeShapeType="1"/>
          </xdr:cNvCxnSpPr>
        </xdr:nvCxnSpPr>
        <xdr:spPr bwMode="auto">
          <a:xfrm>
            <a:off x="3957017" y="2502176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42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43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444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49</xdr:col>
      <xdr:colOff>20123</xdr:colOff>
      <xdr:row>425</xdr:row>
      <xdr:rowOff>13415</xdr:rowOff>
    </xdr:from>
    <xdr:to>
      <xdr:col>50</xdr:col>
      <xdr:colOff>8654</xdr:colOff>
      <xdr:row>425</xdr:row>
      <xdr:rowOff>13514</xdr:rowOff>
    </xdr:to>
    <xdr:cxnSp macro="">
      <xdr:nvCxnSpPr>
        <xdr:cNvPr id="3050" name="直線コネクタ 3049"/>
        <xdr:cNvCxnSpPr/>
      </xdr:nvCxnSpPr>
      <xdr:spPr>
        <a:xfrm flipH="1" flipV="1">
          <a:off x="4420405" y="37469471"/>
          <a:ext cx="75731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6708</xdr:colOff>
      <xdr:row>445</xdr:row>
      <xdr:rowOff>80492</xdr:rowOff>
    </xdr:from>
    <xdr:to>
      <xdr:col>30</xdr:col>
      <xdr:colOff>81215</xdr:colOff>
      <xdr:row>445</xdr:row>
      <xdr:rowOff>80492</xdr:rowOff>
    </xdr:to>
    <xdr:cxnSp macro="">
      <xdr:nvCxnSpPr>
        <xdr:cNvPr id="3052" name="直線コネクタ 3051"/>
        <xdr:cNvCxnSpPr/>
      </xdr:nvCxnSpPr>
      <xdr:spPr bwMode="auto">
        <a:xfrm>
          <a:off x="2750176" y="39280562"/>
          <a:ext cx="74507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4830</xdr:colOff>
      <xdr:row>450</xdr:row>
      <xdr:rowOff>85321</xdr:rowOff>
    </xdr:from>
    <xdr:to>
      <xdr:col>30</xdr:col>
      <xdr:colOff>79337</xdr:colOff>
      <xdr:row>450</xdr:row>
      <xdr:rowOff>85321</xdr:rowOff>
    </xdr:to>
    <xdr:cxnSp macro="">
      <xdr:nvCxnSpPr>
        <xdr:cNvPr id="3053" name="直線コネクタ 3052"/>
        <xdr:cNvCxnSpPr/>
      </xdr:nvCxnSpPr>
      <xdr:spPr bwMode="auto">
        <a:xfrm>
          <a:off x="2748298" y="39721395"/>
          <a:ext cx="74507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76200</xdr:colOff>
      <xdr:row>460</xdr:row>
      <xdr:rowOff>57150</xdr:rowOff>
    </xdr:from>
    <xdr:to>
      <xdr:col>60</xdr:col>
      <xdr:colOff>38100</xdr:colOff>
      <xdr:row>468</xdr:row>
      <xdr:rowOff>28575</xdr:rowOff>
    </xdr:to>
    <xdr:grpSp>
      <xdr:nvGrpSpPr>
        <xdr:cNvPr id="3288904" name="グループ化 3102"/>
        <xdr:cNvGrpSpPr>
          <a:grpSpLocks/>
        </xdr:cNvGrpSpPr>
      </xdr:nvGrpSpPr>
      <xdr:grpSpPr bwMode="auto">
        <a:xfrm>
          <a:off x="3505200" y="40304605"/>
          <a:ext cx="1866900" cy="664152"/>
          <a:chOff x="3438525" y="12363450"/>
          <a:chExt cx="1847850" cy="654981"/>
        </a:xfrm>
      </xdr:grpSpPr>
      <xdr:cxnSp macro="">
        <xdr:nvCxnSpPr>
          <xdr:cNvPr id="3104" name="直線コネクタ 3103"/>
          <xdr:cNvCxnSpPr/>
        </xdr:nvCxnSpPr>
        <xdr:spPr bwMode="auto">
          <a:xfrm>
            <a:off x="3438525" y="1237294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5" name="直線コネクタ 3104"/>
          <xdr:cNvCxnSpPr/>
        </xdr:nvCxnSpPr>
        <xdr:spPr bwMode="auto">
          <a:xfrm>
            <a:off x="3438525" y="12762134"/>
            <a:ext cx="18383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6" name="直線コネクタ 3105"/>
          <xdr:cNvCxnSpPr/>
        </xdr:nvCxnSpPr>
        <xdr:spPr bwMode="auto">
          <a:xfrm>
            <a:off x="4686300" y="1237294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8" name="直線コネクタ 3107"/>
          <xdr:cNvCxnSpPr/>
        </xdr:nvCxnSpPr>
        <xdr:spPr bwMode="auto">
          <a:xfrm>
            <a:off x="3629025" y="12401420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9" name="直線コネクタ 3108"/>
          <xdr:cNvCxnSpPr/>
        </xdr:nvCxnSpPr>
        <xdr:spPr bwMode="auto">
          <a:xfrm>
            <a:off x="4038600" y="12401420"/>
            <a:ext cx="0" cy="531579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0" name="直線コネクタ 3109"/>
          <xdr:cNvCxnSpPr/>
        </xdr:nvCxnSpPr>
        <xdr:spPr bwMode="auto">
          <a:xfrm>
            <a:off x="3829050" y="12932999"/>
            <a:ext cx="20955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3" name="直線コネクタ 3112"/>
          <xdr:cNvCxnSpPr/>
        </xdr:nvCxnSpPr>
        <xdr:spPr bwMode="auto">
          <a:xfrm>
            <a:off x="3743325" y="13018431"/>
            <a:ext cx="476250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4" name="直線コネクタ 3113"/>
          <xdr:cNvCxnSpPr/>
        </xdr:nvCxnSpPr>
        <xdr:spPr bwMode="auto">
          <a:xfrm flipH="1">
            <a:off x="4981575" y="12800104"/>
            <a:ext cx="219075" cy="218327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5" name="直線コネクタ 3114"/>
          <xdr:cNvCxnSpPr/>
        </xdr:nvCxnSpPr>
        <xdr:spPr bwMode="auto">
          <a:xfrm rot="5400000" flipH="1">
            <a:off x="3534149" y="12799730"/>
            <a:ext cx="218327" cy="219075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6" name="直線コネクタ 3115"/>
          <xdr:cNvCxnSpPr/>
        </xdr:nvCxnSpPr>
        <xdr:spPr bwMode="auto">
          <a:xfrm>
            <a:off x="4743450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7" name="直線コネクタ 3116"/>
          <xdr:cNvCxnSpPr/>
        </xdr:nvCxnSpPr>
        <xdr:spPr bwMode="auto">
          <a:xfrm>
            <a:off x="48672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8" name="直線コネクタ 3117"/>
          <xdr:cNvCxnSpPr/>
        </xdr:nvCxnSpPr>
        <xdr:spPr bwMode="auto">
          <a:xfrm>
            <a:off x="49815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9" name="直線コネクタ 3118"/>
          <xdr:cNvCxnSpPr/>
        </xdr:nvCxnSpPr>
        <xdr:spPr bwMode="auto">
          <a:xfrm>
            <a:off x="401002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0" name="直線コネクタ 3119"/>
          <xdr:cNvCxnSpPr/>
        </xdr:nvCxnSpPr>
        <xdr:spPr bwMode="auto">
          <a:xfrm>
            <a:off x="3886200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1" name="直線コネクタ 3120"/>
          <xdr:cNvCxnSpPr/>
        </xdr:nvCxnSpPr>
        <xdr:spPr bwMode="auto">
          <a:xfrm>
            <a:off x="37623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2" name="直線コネクタ 3121"/>
          <xdr:cNvCxnSpPr/>
        </xdr:nvCxnSpPr>
        <xdr:spPr bwMode="auto">
          <a:xfrm>
            <a:off x="3733800" y="12733657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3" name="直線コネクタ 3122"/>
          <xdr:cNvCxnSpPr/>
        </xdr:nvCxnSpPr>
        <xdr:spPr bwMode="auto">
          <a:xfrm>
            <a:off x="43624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4" name="直線コネクタ 3123"/>
          <xdr:cNvCxnSpPr/>
        </xdr:nvCxnSpPr>
        <xdr:spPr bwMode="auto">
          <a:xfrm>
            <a:off x="445770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5" name="直線コネクタ 3124"/>
          <xdr:cNvCxnSpPr/>
        </xdr:nvCxnSpPr>
        <xdr:spPr bwMode="auto">
          <a:xfrm>
            <a:off x="45529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6" name="直線コネクタ 3125"/>
          <xdr:cNvCxnSpPr/>
        </xdr:nvCxnSpPr>
        <xdr:spPr bwMode="auto">
          <a:xfrm>
            <a:off x="46291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7" name="直線コネクタ 3126"/>
          <xdr:cNvCxnSpPr/>
        </xdr:nvCxnSpPr>
        <xdr:spPr bwMode="auto">
          <a:xfrm>
            <a:off x="426720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8" name="直線コネクタ 3127"/>
          <xdr:cNvCxnSpPr/>
        </xdr:nvCxnSpPr>
        <xdr:spPr bwMode="auto">
          <a:xfrm>
            <a:off x="41719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9" name="直線コネクタ 3128"/>
          <xdr:cNvCxnSpPr/>
        </xdr:nvCxnSpPr>
        <xdr:spPr bwMode="auto">
          <a:xfrm>
            <a:off x="40957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0" name="直線コネクタ 3129"/>
          <xdr:cNvCxnSpPr/>
        </xdr:nvCxnSpPr>
        <xdr:spPr bwMode="auto">
          <a:xfrm>
            <a:off x="4333875" y="12923506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1" name="直線コネクタ 3130"/>
          <xdr:cNvCxnSpPr/>
        </xdr:nvCxnSpPr>
        <xdr:spPr bwMode="auto">
          <a:xfrm flipV="1">
            <a:off x="4562475" y="12515330"/>
            <a:ext cx="390525" cy="408177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2" name="直線コネクタ 3131"/>
          <xdr:cNvCxnSpPr/>
        </xdr:nvCxnSpPr>
        <xdr:spPr bwMode="auto">
          <a:xfrm>
            <a:off x="4181475" y="12942491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3" name="直線コネクタ 3132"/>
          <xdr:cNvCxnSpPr/>
        </xdr:nvCxnSpPr>
        <xdr:spPr bwMode="auto">
          <a:xfrm flipH="1" flipV="1">
            <a:off x="3771900" y="12543807"/>
            <a:ext cx="419100" cy="398684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4" name="直線コネクタ 3133"/>
          <xdr:cNvCxnSpPr/>
        </xdr:nvCxnSpPr>
        <xdr:spPr bwMode="auto">
          <a:xfrm>
            <a:off x="3743325" y="12980461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5" name="直線コネクタ 3134"/>
          <xdr:cNvCxnSpPr/>
        </xdr:nvCxnSpPr>
        <xdr:spPr bwMode="auto">
          <a:xfrm>
            <a:off x="4505325" y="13018431"/>
            <a:ext cx="485775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12370</xdr:colOff>
      <xdr:row>470</xdr:row>
      <xdr:rowOff>12370</xdr:rowOff>
    </xdr:from>
    <xdr:to>
      <xdr:col>30</xdr:col>
      <xdr:colOff>82931</xdr:colOff>
      <xdr:row>470</xdr:row>
      <xdr:rowOff>12370</xdr:rowOff>
    </xdr:to>
    <xdr:cxnSp macro="">
      <xdr:nvCxnSpPr>
        <xdr:cNvPr id="3136" name="直線コネクタ 3135"/>
        <xdr:cNvCxnSpPr/>
      </xdr:nvCxnSpPr>
      <xdr:spPr bwMode="auto">
        <a:xfrm>
          <a:off x="2739984" y="41118312"/>
          <a:ext cx="70561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10143</xdr:colOff>
      <xdr:row>479</xdr:row>
      <xdr:rowOff>3959</xdr:rowOff>
    </xdr:from>
    <xdr:to>
      <xdr:col>30</xdr:col>
      <xdr:colOff>80704</xdr:colOff>
      <xdr:row>479</xdr:row>
      <xdr:rowOff>3959</xdr:rowOff>
    </xdr:to>
    <xdr:cxnSp macro="">
      <xdr:nvCxnSpPr>
        <xdr:cNvPr id="3137" name="直線コネクタ 3136"/>
        <xdr:cNvCxnSpPr/>
      </xdr:nvCxnSpPr>
      <xdr:spPr bwMode="auto">
        <a:xfrm>
          <a:off x="2737757" y="41889219"/>
          <a:ext cx="70561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14101</xdr:colOff>
      <xdr:row>479</xdr:row>
      <xdr:rowOff>14102</xdr:rowOff>
    </xdr:from>
    <xdr:to>
      <xdr:col>49</xdr:col>
      <xdr:colOff>84662</xdr:colOff>
      <xdr:row>479</xdr:row>
      <xdr:rowOff>14102</xdr:rowOff>
    </xdr:to>
    <xdr:cxnSp macro="">
      <xdr:nvCxnSpPr>
        <xdr:cNvPr id="3138" name="直線コネクタ 3137"/>
        <xdr:cNvCxnSpPr/>
      </xdr:nvCxnSpPr>
      <xdr:spPr bwMode="auto">
        <a:xfrm>
          <a:off x="4386942" y="41899362"/>
          <a:ext cx="70561" cy="0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80010</xdr:colOff>
      <xdr:row>499</xdr:row>
      <xdr:rowOff>83820</xdr:rowOff>
    </xdr:from>
    <xdr:to>
      <xdr:col>30</xdr:col>
      <xdr:colOff>66887</xdr:colOff>
      <xdr:row>499</xdr:row>
      <xdr:rowOff>83820</xdr:rowOff>
    </xdr:to>
    <xdr:cxnSp macro="">
      <xdr:nvCxnSpPr>
        <xdr:cNvPr id="3139" name="直線コネクタ 3138"/>
        <xdr:cNvCxnSpPr/>
      </xdr:nvCxnSpPr>
      <xdr:spPr bwMode="auto">
        <a:xfrm>
          <a:off x="2750820" y="44222670"/>
          <a:ext cx="74507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505</xdr:row>
      <xdr:rowOff>7620</xdr:rowOff>
    </xdr:from>
    <xdr:to>
      <xdr:col>30</xdr:col>
      <xdr:colOff>63077</xdr:colOff>
      <xdr:row>505</xdr:row>
      <xdr:rowOff>7620</xdr:rowOff>
    </xdr:to>
    <xdr:cxnSp macro="">
      <xdr:nvCxnSpPr>
        <xdr:cNvPr id="3140" name="直線コネクタ 3139"/>
        <xdr:cNvCxnSpPr/>
      </xdr:nvCxnSpPr>
      <xdr:spPr bwMode="auto">
        <a:xfrm>
          <a:off x="2747010" y="44672250"/>
          <a:ext cx="74507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17771</xdr:colOff>
      <xdr:row>209</xdr:row>
      <xdr:rowOff>7107</xdr:rowOff>
    </xdr:from>
    <xdr:to>
      <xdr:col>50</xdr:col>
      <xdr:colOff>6302</xdr:colOff>
      <xdr:row>209</xdr:row>
      <xdr:rowOff>7206</xdr:rowOff>
    </xdr:to>
    <xdr:cxnSp macro="">
      <xdr:nvCxnSpPr>
        <xdr:cNvPr id="2948" name="直線コネクタ 2947"/>
        <xdr:cNvCxnSpPr/>
      </xdr:nvCxnSpPr>
      <xdr:spPr>
        <a:xfrm flipH="1" flipV="1">
          <a:off x="4332454" y="18168581"/>
          <a:ext cx="73829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217</xdr:row>
      <xdr:rowOff>85725</xdr:rowOff>
    </xdr:from>
    <xdr:to>
      <xdr:col>60</xdr:col>
      <xdr:colOff>76200</xdr:colOff>
      <xdr:row>223</xdr:row>
      <xdr:rowOff>57150</xdr:rowOff>
    </xdr:to>
    <xdr:grpSp>
      <xdr:nvGrpSpPr>
        <xdr:cNvPr id="3288914" name="グループ化 31"/>
        <xdr:cNvGrpSpPr>
          <a:grpSpLocks/>
        </xdr:cNvGrpSpPr>
      </xdr:nvGrpSpPr>
      <xdr:grpSpPr bwMode="auto">
        <a:xfrm>
          <a:off x="3178752" y="19187680"/>
          <a:ext cx="2231448" cy="490970"/>
          <a:chOff x="2070308" y="2363715"/>
          <a:chExt cx="2820993" cy="695788"/>
        </a:xfrm>
      </xdr:grpSpPr>
      <xdr:cxnSp macro="">
        <xdr:nvCxnSpPr>
          <xdr:cNvPr id="3289220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1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2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3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4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5" name="直線コネクタ 16"/>
          <xdr:cNvCxnSpPr>
            <a:cxnSpLocks noChangeShapeType="1"/>
          </xdr:cNvCxnSpPr>
        </xdr:nvCxnSpPr>
        <xdr:spPr bwMode="auto">
          <a:xfrm>
            <a:off x="2937429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6" name="直線コネクタ 18"/>
          <xdr:cNvCxnSpPr>
            <a:cxnSpLocks noChangeShapeType="1"/>
          </xdr:cNvCxnSpPr>
        </xdr:nvCxnSpPr>
        <xdr:spPr bwMode="auto">
          <a:xfrm>
            <a:off x="3112223" y="2504661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7" name="直線コネクタ 19"/>
          <xdr:cNvCxnSpPr>
            <a:cxnSpLocks noChangeShapeType="1"/>
          </xdr:cNvCxnSpPr>
        </xdr:nvCxnSpPr>
        <xdr:spPr bwMode="auto">
          <a:xfrm>
            <a:off x="3282056" y="2500519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8" name="直線コネクタ 20"/>
          <xdr:cNvCxnSpPr>
            <a:cxnSpLocks noChangeShapeType="1"/>
          </xdr:cNvCxnSpPr>
        </xdr:nvCxnSpPr>
        <xdr:spPr bwMode="auto">
          <a:xfrm>
            <a:off x="3456850" y="2499690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29" name="直線コネクタ 22"/>
          <xdr:cNvCxnSpPr>
            <a:cxnSpLocks noChangeShapeType="1"/>
          </xdr:cNvCxnSpPr>
        </xdr:nvCxnSpPr>
        <xdr:spPr bwMode="auto">
          <a:xfrm>
            <a:off x="3625677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30" name="直線コネクタ 23"/>
          <xdr:cNvCxnSpPr>
            <a:cxnSpLocks noChangeShapeType="1"/>
          </xdr:cNvCxnSpPr>
        </xdr:nvCxnSpPr>
        <xdr:spPr bwMode="auto">
          <a:xfrm>
            <a:off x="3788856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31" name="直線コネクタ 24"/>
          <xdr:cNvCxnSpPr>
            <a:cxnSpLocks noChangeShapeType="1"/>
          </xdr:cNvCxnSpPr>
        </xdr:nvCxnSpPr>
        <xdr:spPr bwMode="auto">
          <a:xfrm>
            <a:off x="3957017" y="2502176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32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33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289234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147</xdr:col>
      <xdr:colOff>38100</xdr:colOff>
      <xdr:row>198</xdr:row>
      <xdr:rowOff>19050</xdr:rowOff>
    </xdr:from>
    <xdr:to>
      <xdr:col>169</xdr:col>
      <xdr:colOff>0</xdr:colOff>
      <xdr:row>205</xdr:row>
      <xdr:rowOff>66675</xdr:rowOff>
    </xdr:to>
    <xdr:grpSp>
      <xdr:nvGrpSpPr>
        <xdr:cNvPr id="3288915" name="グループ化 2"/>
        <xdr:cNvGrpSpPr>
          <a:grpSpLocks/>
        </xdr:cNvGrpSpPr>
      </xdr:nvGrpSpPr>
      <xdr:grpSpPr bwMode="auto">
        <a:xfrm>
          <a:off x="12905509" y="17475777"/>
          <a:ext cx="1866900" cy="653762"/>
          <a:chOff x="3438525" y="12363450"/>
          <a:chExt cx="1847850" cy="654981"/>
        </a:xfrm>
      </xdr:grpSpPr>
      <xdr:cxnSp macro="">
        <xdr:nvCxnSpPr>
          <xdr:cNvPr id="3046" name="直線コネクタ 3045"/>
          <xdr:cNvCxnSpPr/>
        </xdr:nvCxnSpPr>
        <xdr:spPr bwMode="auto">
          <a:xfrm>
            <a:off x="3438525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7" name="直線コネクタ 3046"/>
          <xdr:cNvCxnSpPr/>
        </xdr:nvCxnSpPr>
        <xdr:spPr bwMode="auto">
          <a:xfrm>
            <a:off x="3438525" y="12767997"/>
            <a:ext cx="18383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8" name="直線コネクタ 3047"/>
          <xdr:cNvCxnSpPr/>
        </xdr:nvCxnSpPr>
        <xdr:spPr bwMode="auto">
          <a:xfrm>
            <a:off x="4686300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9" name="直線コネクタ 3048"/>
          <xdr:cNvCxnSpPr/>
        </xdr:nvCxnSpPr>
        <xdr:spPr bwMode="auto">
          <a:xfrm>
            <a:off x="4686300" y="12401978"/>
            <a:ext cx="40957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1" name="直線コネクタ 3050"/>
          <xdr:cNvCxnSpPr/>
        </xdr:nvCxnSpPr>
        <xdr:spPr bwMode="auto">
          <a:xfrm>
            <a:off x="3629025" y="12401978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4" name="直線コネクタ 3053"/>
          <xdr:cNvCxnSpPr/>
        </xdr:nvCxnSpPr>
        <xdr:spPr bwMode="auto">
          <a:xfrm>
            <a:off x="4038600" y="12401978"/>
            <a:ext cx="0" cy="529764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7" name="直線コネクタ 3086"/>
          <xdr:cNvCxnSpPr/>
        </xdr:nvCxnSpPr>
        <xdr:spPr bwMode="auto">
          <a:xfrm>
            <a:off x="3829050" y="12931742"/>
            <a:ext cx="20955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8" name="直線コネクタ 3087"/>
          <xdr:cNvCxnSpPr/>
        </xdr:nvCxnSpPr>
        <xdr:spPr bwMode="auto">
          <a:xfrm>
            <a:off x="4695825" y="12401978"/>
            <a:ext cx="0" cy="529764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9" name="直線コネクタ 3088"/>
          <xdr:cNvCxnSpPr/>
        </xdr:nvCxnSpPr>
        <xdr:spPr bwMode="auto">
          <a:xfrm>
            <a:off x="4695825" y="12931742"/>
            <a:ext cx="20002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0" name="直線コネクタ 3089"/>
          <xdr:cNvCxnSpPr/>
        </xdr:nvCxnSpPr>
        <xdr:spPr bwMode="auto">
          <a:xfrm>
            <a:off x="3743325" y="13018431"/>
            <a:ext cx="476250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1" name="直線コネクタ 3090"/>
          <xdr:cNvCxnSpPr/>
        </xdr:nvCxnSpPr>
        <xdr:spPr bwMode="auto">
          <a:xfrm flipH="1">
            <a:off x="4981575" y="12796893"/>
            <a:ext cx="219075" cy="221538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2" name="直線コネクタ 3091"/>
          <xdr:cNvCxnSpPr/>
        </xdr:nvCxnSpPr>
        <xdr:spPr bwMode="auto">
          <a:xfrm rot="5400000" flipH="1">
            <a:off x="3532544" y="12798125"/>
            <a:ext cx="221538" cy="219075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3" name="直線コネクタ 3092"/>
          <xdr:cNvCxnSpPr/>
        </xdr:nvCxnSpPr>
        <xdr:spPr bwMode="auto">
          <a:xfrm>
            <a:off x="474345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4" name="直線コネクタ 3093"/>
          <xdr:cNvCxnSpPr/>
        </xdr:nvCxnSpPr>
        <xdr:spPr bwMode="auto">
          <a:xfrm>
            <a:off x="48672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5" name="直線コネクタ 3094"/>
          <xdr:cNvCxnSpPr/>
        </xdr:nvCxnSpPr>
        <xdr:spPr bwMode="auto">
          <a:xfrm>
            <a:off x="49815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6" name="直線コネクタ 3095"/>
          <xdr:cNvCxnSpPr/>
        </xdr:nvCxnSpPr>
        <xdr:spPr bwMode="auto">
          <a:xfrm>
            <a:off x="401002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7" name="直線コネクタ 3096"/>
          <xdr:cNvCxnSpPr/>
        </xdr:nvCxnSpPr>
        <xdr:spPr bwMode="auto">
          <a:xfrm>
            <a:off x="388620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8" name="直線コネクタ 3097"/>
          <xdr:cNvCxnSpPr/>
        </xdr:nvCxnSpPr>
        <xdr:spPr bwMode="auto">
          <a:xfrm>
            <a:off x="37623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9" name="直線コネクタ 3098"/>
          <xdr:cNvCxnSpPr/>
        </xdr:nvCxnSpPr>
        <xdr:spPr bwMode="auto">
          <a:xfrm>
            <a:off x="3733800" y="12739101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0" name="直線コネクタ 3099"/>
          <xdr:cNvCxnSpPr/>
        </xdr:nvCxnSpPr>
        <xdr:spPr bwMode="auto">
          <a:xfrm>
            <a:off x="43624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1" name="直線コネクタ 3100"/>
          <xdr:cNvCxnSpPr/>
        </xdr:nvCxnSpPr>
        <xdr:spPr bwMode="auto">
          <a:xfrm>
            <a:off x="44577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2" name="直線コネクタ 3101"/>
          <xdr:cNvCxnSpPr/>
        </xdr:nvCxnSpPr>
        <xdr:spPr bwMode="auto">
          <a:xfrm>
            <a:off x="4552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3" name="直線コネクタ 3102"/>
          <xdr:cNvCxnSpPr/>
        </xdr:nvCxnSpPr>
        <xdr:spPr bwMode="auto">
          <a:xfrm>
            <a:off x="46291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7" name="直線コネクタ 3106"/>
          <xdr:cNvCxnSpPr/>
        </xdr:nvCxnSpPr>
        <xdr:spPr bwMode="auto">
          <a:xfrm>
            <a:off x="42672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1" name="直線コネクタ 3110"/>
          <xdr:cNvCxnSpPr/>
        </xdr:nvCxnSpPr>
        <xdr:spPr bwMode="auto">
          <a:xfrm>
            <a:off x="4171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2" name="直線コネクタ 3111"/>
          <xdr:cNvCxnSpPr/>
        </xdr:nvCxnSpPr>
        <xdr:spPr bwMode="auto">
          <a:xfrm>
            <a:off x="40957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4" name="直線コネクタ 3143"/>
          <xdr:cNvCxnSpPr/>
        </xdr:nvCxnSpPr>
        <xdr:spPr bwMode="auto">
          <a:xfrm>
            <a:off x="4333875" y="12922110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6" name="直線コネクタ 3145"/>
          <xdr:cNvCxnSpPr/>
        </xdr:nvCxnSpPr>
        <xdr:spPr bwMode="auto">
          <a:xfrm flipV="1">
            <a:off x="4562475" y="12517563"/>
            <a:ext cx="390525" cy="404547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7" name="直線コネクタ 3146"/>
          <xdr:cNvCxnSpPr/>
        </xdr:nvCxnSpPr>
        <xdr:spPr bwMode="auto">
          <a:xfrm>
            <a:off x="4181475" y="12941374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0" name="直線コネクタ 3149"/>
          <xdr:cNvCxnSpPr/>
        </xdr:nvCxnSpPr>
        <xdr:spPr bwMode="auto">
          <a:xfrm flipH="1" flipV="1">
            <a:off x="3771900" y="12546459"/>
            <a:ext cx="419100" cy="394915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1" name="直線コネクタ 3150"/>
          <xdr:cNvCxnSpPr/>
        </xdr:nvCxnSpPr>
        <xdr:spPr bwMode="auto">
          <a:xfrm>
            <a:off x="3743325" y="12979903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6" name="直線コネクタ 3155"/>
          <xdr:cNvCxnSpPr/>
        </xdr:nvCxnSpPr>
        <xdr:spPr bwMode="auto">
          <a:xfrm>
            <a:off x="4505325" y="13018431"/>
            <a:ext cx="485775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89</xdr:col>
      <xdr:colOff>14542</xdr:colOff>
      <xdr:row>209</xdr:row>
      <xdr:rowOff>7270</xdr:rowOff>
    </xdr:from>
    <xdr:to>
      <xdr:col>90</xdr:col>
      <xdr:colOff>3073</xdr:colOff>
      <xdr:row>209</xdr:row>
      <xdr:rowOff>7369</xdr:rowOff>
    </xdr:to>
    <xdr:cxnSp macro="">
      <xdr:nvCxnSpPr>
        <xdr:cNvPr id="3161" name="直線コネクタ 3160"/>
        <xdr:cNvCxnSpPr/>
      </xdr:nvCxnSpPr>
      <xdr:spPr>
        <a:xfrm flipH="1" flipV="1">
          <a:off x="7907204" y="18562843"/>
          <a:ext cx="75783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47625</xdr:colOff>
      <xdr:row>290</xdr:row>
      <xdr:rowOff>47625</xdr:rowOff>
    </xdr:from>
    <xdr:to>
      <xdr:col>100</xdr:col>
      <xdr:colOff>9525</xdr:colOff>
      <xdr:row>298</xdr:row>
      <xdr:rowOff>9525</xdr:rowOff>
    </xdr:to>
    <xdr:grpSp>
      <xdr:nvGrpSpPr>
        <xdr:cNvPr id="3288919" name="グループ化 3053"/>
        <xdr:cNvGrpSpPr>
          <a:grpSpLocks/>
        </xdr:cNvGrpSpPr>
      </xdr:nvGrpSpPr>
      <xdr:grpSpPr bwMode="auto">
        <a:xfrm>
          <a:off x="6940261" y="25574625"/>
          <a:ext cx="1866900" cy="654627"/>
          <a:chOff x="3438525" y="12363450"/>
          <a:chExt cx="1847850" cy="654981"/>
        </a:xfrm>
      </xdr:grpSpPr>
      <xdr:cxnSp macro="">
        <xdr:nvCxnSpPr>
          <xdr:cNvPr id="3240" name="直線コネクタ 3239"/>
          <xdr:cNvCxnSpPr/>
        </xdr:nvCxnSpPr>
        <xdr:spPr bwMode="auto">
          <a:xfrm>
            <a:off x="3438525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1" name="直線コネクタ 3240"/>
          <xdr:cNvCxnSpPr/>
        </xdr:nvCxnSpPr>
        <xdr:spPr bwMode="auto">
          <a:xfrm>
            <a:off x="3438525" y="12767997"/>
            <a:ext cx="18383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2" name="直線コネクタ 3241"/>
          <xdr:cNvCxnSpPr/>
        </xdr:nvCxnSpPr>
        <xdr:spPr bwMode="auto">
          <a:xfrm>
            <a:off x="4686300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3" name="直線コネクタ 3242"/>
          <xdr:cNvCxnSpPr/>
        </xdr:nvCxnSpPr>
        <xdr:spPr bwMode="auto">
          <a:xfrm>
            <a:off x="4686300" y="12401978"/>
            <a:ext cx="40957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4" name="直線コネクタ 3243"/>
          <xdr:cNvCxnSpPr/>
        </xdr:nvCxnSpPr>
        <xdr:spPr bwMode="auto">
          <a:xfrm>
            <a:off x="3629025" y="12401978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5" name="直線コネクタ 3244"/>
          <xdr:cNvCxnSpPr/>
        </xdr:nvCxnSpPr>
        <xdr:spPr bwMode="auto">
          <a:xfrm>
            <a:off x="4038600" y="12401978"/>
            <a:ext cx="0" cy="529764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6" name="直線コネクタ 3245"/>
          <xdr:cNvCxnSpPr/>
        </xdr:nvCxnSpPr>
        <xdr:spPr bwMode="auto">
          <a:xfrm>
            <a:off x="3829050" y="12931742"/>
            <a:ext cx="20955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7" name="直線コネクタ 3246"/>
          <xdr:cNvCxnSpPr/>
        </xdr:nvCxnSpPr>
        <xdr:spPr bwMode="auto">
          <a:xfrm>
            <a:off x="4695825" y="12401978"/>
            <a:ext cx="0" cy="529764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8" name="直線コネクタ 3247"/>
          <xdr:cNvCxnSpPr/>
        </xdr:nvCxnSpPr>
        <xdr:spPr bwMode="auto">
          <a:xfrm>
            <a:off x="4695825" y="12931742"/>
            <a:ext cx="20002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9" name="直線コネクタ 3248"/>
          <xdr:cNvCxnSpPr/>
        </xdr:nvCxnSpPr>
        <xdr:spPr bwMode="auto">
          <a:xfrm>
            <a:off x="3743325" y="13018431"/>
            <a:ext cx="476250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0" name="直線コネクタ 3249"/>
          <xdr:cNvCxnSpPr/>
        </xdr:nvCxnSpPr>
        <xdr:spPr bwMode="auto">
          <a:xfrm flipH="1">
            <a:off x="4981575" y="12796893"/>
            <a:ext cx="219075" cy="221538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1" name="直線コネクタ 3250"/>
          <xdr:cNvCxnSpPr/>
        </xdr:nvCxnSpPr>
        <xdr:spPr bwMode="auto">
          <a:xfrm rot="5400000" flipH="1">
            <a:off x="3532544" y="12798125"/>
            <a:ext cx="221538" cy="219075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2" name="直線コネクタ 3251"/>
          <xdr:cNvCxnSpPr/>
        </xdr:nvCxnSpPr>
        <xdr:spPr bwMode="auto">
          <a:xfrm>
            <a:off x="474345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3" name="直線コネクタ 3252"/>
          <xdr:cNvCxnSpPr/>
        </xdr:nvCxnSpPr>
        <xdr:spPr bwMode="auto">
          <a:xfrm>
            <a:off x="48672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4" name="直線コネクタ 3253"/>
          <xdr:cNvCxnSpPr/>
        </xdr:nvCxnSpPr>
        <xdr:spPr bwMode="auto">
          <a:xfrm>
            <a:off x="49815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5" name="直線コネクタ 3254"/>
          <xdr:cNvCxnSpPr/>
        </xdr:nvCxnSpPr>
        <xdr:spPr bwMode="auto">
          <a:xfrm>
            <a:off x="401002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6" name="直線コネクタ 3255"/>
          <xdr:cNvCxnSpPr/>
        </xdr:nvCxnSpPr>
        <xdr:spPr bwMode="auto">
          <a:xfrm>
            <a:off x="388620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7" name="直線コネクタ 3256"/>
          <xdr:cNvCxnSpPr/>
        </xdr:nvCxnSpPr>
        <xdr:spPr bwMode="auto">
          <a:xfrm>
            <a:off x="37623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8" name="直線コネクタ 3257"/>
          <xdr:cNvCxnSpPr/>
        </xdr:nvCxnSpPr>
        <xdr:spPr bwMode="auto">
          <a:xfrm>
            <a:off x="3733800" y="12739101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59" name="直線コネクタ 3258"/>
          <xdr:cNvCxnSpPr/>
        </xdr:nvCxnSpPr>
        <xdr:spPr bwMode="auto">
          <a:xfrm>
            <a:off x="43624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0" name="直線コネクタ 3259"/>
          <xdr:cNvCxnSpPr/>
        </xdr:nvCxnSpPr>
        <xdr:spPr bwMode="auto">
          <a:xfrm>
            <a:off x="44577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1" name="直線コネクタ 3260"/>
          <xdr:cNvCxnSpPr/>
        </xdr:nvCxnSpPr>
        <xdr:spPr bwMode="auto">
          <a:xfrm>
            <a:off x="4552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2" name="直線コネクタ 3261"/>
          <xdr:cNvCxnSpPr/>
        </xdr:nvCxnSpPr>
        <xdr:spPr bwMode="auto">
          <a:xfrm>
            <a:off x="46291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3" name="直線コネクタ 3262"/>
          <xdr:cNvCxnSpPr/>
        </xdr:nvCxnSpPr>
        <xdr:spPr bwMode="auto">
          <a:xfrm>
            <a:off x="42672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4" name="直線コネクタ 3263"/>
          <xdr:cNvCxnSpPr/>
        </xdr:nvCxnSpPr>
        <xdr:spPr bwMode="auto">
          <a:xfrm>
            <a:off x="4171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5" name="直線コネクタ 3264"/>
          <xdr:cNvCxnSpPr/>
        </xdr:nvCxnSpPr>
        <xdr:spPr bwMode="auto">
          <a:xfrm>
            <a:off x="40957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6" name="直線コネクタ 3265"/>
          <xdr:cNvCxnSpPr/>
        </xdr:nvCxnSpPr>
        <xdr:spPr bwMode="auto">
          <a:xfrm>
            <a:off x="4333875" y="12922110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7" name="直線コネクタ 3266"/>
          <xdr:cNvCxnSpPr/>
        </xdr:nvCxnSpPr>
        <xdr:spPr bwMode="auto">
          <a:xfrm flipV="1">
            <a:off x="4562475" y="12517563"/>
            <a:ext cx="390525" cy="404547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8" name="直線コネクタ 3267"/>
          <xdr:cNvCxnSpPr/>
        </xdr:nvCxnSpPr>
        <xdr:spPr bwMode="auto">
          <a:xfrm>
            <a:off x="4181475" y="12941374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9" name="直線コネクタ 3268"/>
          <xdr:cNvCxnSpPr/>
        </xdr:nvCxnSpPr>
        <xdr:spPr bwMode="auto">
          <a:xfrm flipH="1" flipV="1">
            <a:off x="3771900" y="12546459"/>
            <a:ext cx="419100" cy="394915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0" name="直線コネクタ 3269"/>
          <xdr:cNvCxnSpPr/>
        </xdr:nvCxnSpPr>
        <xdr:spPr bwMode="auto">
          <a:xfrm>
            <a:off x="3743325" y="12979903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1" name="直線コネクタ 3270"/>
          <xdr:cNvCxnSpPr/>
        </xdr:nvCxnSpPr>
        <xdr:spPr bwMode="auto">
          <a:xfrm>
            <a:off x="4505325" y="13018431"/>
            <a:ext cx="485775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4514</xdr:colOff>
      <xdr:row>961</xdr:row>
      <xdr:rowOff>7809</xdr:rowOff>
    </xdr:from>
    <xdr:to>
      <xdr:col>32</xdr:col>
      <xdr:colOff>72776</xdr:colOff>
      <xdr:row>961</xdr:row>
      <xdr:rowOff>7809</xdr:rowOff>
    </xdr:to>
    <xdr:cxnSp macro="">
      <xdr:nvCxnSpPr>
        <xdr:cNvPr id="3302" name="直線コネクタ 3301"/>
        <xdr:cNvCxnSpPr/>
      </xdr:nvCxnSpPr>
      <xdr:spPr bwMode="auto">
        <a:xfrm>
          <a:off x="2840941" y="81450774"/>
          <a:ext cx="68262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15844</xdr:colOff>
      <xdr:row>479</xdr:row>
      <xdr:rowOff>7927</xdr:rowOff>
    </xdr:from>
    <xdr:to>
      <xdr:col>70</xdr:col>
      <xdr:colOff>84106</xdr:colOff>
      <xdr:row>479</xdr:row>
      <xdr:rowOff>7927</xdr:rowOff>
    </xdr:to>
    <xdr:cxnSp macro="">
      <xdr:nvCxnSpPr>
        <xdr:cNvPr id="3303" name="直線コネクタ 3302"/>
        <xdr:cNvCxnSpPr/>
      </xdr:nvCxnSpPr>
      <xdr:spPr bwMode="auto">
        <a:xfrm>
          <a:off x="6055368" y="40822131"/>
          <a:ext cx="68262" cy="0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20732</xdr:colOff>
      <xdr:row>479</xdr:row>
      <xdr:rowOff>12816</xdr:rowOff>
    </xdr:from>
    <xdr:to>
      <xdr:col>90</xdr:col>
      <xdr:colOff>4702</xdr:colOff>
      <xdr:row>479</xdr:row>
      <xdr:rowOff>12816</xdr:rowOff>
    </xdr:to>
    <xdr:cxnSp macro="">
      <xdr:nvCxnSpPr>
        <xdr:cNvPr id="3304" name="直線コネクタ 3303"/>
        <xdr:cNvCxnSpPr/>
      </xdr:nvCxnSpPr>
      <xdr:spPr bwMode="auto">
        <a:xfrm>
          <a:off x="7661805" y="40827020"/>
          <a:ext cx="68262" cy="0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76226</xdr:colOff>
      <xdr:row>983</xdr:row>
      <xdr:rowOff>30563</xdr:rowOff>
    </xdr:from>
    <xdr:to>
      <xdr:col>32</xdr:col>
      <xdr:colOff>66441</xdr:colOff>
      <xdr:row>983</xdr:row>
      <xdr:rowOff>30563</xdr:rowOff>
    </xdr:to>
    <xdr:cxnSp macro="">
      <xdr:nvCxnSpPr>
        <xdr:cNvPr id="3305" name="直線コネクタ 3304"/>
        <xdr:cNvCxnSpPr/>
      </xdr:nvCxnSpPr>
      <xdr:spPr bwMode="auto">
        <a:xfrm>
          <a:off x="2828361" y="83327952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11693</xdr:colOff>
      <xdr:row>500</xdr:row>
      <xdr:rowOff>12072</xdr:rowOff>
    </xdr:from>
    <xdr:to>
      <xdr:col>71</xdr:col>
      <xdr:colOff>1908</xdr:colOff>
      <xdr:row>500</xdr:row>
      <xdr:rowOff>12072</xdr:rowOff>
    </xdr:to>
    <xdr:cxnSp macro="">
      <xdr:nvCxnSpPr>
        <xdr:cNvPr id="3306" name="直線コネクタ 3305"/>
        <xdr:cNvCxnSpPr/>
      </xdr:nvCxnSpPr>
      <xdr:spPr bwMode="auto">
        <a:xfrm>
          <a:off x="6051217" y="42596408"/>
          <a:ext cx="74507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47625</xdr:colOff>
      <xdr:row>514</xdr:row>
      <xdr:rowOff>57150</xdr:rowOff>
    </xdr:from>
    <xdr:to>
      <xdr:col>100</xdr:col>
      <xdr:colOff>9525</xdr:colOff>
      <xdr:row>522</xdr:row>
      <xdr:rowOff>19050</xdr:rowOff>
    </xdr:to>
    <xdr:grpSp>
      <xdr:nvGrpSpPr>
        <xdr:cNvPr id="3288927" name="グループ化 2"/>
        <xdr:cNvGrpSpPr>
          <a:grpSpLocks/>
        </xdr:cNvGrpSpPr>
      </xdr:nvGrpSpPr>
      <xdr:grpSpPr bwMode="auto">
        <a:xfrm>
          <a:off x="6940261" y="44980514"/>
          <a:ext cx="1866900" cy="654627"/>
          <a:chOff x="3438525" y="12363450"/>
          <a:chExt cx="1847850" cy="654981"/>
        </a:xfrm>
      </xdr:grpSpPr>
      <xdr:cxnSp macro="">
        <xdr:nvCxnSpPr>
          <xdr:cNvPr id="2966" name="直線コネクタ 2965"/>
          <xdr:cNvCxnSpPr/>
        </xdr:nvCxnSpPr>
        <xdr:spPr bwMode="auto">
          <a:xfrm>
            <a:off x="3438525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1" name="直線コネクタ 3000"/>
          <xdr:cNvCxnSpPr/>
        </xdr:nvCxnSpPr>
        <xdr:spPr bwMode="auto">
          <a:xfrm>
            <a:off x="3438525" y="12767997"/>
            <a:ext cx="18383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4" name="直線コネクタ 3033"/>
          <xdr:cNvCxnSpPr/>
        </xdr:nvCxnSpPr>
        <xdr:spPr bwMode="auto">
          <a:xfrm>
            <a:off x="4686300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5" name="直線コネクタ 3034"/>
          <xdr:cNvCxnSpPr/>
        </xdr:nvCxnSpPr>
        <xdr:spPr bwMode="auto">
          <a:xfrm>
            <a:off x="4686300" y="12401978"/>
            <a:ext cx="40957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6" name="直線コネクタ 3035"/>
          <xdr:cNvCxnSpPr/>
        </xdr:nvCxnSpPr>
        <xdr:spPr bwMode="auto">
          <a:xfrm>
            <a:off x="3629025" y="12401978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7" name="直線コネクタ 3036"/>
          <xdr:cNvCxnSpPr/>
        </xdr:nvCxnSpPr>
        <xdr:spPr bwMode="auto">
          <a:xfrm>
            <a:off x="4038600" y="12401978"/>
            <a:ext cx="0" cy="529764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8" name="直線コネクタ 3037"/>
          <xdr:cNvCxnSpPr/>
        </xdr:nvCxnSpPr>
        <xdr:spPr bwMode="auto">
          <a:xfrm>
            <a:off x="3829050" y="12931742"/>
            <a:ext cx="20955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9" name="直線コネクタ 3038"/>
          <xdr:cNvCxnSpPr/>
        </xdr:nvCxnSpPr>
        <xdr:spPr bwMode="auto">
          <a:xfrm>
            <a:off x="4695825" y="12401978"/>
            <a:ext cx="0" cy="529764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直線コネクタ 3039"/>
          <xdr:cNvCxnSpPr/>
        </xdr:nvCxnSpPr>
        <xdr:spPr bwMode="auto">
          <a:xfrm>
            <a:off x="4695825" y="12931742"/>
            <a:ext cx="20002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1" name="直線コネクタ 3040"/>
          <xdr:cNvCxnSpPr/>
        </xdr:nvCxnSpPr>
        <xdr:spPr bwMode="auto">
          <a:xfrm>
            <a:off x="3743325" y="13018431"/>
            <a:ext cx="476250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2" name="直線コネクタ 3041"/>
          <xdr:cNvCxnSpPr/>
        </xdr:nvCxnSpPr>
        <xdr:spPr bwMode="auto">
          <a:xfrm flipH="1">
            <a:off x="4981575" y="12796893"/>
            <a:ext cx="219075" cy="221538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3" name="直線コネクタ 3042"/>
          <xdr:cNvCxnSpPr/>
        </xdr:nvCxnSpPr>
        <xdr:spPr bwMode="auto">
          <a:xfrm rot="5400000" flipH="1">
            <a:off x="3532544" y="12798125"/>
            <a:ext cx="221538" cy="219075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4" name="直線コネクタ 3043"/>
          <xdr:cNvCxnSpPr/>
        </xdr:nvCxnSpPr>
        <xdr:spPr bwMode="auto">
          <a:xfrm>
            <a:off x="474345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5" name="直線コネクタ 3044"/>
          <xdr:cNvCxnSpPr/>
        </xdr:nvCxnSpPr>
        <xdr:spPr bwMode="auto">
          <a:xfrm>
            <a:off x="48672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6" name="直線コネクタ 3205"/>
          <xdr:cNvCxnSpPr/>
        </xdr:nvCxnSpPr>
        <xdr:spPr bwMode="auto">
          <a:xfrm>
            <a:off x="49815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9" name="直線コネクタ 3238"/>
          <xdr:cNvCxnSpPr/>
        </xdr:nvCxnSpPr>
        <xdr:spPr bwMode="auto">
          <a:xfrm>
            <a:off x="401002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2" name="直線コネクタ 3271"/>
          <xdr:cNvCxnSpPr/>
        </xdr:nvCxnSpPr>
        <xdr:spPr bwMode="auto">
          <a:xfrm>
            <a:off x="388620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3" name="直線コネクタ 3272"/>
          <xdr:cNvCxnSpPr/>
        </xdr:nvCxnSpPr>
        <xdr:spPr bwMode="auto">
          <a:xfrm>
            <a:off x="37623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4" name="直線コネクタ 3273"/>
          <xdr:cNvCxnSpPr/>
        </xdr:nvCxnSpPr>
        <xdr:spPr bwMode="auto">
          <a:xfrm>
            <a:off x="3733800" y="12739101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5" name="直線コネクタ 3274"/>
          <xdr:cNvCxnSpPr/>
        </xdr:nvCxnSpPr>
        <xdr:spPr bwMode="auto">
          <a:xfrm>
            <a:off x="43624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6" name="直線コネクタ 3275"/>
          <xdr:cNvCxnSpPr/>
        </xdr:nvCxnSpPr>
        <xdr:spPr bwMode="auto">
          <a:xfrm>
            <a:off x="44577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7" name="直線コネクタ 3276"/>
          <xdr:cNvCxnSpPr/>
        </xdr:nvCxnSpPr>
        <xdr:spPr bwMode="auto">
          <a:xfrm>
            <a:off x="4552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8" name="直線コネクタ 3277"/>
          <xdr:cNvCxnSpPr/>
        </xdr:nvCxnSpPr>
        <xdr:spPr bwMode="auto">
          <a:xfrm>
            <a:off x="46291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9" name="直線コネクタ 3278"/>
          <xdr:cNvCxnSpPr/>
        </xdr:nvCxnSpPr>
        <xdr:spPr bwMode="auto">
          <a:xfrm>
            <a:off x="42672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直線コネクタ 3279"/>
          <xdr:cNvCxnSpPr/>
        </xdr:nvCxnSpPr>
        <xdr:spPr bwMode="auto">
          <a:xfrm>
            <a:off x="4171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1" name="直線コネクタ 3280"/>
          <xdr:cNvCxnSpPr/>
        </xdr:nvCxnSpPr>
        <xdr:spPr bwMode="auto">
          <a:xfrm>
            <a:off x="40957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2" name="直線コネクタ 3281"/>
          <xdr:cNvCxnSpPr/>
        </xdr:nvCxnSpPr>
        <xdr:spPr bwMode="auto">
          <a:xfrm>
            <a:off x="4333875" y="12922110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3" name="直線コネクタ 3282"/>
          <xdr:cNvCxnSpPr/>
        </xdr:nvCxnSpPr>
        <xdr:spPr bwMode="auto">
          <a:xfrm flipV="1">
            <a:off x="4562475" y="12517563"/>
            <a:ext cx="390525" cy="404547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4" name="直線コネクタ 3283"/>
          <xdr:cNvCxnSpPr/>
        </xdr:nvCxnSpPr>
        <xdr:spPr bwMode="auto">
          <a:xfrm>
            <a:off x="4181475" y="12941374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5" name="直線コネクタ 3284"/>
          <xdr:cNvCxnSpPr/>
        </xdr:nvCxnSpPr>
        <xdr:spPr bwMode="auto">
          <a:xfrm flipH="1" flipV="1">
            <a:off x="3771900" y="12546459"/>
            <a:ext cx="419100" cy="394915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6" name="直線コネクタ 3285"/>
          <xdr:cNvCxnSpPr/>
        </xdr:nvCxnSpPr>
        <xdr:spPr bwMode="auto">
          <a:xfrm>
            <a:off x="3743325" y="12979903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直線コネクタ 3286"/>
          <xdr:cNvCxnSpPr/>
        </xdr:nvCxnSpPr>
        <xdr:spPr bwMode="auto">
          <a:xfrm>
            <a:off x="4505325" y="13018431"/>
            <a:ext cx="485775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28575</xdr:colOff>
      <xdr:row>524</xdr:row>
      <xdr:rowOff>38100</xdr:rowOff>
    </xdr:from>
    <xdr:to>
      <xdr:col>101</xdr:col>
      <xdr:colOff>9525</xdr:colOff>
      <xdr:row>531</xdr:row>
      <xdr:rowOff>66675</xdr:rowOff>
    </xdr:to>
    <xdr:grpSp>
      <xdr:nvGrpSpPr>
        <xdr:cNvPr id="3288928" name="グループ化 5308"/>
        <xdr:cNvGrpSpPr>
          <a:grpSpLocks/>
        </xdr:cNvGrpSpPr>
      </xdr:nvGrpSpPr>
      <xdr:grpSpPr bwMode="auto">
        <a:xfrm>
          <a:off x="8133484" y="45827373"/>
          <a:ext cx="760268" cy="634711"/>
          <a:chOff x="4803326" y="18182033"/>
          <a:chExt cx="781236" cy="655137"/>
        </a:xfrm>
      </xdr:grpSpPr>
      <xdr:grpSp>
        <xdr:nvGrpSpPr>
          <xdr:cNvPr id="3289049" name="グループ化 648"/>
          <xdr:cNvGrpSpPr>
            <a:grpSpLocks/>
          </xdr:cNvGrpSpPr>
        </xdr:nvGrpSpPr>
        <xdr:grpSpPr bwMode="auto">
          <a:xfrm flipH="1">
            <a:off x="4899819" y="18274506"/>
            <a:ext cx="564356" cy="436960"/>
            <a:chOff x="1767052" y="985345"/>
            <a:chExt cx="1193995" cy="785448"/>
          </a:xfrm>
        </xdr:grpSpPr>
        <xdr:cxnSp macro="">
          <xdr:nvCxnSpPr>
            <xdr:cNvPr id="3295" name="直線コネクタ 3294"/>
            <xdr:cNvCxnSpPr/>
          </xdr:nvCxnSpPr>
          <xdr:spPr>
            <a:xfrm flipV="1">
              <a:off x="1763417" y="979708"/>
              <a:ext cx="815961" cy="2854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6" name="直線コネクタ 3295"/>
            <xdr:cNvCxnSpPr/>
          </xdr:nvCxnSpPr>
          <xdr:spPr>
            <a:xfrm>
              <a:off x="2579378" y="979708"/>
              <a:ext cx="376597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直線コネクタ 3296"/>
            <xdr:cNvCxnSpPr/>
          </xdr:nvCxnSpPr>
          <xdr:spPr>
            <a:xfrm>
              <a:off x="2579378" y="1550679"/>
              <a:ext cx="376597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直線コネクタ 3297"/>
            <xdr:cNvCxnSpPr/>
          </xdr:nvCxnSpPr>
          <xdr:spPr>
            <a:xfrm>
              <a:off x="2955975" y="1175979"/>
              <a:ext cx="0" cy="58881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直線コネクタ 3298"/>
            <xdr:cNvCxnSpPr/>
          </xdr:nvCxnSpPr>
          <xdr:spPr>
            <a:xfrm>
              <a:off x="2579378" y="979708"/>
              <a:ext cx="0" cy="588813"/>
            </a:xfrm>
            <a:prstGeom prst="line">
              <a:avLst/>
            </a:prstGeom>
            <a:ln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290" name="テキスト ボックス 3289"/>
          <xdr:cNvSpPr txBox="1"/>
        </xdr:nvSpPr>
        <xdr:spPr>
          <a:xfrm>
            <a:off x="4803326" y="18648570"/>
            <a:ext cx="514231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1" name="テキスト ボックス 3290"/>
          <xdr:cNvSpPr txBox="1"/>
        </xdr:nvSpPr>
        <xdr:spPr>
          <a:xfrm>
            <a:off x="5070331" y="18182033"/>
            <a:ext cx="514231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292" name="正方形/長方形 3291"/>
          <xdr:cNvSpPr/>
        </xdr:nvSpPr>
        <xdr:spPr>
          <a:xfrm>
            <a:off x="4951662" y="18360707"/>
            <a:ext cx="217559" cy="1290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293" name="テキスト ボックス 3292"/>
          <xdr:cNvSpPr txBox="1"/>
        </xdr:nvSpPr>
        <xdr:spPr>
          <a:xfrm>
            <a:off x="4813215" y="18321001"/>
            <a:ext cx="494453" cy="208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500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3294" name="直線コネクタ 3293"/>
          <xdr:cNvCxnSpPr/>
        </xdr:nvCxnSpPr>
        <xdr:spPr bwMode="auto">
          <a:xfrm flipH="1" flipV="1">
            <a:off x="5070331" y="18608865"/>
            <a:ext cx="276894" cy="11911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89</xdr:col>
      <xdr:colOff>18318</xdr:colOff>
      <xdr:row>524</xdr:row>
      <xdr:rowOff>9159</xdr:rowOff>
    </xdr:from>
    <xdr:to>
      <xdr:col>90</xdr:col>
      <xdr:colOff>5140</xdr:colOff>
      <xdr:row>524</xdr:row>
      <xdr:rowOff>9159</xdr:rowOff>
    </xdr:to>
    <xdr:cxnSp macro="">
      <xdr:nvCxnSpPr>
        <xdr:cNvPr id="3300" name="直線コネクタ 3299"/>
        <xdr:cNvCxnSpPr/>
      </xdr:nvCxnSpPr>
      <xdr:spPr bwMode="auto">
        <a:xfrm>
          <a:off x="7890181" y="46003919"/>
          <a:ext cx="73829" cy="0"/>
        </a:xfrm>
        <a:prstGeom prst="line">
          <a:avLst/>
        </a:prstGeom>
        <a:ln w="57150">
          <a:solidFill>
            <a:srgbClr val="00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7003</xdr:colOff>
      <xdr:row>558</xdr:row>
      <xdr:rowOff>77040</xdr:rowOff>
    </xdr:from>
    <xdr:to>
      <xdr:col>70</xdr:col>
      <xdr:colOff>77869</xdr:colOff>
      <xdr:row>558</xdr:row>
      <xdr:rowOff>77040</xdr:rowOff>
    </xdr:to>
    <xdr:cxnSp macro="">
      <xdr:nvCxnSpPr>
        <xdr:cNvPr id="3301" name="直線コネクタ 3300"/>
        <xdr:cNvCxnSpPr/>
      </xdr:nvCxnSpPr>
      <xdr:spPr bwMode="auto">
        <a:xfrm>
          <a:off x="6030165" y="47393878"/>
          <a:ext cx="70866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533</xdr:row>
      <xdr:rowOff>9525</xdr:rowOff>
    </xdr:from>
    <xdr:to>
      <xdr:col>89</xdr:col>
      <xdr:colOff>69695</xdr:colOff>
      <xdr:row>533</xdr:row>
      <xdr:rowOff>9525</xdr:rowOff>
    </xdr:to>
    <xdr:cxnSp macro="">
      <xdr:nvCxnSpPr>
        <xdr:cNvPr id="3308" name="直線コネクタ 3307"/>
        <xdr:cNvCxnSpPr/>
      </xdr:nvCxnSpPr>
      <xdr:spPr bwMode="auto">
        <a:xfrm>
          <a:off x="7762875" y="46120050"/>
          <a:ext cx="69695" cy="0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38100</xdr:colOff>
      <xdr:row>406</xdr:row>
      <xdr:rowOff>47625</xdr:rowOff>
    </xdr:from>
    <xdr:to>
      <xdr:col>99</xdr:col>
      <xdr:colOff>85725</xdr:colOff>
      <xdr:row>414</xdr:row>
      <xdr:rowOff>19050</xdr:rowOff>
    </xdr:to>
    <xdr:grpSp>
      <xdr:nvGrpSpPr>
        <xdr:cNvPr id="3288932" name="グループ化 3000"/>
        <xdr:cNvGrpSpPr>
          <a:grpSpLocks/>
        </xdr:cNvGrpSpPr>
      </xdr:nvGrpSpPr>
      <xdr:grpSpPr bwMode="auto">
        <a:xfrm>
          <a:off x="6930736" y="35619170"/>
          <a:ext cx="1866034" cy="664153"/>
          <a:chOff x="3438525" y="12363450"/>
          <a:chExt cx="1847850" cy="654981"/>
        </a:xfrm>
      </xdr:grpSpPr>
      <xdr:cxnSp macro="">
        <xdr:nvCxnSpPr>
          <xdr:cNvPr id="3344" name="直線コネクタ 3343"/>
          <xdr:cNvCxnSpPr/>
        </xdr:nvCxnSpPr>
        <xdr:spPr bwMode="auto">
          <a:xfrm>
            <a:off x="3438525" y="1237294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5" name="直線コネクタ 3344"/>
          <xdr:cNvCxnSpPr/>
        </xdr:nvCxnSpPr>
        <xdr:spPr bwMode="auto">
          <a:xfrm>
            <a:off x="3438525" y="12762134"/>
            <a:ext cx="18383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6" name="直線コネクタ 3345"/>
          <xdr:cNvCxnSpPr/>
        </xdr:nvCxnSpPr>
        <xdr:spPr bwMode="auto">
          <a:xfrm>
            <a:off x="4686300" y="1237294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8" name="直線コネクタ 3347"/>
          <xdr:cNvCxnSpPr/>
        </xdr:nvCxnSpPr>
        <xdr:spPr bwMode="auto">
          <a:xfrm>
            <a:off x="3629025" y="12401420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9" name="直線コネクタ 3348"/>
          <xdr:cNvCxnSpPr/>
        </xdr:nvCxnSpPr>
        <xdr:spPr bwMode="auto">
          <a:xfrm>
            <a:off x="4038600" y="12401420"/>
            <a:ext cx="0" cy="531579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直線コネクタ 3349"/>
          <xdr:cNvCxnSpPr/>
        </xdr:nvCxnSpPr>
        <xdr:spPr bwMode="auto">
          <a:xfrm>
            <a:off x="3829050" y="12932999"/>
            <a:ext cx="20955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3" name="直線コネクタ 3352"/>
          <xdr:cNvCxnSpPr/>
        </xdr:nvCxnSpPr>
        <xdr:spPr bwMode="auto">
          <a:xfrm>
            <a:off x="3743325" y="13018431"/>
            <a:ext cx="476250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4" name="直線コネクタ 3353"/>
          <xdr:cNvCxnSpPr/>
        </xdr:nvCxnSpPr>
        <xdr:spPr bwMode="auto">
          <a:xfrm flipH="1">
            <a:off x="4981575" y="12800104"/>
            <a:ext cx="219075" cy="218327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5" name="直線コネクタ 3354"/>
          <xdr:cNvCxnSpPr/>
        </xdr:nvCxnSpPr>
        <xdr:spPr bwMode="auto">
          <a:xfrm rot="5400000" flipH="1">
            <a:off x="3534149" y="12799730"/>
            <a:ext cx="218327" cy="219075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6" name="直線コネクタ 3355"/>
          <xdr:cNvCxnSpPr/>
        </xdr:nvCxnSpPr>
        <xdr:spPr bwMode="auto">
          <a:xfrm>
            <a:off x="4743450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直線コネクタ 3356"/>
          <xdr:cNvCxnSpPr/>
        </xdr:nvCxnSpPr>
        <xdr:spPr bwMode="auto">
          <a:xfrm>
            <a:off x="48672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8" name="直線コネクタ 3357"/>
          <xdr:cNvCxnSpPr/>
        </xdr:nvCxnSpPr>
        <xdr:spPr bwMode="auto">
          <a:xfrm>
            <a:off x="49815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9" name="直線コネクタ 3358"/>
          <xdr:cNvCxnSpPr/>
        </xdr:nvCxnSpPr>
        <xdr:spPr bwMode="auto">
          <a:xfrm>
            <a:off x="401002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0" name="直線コネクタ 3359"/>
          <xdr:cNvCxnSpPr/>
        </xdr:nvCxnSpPr>
        <xdr:spPr bwMode="auto">
          <a:xfrm>
            <a:off x="3886200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1" name="直線コネクタ 3360"/>
          <xdr:cNvCxnSpPr/>
        </xdr:nvCxnSpPr>
        <xdr:spPr bwMode="auto">
          <a:xfrm>
            <a:off x="3762375" y="12363450"/>
            <a:ext cx="0" cy="59802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2" name="直線コネクタ 3361"/>
          <xdr:cNvCxnSpPr/>
        </xdr:nvCxnSpPr>
        <xdr:spPr bwMode="auto">
          <a:xfrm>
            <a:off x="3733800" y="12733657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3" name="直線コネクタ 3362"/>
          <xdr:cNvCxnSpPr/>
        </xdr:nvCxnSpPr>
        <xdr:spPr bwMode="auto">
          <a:xfrm>
            <a:off x="43624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直線コネクタ 3363"/>
          <xdr:cNvCxnSpPr/>
        </xdr:nvCxnSpPr>
        <xdr:spPr bwMode="auto">
          <a:xfrm>
            <a:off x="445770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5" name="直線コネクタ 3364"/>
          <xdr:cNvCxnSpPr/>
        </xdr:nvCxnSpPr>
        <xdr:spPr bwMode="auto">
          <a:xfrm>
            <a:off x="45529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6" name="直線コネクタ 3365"/>
          <xdr:cNvCxnSpPr/>
        </xdr:nvCxnSpPr>
        <xdr:spPr bwMode="auto">
          <a:xfrm>
            <a:off x="46291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7" name="直線コネクタ 3366"/>
          <xdr:cNvCxnSpPr/>
        </xdr:nvCxnSpPr>
        <xdr:spPr bwMode="auto">
          <a:xfrm>
            <a:off x="426720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8" name="直線コネクタ 3367"/>
          <xdr:cNvCxnSpPr/>
        </xdr:nvCxnSpPr>
        <xdr:spPr bwMode="auto">
          <a:xfrm>
            <a:off x="41719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9" name="直線コネクタ 3368"/>
          <xdr:cNvCxnSpPr/>
        </xdr:nvCxnSpPr>
        <xdr:spPr bwMode="auto">
          <a:xfrm>
            <a:off x="4095750" y="12714672"/>
            <a:ext cx="0" cy="275282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0" name="直線コネクタ 3369"/>
          <xdr:cNvCxnSpPr/>
        </xdr:nvCxnSpPr>
        <xdr:spPr bwMode="auto">
          <a:xfrm>
            <a:off x="4333875" y="12923506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直線コネクタ 3370"/>
          <xdr:cNvCxnSpPr/>
        </xdr:nvCxnSpPr>
        <xdr:spPr bwMode="auto">
          <a:xfrm flipV="1">
            <a:off x="4562475" y="12515330"/>
            <a:ext cx="390525" cy="408177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2" name="直線コネクタ 3371"/>
          <xdr:cNvCxnSpPr/>
        </xdr:nvCxnSpPr>
        <xdr:spPr bwMode="auto">
          <a:xfrm>
            <a:off x="4181475" y="12942491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3" name="直線コネクタ 3372"/>
          <xdr:cNvCxnSpPr/>
        </xdr:nvCxnSpPr>
        <xdr:spPr bwMode="auto">
          <a:xfrm flipH="1" flipV="1">
            <a:off x="3771900" y="12543807"/>
            <a:ext cx="419100" cy="398684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4" name="直線コネクタ 3373"/>
          <xdr:cNvCxnSpPr/>
        </xdr:nvCxnSpPr>
        <xdr:spPr bwMode="auto">
          <a:xfrm>
            <a:off x="3743325" y="12980461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5" name="直線コネクタ 3374"/>
          <xdr:cNvCxnSpPr/>
        </xdr:nvCxnSpPr>
        <xdr:spPr bwMode="auto">
          <a:xfrm>
            <a:off x="4505325" y="13018431"/>
            <a:ext cx="485775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75</xdr:col>
      <xdr:colOff>57150</xdr:colOff>
      <xdr:row>449</xdr:row>
      <xdr:rowOff>66675</xdr:rowOff>
    </xdr:from>
    <xdr:to>
      <xdr:col>92</xdr:col>
      <xdr:colOff>57150</xdr:colOff>
      <xdr:row>457</xdr:row>
      <xdr:rowOff>19050</xdr:rowOff>
    </xdr:to>
    <xdr:grpSp>
      <xdr:nvGrpSpPr>
        <xdr:cNvPr id="3288933" name="グループ化 2"/>
        <xdr:cNvGrpSpPr>
          <a:grpSpLocks/>
        </xdr:cNvGrpSpPr>
      </xdr:nvGrpSpPr>
      <xdr:grpSpPr bwMode="auto">
        <a:xfrm>
          <a:off x="6690014" y="39361630"/>
          <a:ext cx="1472045" cy="645102"/>
          <a:chOff x="3159529" y="38970387"/>
          <a:chExt cx="1460469" cy="637574"/>
        </a:xfrm>
      </xdr:grpSpPr>
      <xdr:grpSp>
        <xdr:nvGrpSpPr>
          <xdr:cNvPr id="3289009" name="グループ化 702"/>
          <xdr:cNvGrpSpPr>
            <a:grpSpLocks/>
          </xdr:cNvGrpSpPr>
        </xdr:nvGrpSpPr>
        <xdr:grpSpPr bwMode="auto">
          <a:xfrm>
            <a:off x="3503755" y="39129781"/>
            <a:ext cx="1116243" cy="478180"/>
            <a:chOff x="3529626" y="15613323"/>
            <a:chExt cx="1095170" cy="464933"/>
          </a:xfrm>
        </xdr:grpSpPr>
        <xdr:sp macro="" textlink="">
          <xdr:nvSpPr>
            <xdr:cNvPr id="3383" name="Rectangle 218"/>
            <xdr:cNvSpPr>
              <a:spLocks noChangeArrowheads="1"/>
            </xdr:cNvSpPr>
          </xdr:nvSpPr>
          <xdr:spPr bwMode="auto">
            <a:xfrm>
              <a:off x="3903665" y="15828441"/>
              <a:ext cx="374614" cy="2498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289016" name="Freeform 227"/>
            <xdr:cNvSpPr>
              <a:spLocks/>
            </xdr:cNvSpPr>
          </xdr:nvSpPr>
          <xdr:spPr bwMode="auto">
            <a:xfrm rot="5400000">
              <a:off x="3501798" y="15655466"/>
              <a:ext cx="124626" cy="66055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9017" name="Line 221"/>
            <xdr:cNvSpPr>
              <a:spLocks noChangeShapeType="1"/>
            </xdr:cNvSpPr>
          </xdr:nvSpPr>
          <xdr:spPr bwMode="auto">
            <a:xfrm>
              <a:off x="3634154" y="15844994"/>
              <a:ext cx="990642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9018" name="Line 222"/>
            <xdr:cNvSpPr>
              <a:spLocks noChangeShapeType="1"/>
            </xdr:cNvSpPr>
          </xdr:nvSpPr>
          <xdr:spPr bwMode="auto">
            <a:xfrm flipH="1" flipV="1">
              <a:off x="3529626" y="15699254"/>
              <a:ext cx="113172" cy="146461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387" name="Rectangle 228"/>
            <xdr:cNvSpPr>
              <a:spLocks noChangeArrowheads="1"/>
            </xdr:cNvSpPr>
          </xdr:nvSpPr>
          <xdr:spPr bwMode="auto">
            <a:xfrm>
              <a:off x="3706992" y="15615636"/>
              <a:ext cx="374614" cy="26832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</xdr:grpSp>
      <xdr:cxnSp macro="">
        <xdr:nvCxnSpPr>
          <xdr:cNvPr id="3289010" name="直線コネクタ 24"/>
          <xdr:cNvCxnSpPr>
            <a:cxnSpLocks noChangeShapeType="1"/>
          </xdr:cNvCxnSpPr>
        </xdr:nvCxnSpPr>
        <xdr:spPr bwMode="auto">
          <a:xfrm>
            <a:off x="3507249" y="39037550"/>
            <a:ext cx="0" cy="185226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3289011" name="Freeform 227"/>
          <xdr:cNvSpPr>
            <a:spLocks/>
          </xdr:cNvSpPr>
        </xdr:nvSpPr>
        <xdr:spPr bwMode="auto">
          <a:xfrm rot="2584320">
            <a:off x="3585861" y="39307261"/>
            <a:ext cx="127370" cy="6761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380" name="Rectangle 228"/>
          <xdr:cNvSpPr>
            <a:spLocks noChangeArrowheads="1"/>
          </xdr:cNvSpPr>
        </xdr:nvSpPr>
        <xdr:spPr bwMode="auto">
          <a:xfrm>
            <a:off x="3541351" y="38970387"/>
            <a:ext cx="381822" cy="2759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3381" name="Rectangle 218"/>
          <xdr:cNvSpPr>
            <a:spLocks noChangeArrowheads="1"/>
          </xdr:cNvSpPr>
        </xdr:nvSpPr>
        <xdr:spPr bwMode="auto">
          <a:xfrm>
            <a:off x="3226348" y="39217804"/>
            <a:ext cx="372276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175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382" name="Rectangle 218"/>
          <xdr:cNvSpPr>
            <a:spLocks noChangeArrowheads="1"/>
          </xdr:cNvSpPr>
        </xdr:nvSpPr>
        <xdr:spPr bwMode="auto">
          <a:xfrm>
            <a:off x="3159529" y="38970387"/>
            <a:ext cx="381822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70</xdr:col>
      <xdr:colOff>35944</xdr:colOff>
      <xdr:row>451</xdr:row>
      <xdr:rowOff>19184</xdr:rowOff>
    </xdr:from>
    <xdr:to>
      <xdr:col>71</xdr:col>
      <xdr:colOff>20592</xdr:colOff>
      <xdr:row>451</xdr:row>
      <xdr:rowOff>19184</xdr:rowOff>
    </xdr:to>
    <xdr:cxnSp macro="">
      <xdr:nvCxnSpPr>
        <xdr:cNvPr id="3388" name="直線コネクタ 3387"/>
        <xdr:cNvCxnSpPr/>
      </xdr:nvCxnSpPr>
      <xdr:spPr bwMode="auto">
        <a:xfrm>
          <a:off x="6451840" y="40940741"/>
          <a:ext cx="74507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26958</xdr:colOff>
      <xdr:row>446</xdr:row>
      <xdr:rowOff>1</xdr:rowOff>
    </xdr:from>
    <xdr:to>
      <xdr:col>71</xdr:col>
      <xdr:colOff>11606</xdr:colOff>
      <xdr:row>446</xdr:row>
      <xdr:rowOff>1</xdr:rowOff>
    </xdr:to>
    <xdr:cxnSp macro="">
      <xdr:nvCxnSpPr>
        <xdr:cNvPr id="3389" name="直線コネクタ 3388"/>
        <xdr:cNvCxnSpPr/>
      </xdr:nvCxnSpPr>
      <xdr:spPr bwMode="auto">
        <a:xfrm>
          <a:off x="6442854" y="40472265"/>
          <a:ext cx="74507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26958</xdr:colOff>
      <xdr:row>425</xdr:row>
      <xdr:rowOff>8986</xdr:rowOff>
    </xdr:from>
    <xdr:to>
      <xdr:col>90</xdr:col>
      <xdr:colOff>15489</xdr:colOff>
      <xdr:row>425</xdr:row>
      <xdr:rowOff>9085</xdr:rowOff>
    </xdr:to>
    <xdr:cxnSp macro="">
      <xdr:nvCxnSpPr>
        <xdr:cNvPr id="3390" name="直線コネクタ 3389"/>
        <xdr:cNvCxnSpPr/>
      </xdr:nvCxnSpPr>
      <xdr:spPr>
        <a:xfrm flipH="1" flipV="1">
          <a:off x="8150166" y="38594222"/>
          <a:ext cx="78389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9525</xdr:colOff>
      <xdr:row>568</xdr:row>
      <xdr:rowOff>47625</xdr:rowOff>
    </xdr:from>
    <xdr:to>
      <xdr:col>100</xdr:col>
      <xdr:colOff>57150</xdr:colOff>
      <xdr:row>576</xdr:row>
      <xdr:rowOff>9525</xdr:rowOff>
    </xdr:to>
    <xdr:grpSp>
      <xdr:nvGrpSpPr>
        <xdr:cNvPr id="3288937" name="グループ化 2"/>
        <xdr:cNvGrpSpPr>
          <a:grpSpLocks/>
        </xdr:cNvGrpSpPr>
      </xdr:nvGrpSpPr>
      <xdr:grpSpPr bwMode="auto">
        <a:xfrm>
          <a:off x="6988752" y="49646898"/>
          <a:ext cx="1866034" cy="654627"/>
          <a:chOff x="3438525" y="12363450"/>
          <a:chExt cx="1847850" cy="654981"/>
        </a:xfrm>
      </xdr:grpSpPr>
      <xdr:cxnSp macro="">
        <xdr:nvCxnSpPr>
          <xdr:cNvPr id="3393" name="直線コネクタ 3392"/>
          <xdr:cNvCxnSpPr/>
        </xdr:nvCxnSpPr>
        <xdr:spPr bwMode="auto">
          <a:xfrm>
            <a:off x="3438525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4" name="直線コネクタ 3393"/>
          <xdr:cNvCxnSpPr/>
        </xdr:nvCxnSpPr>
        <xdr:spPr bwMode="auto">
          <a:xfrm>
            <a:off x="3438525" y="12767997"/>
            <a:ext cx="183832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5" name="直線コネクタ 3394"/>
          <xdr:cNvCxnSpPr/>
        </xdr:nvCxnSpPr>
        <xdr:spPr bwMode="auto">
          <a:xfrm>
            <a:off x="4686300" y="12373082"/>
            <a:ext cx="6000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6" name="直線コネクタ 3395"/>
          <xdr:cNvCxnSpPr/>
        </xdr:nvCxnSpPr>
        <xdr:spPr bwMode="auto">
          <a:xfrm>
            <a:off x="4686300" y="12401978"/>
            <a:ext cx="40957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7" name="直線コネクタ 3396"/>
          <xdr:cNvCxnSpPr/>
        </xdr:nvCxnSpPr>
        <xdr:spPr bwMode="auto">
          <a:xfrm>
            <a:off x="3629025" y="12401978"/>
            <a:ext cx="409575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8" name="直線コネクタ 3397"/>
          <xdr:cNvCxnSpPr/>
        </xdr:nvCxnSpPr>
        <xdr:spPr bwMode="auto">
          <a:xfrm>
            <a:off x="4038600" y="12401978"/>
            <a:ext cx="0" cy="529764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直線コネクタ 3398"/>
          <xdr:cNvCxnSpPr/>
        </xdr:nvCxnSpPr>
        <xdr:spPr bwMode="auto">
          <a:xfrm>
            <a:off x="3829050" y="12931742"/>
            <a:ext cx="209550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0" name="直線コネクタ 3399"/>
          <xdr:cNvCxnSpPr/>
        </xdr:nvCxnSpPr>
        <xdr:spPr bwMode="auto">
          <a:xfrm>
            <a:off x="4695825" y="12401978"/>
            <a:ext cx="0" cy="529764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1" name="直線コネクタ 3400"/>
          <xdr:cNvCxnSpPr/>
        </xdr:nvCxnSpPr>
        <xdr:spPr bwMode="auto">
          <a:xfrm>
            <a:off x="4695825" y="12931742"/>
            <a:ext cx="200025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2" name="直線コネクタ 3401"/>
          <xdr:cNvCxnSpPr/>
        </xdr:nvCxnSpPr>
        <xdr:spPr bwMode="auto">
          <a:xfrm>
            <a:off x="3743325" y="13018431"/>
            <a:ext cx="476250" cy="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3" name="直線コネクタ 3402"/>
          <xdr:cNvCxnSpPr/>
        </xdr:nvCxnSpPr>
        <xdr:spPr bwMode="auto">
          <a:xfrm flipH="1">
            <a:off x="4981575" y="12796893"/>
            <a:ext cx="219075" cy="221538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4" name="直線コネクタ 3403"/>
          <xdr:cNvCxnSpPr/>
        </xdr:nvCxnSpPr>
        <xdr:spPr bwMode="auto">
          <a:xfrm rot="5400000" flipH="1">
            <a:off x="3532544" y="12798125"/>
            <a:ext cx="221538" cy="219075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5" name="直線コネクタ 3404"/>
          <xdr:cNvCxnSpPr/>
        </xdr:nvCxnSpPr>
        <xdr:spPr bwMode="auto">
          <a:xfrm>
            <a:off x="474345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直線コネクタ 3405"/>
          <xdr:cNvCxnSpPr/>
        </xdr:nvCxnSpPr>
        <xdr:spPr bwMode="auto">
          <a:xfrm>
            <a:off x="48672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7" name="直線コネクタ 3406"/>
          <xdr:cNvCxnSpPr/>
        </xdr:nvCxnSpPr>
        <xdr:spPr bwMode="auto">
          <a:xfrm>
            <a:off x="49815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8" name="直線コネクタ 3407"/>
          <xdr:cNvCxnSpPr/>
        </xdr:nvCxnSpPr>
        <xdr:spPr bwMode="auto">
          <a:xfrm>
            <a:off x="401002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9" name="直線コネクタ 3408"/>
          <xdr:cNvCxnSpPr/>
        </xdr:nvCxnSpPr>
        <xdr:spPr bwMode="auto">
          <a:xfrm>
            <a:off x="3886200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0" name="直線コネクタ 3409"/>
          <xdr:cNvCxnSpPr/>
        </xdr:nvCxnSpPr>
        <xdr:spPr bwMode="auto">
          <a:xfrm>
            <a:off x="3762375" y="12363450"/>
            <a:ext cx="0" cy="59718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1" name="直線コネクタ 3410"/>
          <xdr:cNvCxnSpPr/>
        </xdr:nvCxnSpPr>
        <xdr:spPr bwMode="auto">
          <a:xfrm>
            <a:off x="3733800" y="12739101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2" name="直線コネクタ 3411"/>
          <xdr:cNvCxnSpPr/>
        </xdr:nvCxnSpPr>
        <xdr:spPr bwMode="auto">
          <a:xfrm>
            <a:off x="43624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直線コネクタ 3412"/>
          <xdr:cNvCxnSpPr/>
        </xdr:nvCxnSpPr>
        <xdr:spPr bwMode="auto">
          <a:xfrm>
            <a:off x="44577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4" name="直線コネクタ 3413"/>
          <xdr:cNvCxnSpPr/>
        </xdr:nvCxnSpPr>
        <xdr:spPr bwMode="auto">
          <a:xfrm>
            <a:off x="4552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5" name="直線コネクタ 3414"/>
          <xdr:cNvCxnSpPr/>
        </xdr:nvCxnSpPr>
        <xdr:spPr bwMode="auto">
          <a:xfrm>
            <a:off x="46291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6" name="直線コネクタ 3415"/>
          <xdr:cNvCxnSpPr/>
        </xdr:nvCxnSpPr>
        <xdr:spPr bwMode="auto">
          <a:xfrm>
            <a:off x="426720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7" name="直線コネクタ 3416"/>
          <xdr:cNvCxnSpPr/>
        </xdr:nvCxnSpPr>
        <xdr:spPr bwMode="auto">
          <a:xfrm>
            <a:off x="41719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8" name="直線コネクタ 3417"/>
          <xdr:cNvCxnSpPr/>
        </xdr:nvCxnSpPr>
        <xdr:spPr bwMode="auto">
          <a:xfrm>
            <a:off x="4095750" y="12719837"/>
            <a:ext cx="0" cy="269698"/>
          </a:xfrm>
          <a:prstGeom prst="line">
            <a:avLst/>
          </a:prstGeom>
          <a:ln w="12700">
            <a:solidFill>
              <a:schemeClr val="accent2">
                <a:lumMod val="5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9" name="直線コネクタ 3418"/>
          <xdr:cNvCxnSpPr/>
        </xdr:nvCxnSpPr>
        <xdr:spPr bwMode="auto">
          <a:xfrm>
            <a:off x="4333875" y="12922110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直線コネクタ 3419"/>
          <xdr:cNvCxnSpPr/>
        </xdr:nvCxnSpPr>
        <xdr:spPr bwMode="auto">
          <a:xfrm flipV="1">
            <a:off x="4562475" y="12517563"/>
            <a:ext cx="390525" cy="404547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1" name="直線コネクタ 3420"/>
          <xdr:cNvCxnSpPr/>
        </xdr:nvCxnSpPr>
        <xdr:spPr bwMode="auto">
          <a:xfrm>
            <a:off x="4181475" y="12941374"/>
            <a:ext cx="228600" cy="0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2" name="直線コネクタ 3421"/>
          <xdr:cNvCxnSpPr/>
        </xdr:nvCxnSpPr>
        <xdr:spPr bwMode="auto">
          <a:xfrm flipH="1" flipV="1">
            <a:off x="3771900" y="12546459"/>
            <a:ext cx="419100" cy="394915"/>
          </a:xfrm>
          <a:prstGeom prst="line">
            <a:avLst/>
          </a:prstGeom>
          <a:ln w="28575">
            <a:solidFill>
              <a:srgbClr val="FFC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3" name="直線コネクタ 3422"/>
          <xdr:cNvCxnSpPr/>
        </xdr:nvCxnSpPr>
        <xdr:spPr bwMode="auto">
          <a:xfrm>
            <a:off x="3743325" y="12979903"/>
            <a:ext cx="1247775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4" name="直線コネクタ 3423"/>
          <xdr:cNvCxnSpPr/>
        </xdr:nvCxnSpPr>
        <xdr:spPr bwMode="auto">
          <a:xfrm>
            <a:off x="4505325" y="13018431"/>
            <a:ext cx="485775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73</xdr:col>
      <xdr:colOff>28575</xdr:colOff>
      <xdr:row>587</xdr:row>
      <xdr:rowOff>38100</xdr:rowOff>
    </xdr:from>
    <xdr:to>
      <xdr:col>82</xdr:col>
      <xdr:colOff>9525</xdr:colOff>
      <xdr:row>594</xdr:row>
      <xdr:rowOff>66675</xdr:rowOff>
    </xdr:to>
    <xdr:grpSp>
      <xdr:nvGrpSpPr>
        <xdr:cNvPr id="3288938" name="グループ化 5308"/>
        <xdr:cNvGrpSpPr>
          <a:grpSpLocks/>
        </xdr:cNvGrpSpPr>
      </xdr:nvGrpSpPr>
      <xdr:grpSpPr bwMode="auto">
        <a:xfrm>
          <a:off x="6488257" y="51282600"/>
          <a:ext cx="760268" cy="634711"/>
          <a:chOff x="4803326" y="18182033"/>
          <a:chExt cx="781236" cy="655137"/>
        </a:xfrm>
      </xdr:grpSpPr>
      <xdr:grpSp>
        <xdr:nvGrpSpPr>
          <xdr:cNvPr id="3288966" name="グループ化 648"/>
          <xdr:cNvGrpSpPr>
            <a:grpSpLocks/>
          </xdr:cNvGrpSpPr>
        </xdr:nvGrpSpPr>
        <xdr:grpSpPr bwMode="auto">
          <a:xfrm flipH="1">
            <a:off x="4899819" y="18274506"/>
            <a:ext cx="564356" cy="436960"/>
            <a:chOff x="1767052" y="985345"/>
            <a:chExt cx="1193995" cy="785448"/>
          </a:xfrm>
        </xdr:grpSpPr>
        <xdr:cxnSp macro="">
          <xdr:nvCxnSpPr>
            <xdr:cNvPr id="3460" name="直線コネクタ 3459"/>
            <xdr:cNvCxnSpPr/>
          </xdr:nvCxnSpPr>
          <xdr:spPr>
            <a:xfrm flipV="1">
              <a:off x="1763417" y="979708"/>
              <a:ext cx="815961" cy="2854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1" name="直線コネクタ 3460"/>
            <xdr:cNvCxnSpPr/>
          </xdr:nvCxnSpPr>
          <xdr:spPr>
            <a:xfrm>
              <a:off x="2579378" y="979708"/>
              <a:ext cx="376597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2" name="直線コネクタ 3461"/>
            <xdr:cNvCxnSpPr/>
          </xdr:nvCxnSpPr>
          <xdr:spPr>
            <a:xfrm>
              <a:off x="2579378" y="1550679"/>
              <a:ext cx="376597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3" name="直線コネクタ 3462"/>
            <xdr:cNvCxnSpPr/>
          </xdr:nvCxnSpPr>
          <xdr:spPr>
            <a:xfrm>
              <a:off x="2955975" y="1175979"/>
              <a:ext cx="0" cy="58881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4" name="直線コネクタ 3463"/>
            <xdr:cNvCxnSpPr/>
          </xdr:nvCxnSpPr>
          <xdr:spPr>
            <a:xfrm>
              <a:off x="2579378" y="979708"/>
              <a:ext cx="0" cy="588813"/>
            </a:xfrm>
            <a:prstGeom prst="line">
              <a:avLst/>
            </a:prstGeom>
            <a:ln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455" name="テキスト ボックス 3454"/>
          <xdr:cNvSpPr txBox="1"/>
        </xdr:nvSpPr>
        <xdr:spPr>
          <a:xfrm>
            <a:off x="4803326" y="18648570"/>
            <a:ext cx="514231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350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56" name="テキスト ボックス 3455"/>
          <xdr:cNvSpPr txBox="1"/>
        </xdr:nvSpPr>
        <xdr:spPr>
          <a:xfrm>
            <a:off x="5070331" y="18182033"/>
            <a:ext cx="514231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57" name="正方形/長方形 3456"/>
          <xdr:cNvSpPr/>
        </xdr:nvSpPr>
        <xdr:spPr>
          <a:xfrm>
            <a:off x="4951662" y="18360707"/>
            <a:ext cx="217559" cy="1290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458" name="テキスト ボックス 3457"/>
          <xdr:cNvSpPr txBox="1"/>
        </xdr:nvSpPr>
        <xdr:spPr>
          <a:xfrm>
            <a:off x="4813215" y="18321001"/>
            <a:ext cx="494453" cy="208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725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3459" name="直線コネクタ 3458"/>
          <xdr:cNvCxnSpPr/>
        </xdr:nvCxnSpPr>
        <xdr:spPr bwMode="auto">
          <a:xfrm flipH="1" flipV="1">
            <a:off x="5070331" y="18608865"/>
            <a:ext cx="276894" cy="11911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28575</xdr:colOff>
      <xdr:row>587</xdr:row>
      <xdr:rowOff>38100</xdr:rowOff>
    </xdr:from>
    <xdr:to>
      <xdr:col>101</xdr:col>
      <xdr:colOff>9525</xdr:colOff>
      <xdr:row>594</xdr:row>
      <xdr:rowOff>66675</xdr:rowOff>
    </xdr:to>
    <xdr:grpSp>
      <xdr:nvGrpSpPr>
        <xdr:cNvPr id="3288939" name="グループ化 5308"/>
        <xdr:cNvGrpSpPr>
          <a:grpSpLocks/>
        </xdr:cNvGrpSpPr>
      </xdr:nvGrpSpPr>
      <xdr:grpSpPr bwMode="auto">
        <a:xfrm>
          <a:off x="8133484" y="51282600"/>
          <a:ext cx="760268" cy="634711"/>
          <a:chOff x="4803326" y="18182033"/>
          <a:chExt cx="781236" cy="655137"/>
        </a:xfrm>
      </xdr:grpSpPr>
      <xdr:grpSp>
        <xdr:nvGrpSpPr>
          <xdr:cNvPr id="3288955" name="グループ化 648"/>
          <xdr:cNvGrpSpPr>
            <a:grpSpLocks/>
          </xdr:cNvGrpSpPr>
        </xdr:nvGrpSpPr>
        <xdr:grpSpPr bwMode="auto">
          <a:xfrm flipH="1">
            <a:off x="4899819" y="18274506"/>
            <a:ext cx="564356" cy="436960"/>
            <a:chOff x="1767052" y="985345"/>
            <a:chExt cx="1193995" cy="785448"/>
          </a:xfrm>
        </xdr:grpSpPr>
        <xdr:cxnSp macro="">
          <xdr:nvCxnSpPr>
            <xdr:cNvPr id="3472" name="直線コネクタ 3471"/>
            <xdr:cNvCxnSpPr/>
          </xdr:nvCxnSpPr>
          <xdr:spPr>
            <a:xfrm flipV="1">
              <a:off x="1763417" y="979708"/>
              <a:ext cx="815961" cy="2854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3" name="直線コネクタ 3472"/>
            <xdr:cNvCxnSpPr/>
          </xdr:nvCxnSpPr>
          <xdr:spPr>
            <a:xfrm>
              <a:off x="2579378" y="979708"/>
              <a:ext cx="376597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4" name="直線コネクタ 3473"/>
            <xdr:cNvCxnSpPr/>
          </xdr:nvCxnSpPr>
          <xdr:spPr>
            <a:xfrm>
              <a:off x="2579378" y="1550679"/>
              <a:ext cx="376597" cy="196271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5" name="直線コネクタ 3474"/>
            <xdr:cNvCxnSpPr/>
          </xdr:nvCxnSpPr>
          <xdr:spPr>
            <a:xfrm>
              <a:off x="2955975" y="1175979"/>
              <a:ext cx="0" cy="58881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直線コネクタ 3475"/>
            <xdr:cNvCxnSpPr/>
          </xdr:nvCxnSpPr>
          <xdr:spPr>
            <a:xfrm>
              <a:off x="2579378" y="979708"/>
              <a:ext cx="0" cy="588813"/>
            </a:xfrm>
            <a:prstGeom prst="line">
              <a:avLst/>
            </a:prstGeom>
            <a:ln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467" name="テキスト ボックス 3466"/>
          <xdr:cNvSpPr txBox="1"/>
        </xdr:nvSpPr>
        <xdr:spPr>
          <a:xfrm>
            <a:off x="4803326" y="18648570"/>
            <a:ext cx="514231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450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68" name="テキスト ボックス 3467"/>
          <xdr:cNvSpPr txBox="1"/>
        </xdr:nvSpPr>
        <xdr:spPr>
          <a:xfrm>
            <a:off x="5070331" y="18182033"/>
            <a:ext cx="514231" cy="18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100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69" name="正方形/長方形 3468"/>
          <xdr:cNvSpPr/>
        </xdr:nvSpPr>
        <xdr:spPr>
          <a:xfrm>
            <a:off x="4951662" y="18360707"/>
            <a:ext cx="217559" cy="1290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470" name="テキスト ボックス 3469"/>
          <xdr:cNvSpPr txBox="1"/>
        </xdr:nvSpPr>
        <xdr:spPr>
          <a:xfrm>
            <a:off x="4813215" y="18321001"/>
            <a:ext cx="494453" cy="208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675</a:t>
            </a:r>
            <a:endPara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3471" name="直線コネクタ 3470"/>
          <xdr:cNvCxnSpPr/>
        </xdr:nvCxnSpPr>
        <xdr:spPr bwMode="auto">
          <a:xfrm flipH="1" flipV="1">
            <a:off x="5070331" y="18608865"/>
            <a:ext cx="276894" cy="119116"/>
          </a:xfrm>
          <a:prstGeom prst="line">
            <a:avLst/>
          </a:prstGeom>
          <a:ln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89</xdr:col>
      <xdr:colOff>0</xdr:colOff>
      <xdr:row>596</xdr:row>
      <xdr:rowOff>0</xdr:rowOff>
    </xdr:from>
    <xdr:to>
      <xdr:col>89</xdr:col>
      <xdr:colOff>69695</xdr:colOff>
      <xdr:row>596</xdr:row>
      <xdr:rowOff>0</xdr:rowOff>
    </xdr:to>
    <xdr:cxnSp macro="">
      <xdr:nvCxnSpPr>
        <xdr:cNvPr id="3477" name="直線コネクタ 3476"/>
        <xdr:cNvCxnSpPr/>
      </xdr:nvCxnSpPr>
      <xdr:spPr bwMode="auto">
        <a:xfrm>
          <a:off x="7762875" y="51511200"/>
          <a:ext cx="69695" cy="0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66675</xdr:colOff>
      <xdr:row>620</xdr:row>
      <xdr:rowOff>66675</xdr:rowOff>
    </xdr:from>
    <xdr:to>
      <xdr:col>93</xdr:col>
      <xdr:colOff>66675</xdr:colOff>
      <xdr:row>628</xdr:row>
      <xdr:rowOff>19050</xdr:rowOff>
    </xdr:to>
    <xdr:grpSp>
      <xdr:nvGrpSpPr>
        <xdr:cNvPr id="3288941" name="グループ化 2"/>
        <xdr:cNvGrpSpPr>
          <a:grpSpLocks/>
        </xdr:cNvGrpSpPr>
      </xdr:nvGrpSpPr>
      <xdr:grpSpPr bwMode="auto">
        <a:xfrm>
          <a:off x="6786130" y="54168675"/>
          <a:ext cx="1472045" cy="645102"/>
          <a:chOff x="3159529" y="38970387"/>
          <a:chExt cx="1460469" cy="637574"/>
        </a:xfrm>
      </xdr:grpSpPr>
      <xdr:grpSp>
        <xdr:nvGrpSpPr>
          <xdr:cNvPr id="3288944" name="グループ化 702"/>
          <xdr:cNvGrpSpPr>
            <a:grpSpLocks/>
          </xdr:cNvGrpSpPr>
        </xdr:nvGrpSpPr>
        <xdr:grpSpPr bwMode="auto">
          <a:xfrm>
            <a:off x="3503755" y="39129781"/>
            <a:ext cx="1116243" cy="478180"/>
            <a:chOff x="3529626" y="15613323"/>
            <a:chExt cx="1095170" cy="464933"/>
          </a:xfrm>
        </xdr:grpSpPr>
        <xdr:sp macro="" textlink="">
          <xdr:nvSpPr>
            <xdr:cNvPr id="3485" name="Rectangle 218"/>
            <xdr:cNvSpPr>
              <a:spLocks noChangeArrowheads="1"/>
            </xdr:cNvSpPr>
          </xdr:nvSpPr>
          <xdr:spPr bwMode="auto">
            <a:xfrm>
              <a:off x="3903665" y="15828441"/>
              <a:ext cx="374614" cy="2498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288951" name="Freeform 227"/>
            <xdr:cNvSpPr>
              <a:spLocks/>
            </xdr:cNvSpPr>
          </xdr:nvSpPr>
          <xdr:spPr bwMode="auto">
            <a:xfrm rot="5400000">
              <a:off x="3501798" y="15655466"/>
              <a:ext cx="124626" cy="66055"/>
            </a:xfrm>
            <a:custGeom>
              <a:avLst/>
              <a:gdLst>
                <a:gd name="T0" fmla="*/ 0 w 15"/>
                <a:gd name="T1" fmla="*/ 2147483646 h 8"/>
                <a:gd name="T2" fmla="*/ 2147483646 w 15"/>
                <a:gd name="T3" fmla="*/ 2147483646 h 8"/>
                <a:gd name="T4" fmla="*/ 2147483646 w 15"/>
                <a:gd name="T5" fmla="*/ 0 h 8"/>
                <a:gd name="T6" fmla="*/ 2147483646 w 15"/>
                <a:gd name="T7" fmla="*/ 2147483646 h 8"/>
                <a:gd name="T8" fmla="*/ 0 60000 65536"/>
                <a:gd name="T9" fmla="*/ 0 60000 65536"/>
                <a:gd name="T10" fmla="*/ 0 60000 65536"/>
                <a:gd name="T11" fmla="*/ 0 60000 655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0" t="0" r="r" b="b"/>
              <a:pathLst>
                <a:path w="15" h="8">
                  <a:moveTo>
                    <a:pt x="0" y="8"/>
                  </a:moveTo>
                  <a:cubicBezTo>
                    <a:pt x="1" y="5"/>
                    <a:pt x="2" y="3"/>
                    <a:pt x="3" y="2"/>
                  </a:cubicBezTo>
                  <a:cubicBezTo>
                    <a:pt x="4" y="1"/>
                    <a:pt x="6" y="0"/>
                    <a:pt x="8" y="0"/>
                  </a:cubicBezTo>
                  <a:cubicBezTo>
                    <a:pt x="10" y="0"/>
                    <a:pt x="12" y="1"/>
                    <a:pt x="15" y="2"/>
                  </a:cubicBezTo>
                </a:path>
              </a:pathLst>
            </a:custGeom>
            <a:noFill/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8952" name="Line 221"/>
            <xdr:cNvSpPr>
              <a:spLocks noChangeShapeType="1"/>
            </xdr:cNvSpPr>
          </xdr:nvSpPr>
          <xdr:spPr bwMode="auto">
            <a:xfrm>
              <a:off x="3634154" y="15844994"/>
              <a:ext cx="990642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288953" name="Line 222"/>
            <xdr:cNvSpPr>
              <a:spLocks noChangeShapeType="1"/>
            </xdr:cNvSpPr>
          </xdr:nvSpPr>
          <xdr:spPr bwMode="auto">
            <a:xfrm flipH="1" flipV="1">
              <a:off x="3529626" y="15699254"/>
              <a:ext cx="113172" cy="146461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489" name="Rectangle 228"/>
            <xdr:cNvSpPr>
              <a:spLocks noChangeArrowheads="1"/>
            </xdr:cNvSpPr>
          </xdr:nvSpPr>
          <xdr:spPr bwMode="auto">
            <a:xfrm>
              <a:off x="3706992" y="15615636"/>
              <a:ext cx="374614" cy="26832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ja-JP" altLang="en-US" sz="105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135°</a:t>
              </a:r>
            </a:p>
          </xdr:txBody>
        </xdr:sp>
      </xdr:grpSp>
      <xdr:cxnSp macro="">
        <xdr:nvCxnSpPr>
          <xdr:cNvPr id="3288945" name="直線コネクタ 24"/>
          <xdr:cNvCxnSpPr>
            <a:cxnSpLocks noChangeShapeType="1"/>
          </xdr:cNvCxnSpPr>
        </xdr:nvCxnSpPr>
        <xdr:spPr bwMode="auto">
          <a:xfrm>
            <a:off x="3507249" y="39037550"/>
            <a:ext cx="0" cy="185226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3288946" name="Freeform 227"/>
          <xdr:cNvSpPr>
            <a:spLocks/>
          </xdr:cNvSpPr>
        </xdr:nvSpPr>
        <xdr:spPr bwMode="auto">
          <a:xfrm rot="2584320">
            <a:off x="3585861" y="39307261"/>
            <a:ext cx="127370" cy="67612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482" name="Rectangle 228"/>
          <xdr:cNvSpPr>
            <a:spLocks noChangeArrowheads="1"/>
          </xdr:cNvSpPr>
        </xdr:nvSpPr>
        <xdr:spPr bwMode="auto">
          <a:xfrm>
            <a:off x="3541351" y="38970387"/>
            <a:ext cx="381822" cy="2759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  <xdr:sp macro="" textlink="">
        <xdr:nvSpPr>
          <xdr:cNvPr id="3483" name="Rectangle 218"/>
          <xdr:cNvSpPr>
            <a:spLocks noChangeArrowheads="1"/>
          </xdr:cNvSpPr>
        </xdr:nvSpPr>
        <xdr:spPr bwMode="auto">
          <a:xfrm>
            <a:off x="3226348" y="39217804"/>
            <a:ext cx="372276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280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84" name="Rectangle 218"/>
          <xdr:cNvSpPr>
            <a:spLocks noChangeArrowheads="1"/>
          </xdr:cNvSpPr>
        </xdr:nvSpPr>
        <xdr:spPr bwMode="auto">
          <a:xfrm>
            <a:off x="3159529" y="38970387"/>
            <a:ext cx="381822" cy="2569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69</xdr:col>
      <xdr:colOff>76200</xdr:colOff>
      <xdr:row>622</xdr:row>
      <xdr:rowOff>0</xdr:rowOff>
    </xdr:from>
    <xdr:to>
      <xdr:col>70</xdr:col>
      <xdr:colOff>61341</xdr:colOff>
      <xdr:row>622</xdr:row>
      <xdr:rowOff>0</xdr:rowOff>
    </xdr:to>
    <xdr:cxnSp macro="">
      <xdr:nvCxnSpPr>
        <xdr:cNvPr id="3490" name="直線コネクタ 3489"/>
        <xdr:cNvCxnSpPr/>
      </xdr:nvCxnSpPr>
      <xdr:spPr bwMode="auto">
        <a:xfrm>
          <a:off x="6124575" y="53740050"/>
          <a:ext cx="70866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76200</xdr:colOff>
      <xdr:row>617</xdr:row>
      <xdr:rowOff>0</xdr:rowOff>
    </xdr:from>
    <xdr:to>
      <xdr:col>70</xdr:col>
      <xdr:colOff>63945</xdr:colOff>
      <xdr:row>617</xdr:row>
      <xdr:rowOff>0</xdr:rowOff>
    </xdr:to>
    <xdr:cxnSp macro="">
      <xdr:nvCxnSpPr>
        <xdr:cNvPr id="3491" name="直線コネクタ 3490"/>
        <xdr:cNvCxnSpPr/>
      </xdr:nvCxnSpPr>
      <xdr:spPr bwMode="auto">
        <a:xfrm>
          <a:off x="6124575" y="53311425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9603</xdr:colOff>
      <xdr:row>150</xdr:row>
      <xdr:rowOff>15285</xdr:rowOff>
    </xdr:from>
    <xdr:to>
      <xdr:col>41</xdr:col>
      <xdr:colOff>1781</xdr:colOff>
      <xdr:row>158</xdr:row>
      <xdr:rowOff>20533</xdr:rowOff>
    </xdr:to>
    <xdr:grpSp>
      <xdr:nvGrpSpPr>
        <xdr:cNvPr id="3" name="グループ化 2"/>
        <xdr:cNvGrpSpPr/>
      </xdr:nvGrpSpPr>
      <xdr:grpSpPr>
        <a:xfrm>
          <a:off x="3092239" y="13263694"/>
          <a:ext cx="598315" cy="697975"/>
          <a:chOff x="2966880" y="13360736"/>
          <a:chExt cx="601227" cy="701306"/>
        </a:xfrm>
      </xdr:grpSpPr>
      <xdr:sp macro="" textlink="">
        <xdr:nvSpPr>
          <xdr:cNvPr id="2959" name="テキスト ボックス 2958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2" name="グループ化 1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2967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2968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2970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2971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2969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2972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70</xdr:col>
      <xdr:colOff>19384</xdr:colOff>
      <xdr:row>150</xdr:row>
      <xdr:rowOff>3038</xdr:rowOff>
    </xdr:from>
    <xdr:to>
      <xdr:col>71</xdr:col>
      <xdr:colOff>3354</xdr:colOff>
      <xdr:row>150</xdr:row>
      <xdr:rowOff>3038</xdr:rowOff>
    </xdr:to>
    <xdr:cxnSp macro="">
      <xdr:nvCxnSpPr>
        <xdr:cNvPr id="2973" name="直線コネクタ 2972"/>
        <xdr:cNvCxnSpPr/>
      </xdr:nvCxnSpPr>
      <xdr:spPr bwMode="auto">
        <a:xfrm>
          <a:off x="2812308" y="13604415"/>
          <a:ext cx="72762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9603</xdr:colOff>
      <xdr:row>150</xdr:row>
      <xdr:rowOff>15285</xdr:rowOff>
    </xdr:from>
    <xdr:to>
      <xdr:col>81</xdr:col>
      <xdr:colOff>1781</xdr:colOff>
      <xdr:row>158</xdr:row>
      <xdr:rowOff>20533</xdr:rowOff>
    </xdr:to>
    <xdr:grpSp>
      <xdr:nvGrpSpPr>
        <xdr:cNvPr id="2974" name="グループ化 2973"/>
        <xdr:cNvGrpSpPr/>
      </xdr:nvGrpSpPr>
      <xdr:grpSpPr>
        <a:xfrm>
          <a:off x="6555876" y="13263694"/>
          <a:ext cx="598314" cy="697975"/>
          <a:chOff x="2966880" y="13360736"/>
          <a:chExt cx="601227" cy="701306"/>
        </a:xfrm>
      </xdr:grpSpPr>
      <xdr:sp macro="" textlink="">
        <xdr:nvSpPr>
          <xdr:cNvPr id="2975" name="テキスト ボックス 2974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2976" name="グループ化 2975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2987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2989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2991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2992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2990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2988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70</xdr:col>
      <xdr:colOff>19384</xdr:colOff>
      <xdr:row>150</xdr:row>
      <xdr:rowOff>3038</xdr:rowOff>
    </xdr:from>
    <xdr:to>
      <xdr:col>71</xdr:col>
      <xdr:colOff>3354</xdr:colOff>
      <xdr:row>150</xdr:row>
      <xdr:rowOff>3038</xdr:rowOff>
    </xdr:to>
    <xdr:cxnSp macro="">
      <xdr:nvCxnSpPr>
        <xdr:cNvPr id="3486" name="直線コネクタ 3485"/>
        <xdr:cNvCxnSpPr/>
      </xdr:nvCxnSpPr>
      <xdr:spPr bwMode="auto">
        <a:xfrm>
          <a:off x="2812308" y="13604415"/>
          <a:ext cx="72762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9603</xdr:colOff>
      <xdr:row>250</xdr:row>
      <xdr:rowOff>15285</xdr:rowOff>
    </xdr:from>
    <xdr:to>
      <xdr:col>41</xdr:col>
      <xdr:colOff>1781</xdr:colOff>
      <xdr:row>258</xdr:row>
      <xdr:rowOff>20533</xdr:rowOff>
    </xdr:to>
    <xdr:grpSp>
      <xdr:nvGrpSpPr>
        <xdr:cNvPr id="3495" name="グループ化 3494"/>
        <xdr:cNvGrpSpPr/>
      </xdr:nvGrpSpPr>
      <xdr:grpSpPr>
        <a:xfrm>
          <a:off x="3092239" y="22026694"/>
          <a:ext cx="598315" cy="697975"/>
          <a:chOff x="2966880" y="13360736"/>
          <a:chExt cx="601227" cy="701306"/>
        </a:xfrm>
      </xdr:grpSpPr>
      <xdr:sp macro="" textlink="">
        <xdr:nvSpPr>
          <xdr:cNvPr id="3496" name="テキスト ボックス 3495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497" name="グループ化 3496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498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500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502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503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501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499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70</xdr:col>
      <xdr:colOff>19384</xdr:colOff>
      <xdr:row>250</xdr:row>
      <xdr:rowOff>3038</xdr:rowOff>
    </xdr:from>
    <xdr:to>
      <xdr:col>71</xdr:col>
      <xdr:colOff>3354</xdr:colOff>
      <xdr:row>250</xdr:row>
      <xdr:rowOff>3038</xdr:rowOff>
    </xdr:to>
    <xdr:cxnSp macro="">
      <xdr:nvCxnSpPr>
        <xdr:cNvPr id="3517" name="直線コネクタ 3516"/>
        <xdr:cNvCxnSpPr/>
      </xdr:nvCxnSpPr>
      <xdr:spPr bwMode="auto">
        <a:xfrm>
          <a:off x="2721701" y="21798164"/>
          <a:ext cx="695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19384</xdr:colOff>
      <xdr:row>250</xdr:row>
      <xdr:rowOff>3038</xdr:rowOff>
    </xdr:from>
    <xdr:to>
      <xdr:col>71</xdr:col>
      <xdr:colOff>3354</xdr:colOff>
      <xdr:row>250</xdr:row>
      <xdr:rowOff>3038</xdr:rowOff>
    </xdr:to>
    <xdr:cxnSp macro="">
      <xdr:nvCxnSpPr>
        <xdr:cNvPr id="3518" name="直線コネクタ 3517"/>
        <xdr:cNvCxnSpPr/>
      </xdr:nvCxnSpPr>
      <xdr:spPr bwMode="auto">
        <a:xfrm>
          <a:off x="2721701" y="21798164"/>
          <a:ext cx="69588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9603</xdr:colOff>
      <xdr:row>250</xdr:row>
      <xdr:rowOff>15285</xdr:rowOff>
    </xdr:from>
    <xdr:to>
      <xdr:col>81</xdr:col>
      <xdr:colOff>1781</xdr:colOff>
      <xdr:row>258</xdr:row>
      <xdr:rowOff>20533</xdr:rowOff>
    </xdr:to>
    <xdr:grpSp>
      <xdr:nvGrpSpPr>
        <xdr:cNvPr id="3519" name="グループ化 3518"/>
        <xdr:cNvGrpSpPr/>
      </xdr:nvGrpSpPr>
      <xdr:grpSpPr>
        <a:xfrm>
          <a:off x="6555876" y="22026694"/>
          <a:ext cx="598314" cy="697975"/>
          <a:chOff x="2966880" y="13360736"/>
          <a:chExt cx="601227" cy="701306"/>
        </a:xfrm>
      </xdr:grpSpPr>
      <xdr:sp macro="" textlink="">
        <xdr:nvSpPr>
          <xdr:cNvPr id="3520" name="テキスト ボックス 3519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521" name="グループ化 3520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522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524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526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527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525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523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70</xdr:col>
      <xdr:colOff>19384</xdr:colOff>
      <xdr:row>470</xdr:row>
      <xdr:rowOff>3038</xdr:rowOff>
    </xdr:from>
    <xdr:to>
      <xdr:col>71</xdr:col>
      <xdr:colOff>3354</xdr:colOff>
      <xdr:row>470</xdr:row>
      <xdr:rowOff>3038</xdr:rowOff>
    </xdr:to>
    <xdr:cxnSp macro="">
      <xdr:nvCxnSpPr>
        <xdr:cNvPr id="2951" name="直線コネクタ 2950"/>
        <xdr:cNvCxnSpPr/>
      </xdr:nvCxnSpPr>
      <xdr:spPr bwMode="auto">
        <a:xfrm>
          <a:off x="2724484" y="13147538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9603</xdr:colOff>
      <xdr:row>470</xdr:row>
      <xdr:rowOff>15285</xdr:rowOff>
    </xdr:from>
    <xdr:to>
      <xdr:col>81</xdr:col>
      <xdr:colOff>1781</xdr:colOff>
      <xdr:row>478</xdr:row>
      <xdr:rowOff>20533</xdr:rowOff>
    </xdr:to>
    <xdr:grpSp>
      <xdr:nvGrpSpPr>
        <xdr:cNvPr id="2954" name="グループ化 2953"/>
        <xdr:cNvGrpSpPr/>
      </xdr:nvGrpSpPr>
      <xdr:grpSpPr>
        <a:xfrm>
          <a:off x="6555876" y="41128649"/>
          <a:ext cx="598314" cy="697975"/>
          <a:chOff x="2966880" y="13360736"/>
          <a:chExt cx="601227" cy="701306"/>
        </a:xfrm>
      </xdr:grpSpPr>
      <xdr:sp macro="" textlink="">
        <xdr:nvSpPr>
          <xdr:cNvPr id="3145" name="テキスト ボックス 3144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148" name="グループ化 3147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149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153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155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157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154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152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oneCellAnchor>
    <xdr:from>
      <xdr:col>69</xdr:col>
      <xdr:colOff>62593</xdr:colOff>
      <xdr:row>190</xdr:row>
      <xdr:rowOff>16600</xdr:rowOff>
    </xdr:from>
    <xdr:ext cx="423193" cy="183384"/>
    <xdr:sp macro="" textlink="">
      <xdr:nvSpPr>
        <xdr:cNvPr id="2911" name="Rectangle 217"/>
        <xdr:cNvSpPr>
          <a:spLocks noChangeArrowheads="1"/>
        </xdr:cNvSpPr>
      </xdr:nvSpPr>
      <xdr:spPr bwMode="auto">
        <a:xfrm>
          <a:off x="6110968" y="12303850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70</xdr:col>
      <xdr:colOff>19384</xdr:colOff>
      <xdr:row>200</xdr:row>
      <xdr:rowOff>3038</xdr:rowOff>
    </xdr:from>
    <xdr:to>
      <xdr:col>71</xdr:col>
      <xdr:colOff>3354</xdr:colOff>
      <xdr:row>200</xdr:row>
      <xdr:rowOff>3038</xdr:rowOff>
    </xdr:to>
    <xdr:cxnSp macro="">
      <xdr:nvCxnSpPr>
        <xdr:cNvPr id="2916" name="直線コネクタ 2915"/>
        <xdr:cNvCxnSpPr/>
      </xdr:nvCxnSpPr>
      <xdr:spPr bwMode="auto">
        <a:xfrm>
          <a:off x="6153484" y="13147538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66675</xdr:colOff>
      <xdr:row>232</xdr:row>
      <xdr:rowOff>0</xdr:rowOff>
    </xdr:from>
    <xdr:to>
      <xdr:col>79</xdr:col>
      <xdr:colOff>47625</xdr:colOff>
      <xdr:row>234</xdr:row>
      <xdr:rowOff>0</xdr:rowOff>
    </xdr:to>
    <xdr:grpSp>
      <xdr:nvGrpSpPr>
        <xdr:cNvPr id="2919" name="グループ化 700"/>
        <xdr:cNvGrpSpPr>
          <a:grpSpLocks/>
        </xdr:cNvGrpSpPr>
      </xdr:nvGrpSpPr>
      <xdr:grpSpPr bwMode="auto">
        <a:xfrm>
          <a:off x="6959311" y="20400818"/>
          <a:ext cx="67541" cy="173182"/>
          <a:chOff x="3165758" y="15657662"/>
          <a:chExt cx="67219" cy="163244"/>
        </a:xfrm>
      </xdr:grpSpPr>
      <xdr:sp macro="" textlink="">
        <xdr:nvSpPr>
          <xdr:cNvPr id="2920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21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22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80</xdr:col>
      <xdr:colOff>47625</xdr:colOff>
      <xdr:row>230</xdr:row>
      <xdr:rowOff>47625</xdr:rowOff>
    </xdr:from>
    <xdr:to>
      <xdr:col>94</xdr:col>
      <xdr:colOff>28575</xdr:colOff>
      <xdr:row>236</xdr:row>
      <xdr:rowOff>47625</xdr:rowOff>
    </xdr:to>
    <xdr:grpSp>
      <xdr:nvGrpSpPr>
        <xdr:cNvPr id="2923" name="グループ化 702"/>
        <xdr:cNvGrpSpPr>
          <a:grpSpLocks/>
        </xdr:cNvGrpSpPr>
      </xdr:nvGrpSpPr>
      <xdr:grpSpPr bwMode="auto">
        <a:xfrm>
          <a:off x="7113443" y="20275261"/>
          <a:ext cx="1193223" cy="519546"/>
          <a:chOff x="3634154" y="15404026"/>
          <a:chExt cx="1158481" cy="504350"/>
        </a:xfrm>
      </xdr:grpSpPr>
      <xdr:sp macro="" textlink="">
        <xdr:nvSpPr>
          <xdr:cNvPr id="2925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926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27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28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31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74</xdr:col>
      <xdr:colOff>19050</xdr:colOff>
      <xdr:row>209</xdr:row>
      <xdr:rowOff>9525</xdr:rowOff>
    </xdr:from>
    <xdr:to>
      <xdr:col>78</xdr:col>
      <xdr:colOff>9525</xdr:colOff>
      <xdr:row>216</xdr:row>
      <xdr:rowOff>19050</xdr:rowOff>
    </xdr:to>
    <xdr:grpSp>
      <xdr:nvGrpSpPr>
        <xdr:cNvPr id="2933" name="グループ化 3"/>
        <xdr:cNvGrpSpPr>
          <a:grpSpLocks/>
        </xdr:cNvGrpSpPr>
      </xdr:nvGrpSpPr>
      <xdr:grpSpPr bwMode="auto">
        <a:xfrm>
          <a:off x="6565323" y="18418752"/>
          <a:ext cx="336838" cy="615662"/>
          <a:chOff x="4956932" y="1715005"/>
          <a:chExt cx="367492" cy="648892"/>
        </a:xfrm>
      </xdr:grpSpPr>
      <xdr:grpSp>
        <xdr:nvGrpSpPr>
          <xdr:cNvPr id="2934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2937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939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2936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76</xdr:col>
      <xdr:colOff>66675</xdr:colOff>
      <xdr:row>217</xdr:row>
      <xdr:rowOff>57150</xdr:rowOff>
    </xdr:from>
    <xdr:to>
      <xdr:col>101</xdr:col>
      <xdr:colOff>0</xdr:colOff>
      <xdr:row>225</xdr:row>
      <xdr:rowOff>28575</xdr:rowOff>
    </xdr:to>
    <xdr:grpSp>
      <xdr:nvGrpSpPr>
        <xdr:cNvPr id="2943" name="グループ化 2528"/>
        <xdr:cNvGrpSpPr>
          <a:grpSpLocks/>
        </xdr:cNvGrpSpPr>
      </xdr:nvGrpSpPr>
      <xdr:grpSpPr bwMode="auto">
        <a:xfrm>
          <a:off x="6786130" y="19159105"/>
          <a:ext cx="2098097" cy="664152"/>
          <a:chOff x="13451336" y="18108261"/>
          <a:chExt cx="2108441" cy="662519"/>
        </a:xfrm>
      </xdr:grpSpPr>
      <xdr:grpSp>
        <xdr:nvGrpSpPr>
          <xdr:cNvPr id="2944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2978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79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80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81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82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83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84" name="直線コネクタ 18"/>
            <xdr:cNvCxnSpPr>
              <a:cxnSpLocks noChangeShapeType="1"/>
            </xdr:cNvCxnSpPr>
          </xdr:nvCxnSpPr>
          <xdr:spPr bwMode="auto">
            <a:xfrm>
              <a:off x="3085688" y="250466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85" name="直線コネクタ 19"/>
            <xdr:cNvCxnSpPr>
              <a:cxnSpLocks noChangeShapeType="1"/>
            </xdr:cNvCxnSpPr>
          </xdr:nvCxnSpPr>
          <xdr:spPr bwMode="auto">
            <a:xfrm>
              <a:off x="3222350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986" name="直線コネクタ 20"/>
            <xdr:cNvCxnSpPr>
              <a:cxnSpLocks noChangeShapeType="1"/>
            </xdr:cNvCxnSpPr>
          </xdr:nvCxnSpPr>
          <xdr:spPr bwMode="auto">
            <a:xfrm>
              <a:off x="3370609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189" name="直線コネクタ 21"/>
            <xdr:cNvCxnSpPr>
              <a:cxnSpLocks noChangeShapeType="1"/>
            </xdr:cNvCxnSpPr>
          </xdr:nvCxnSpPr>
          <xdr:spPr bwMode="auto">
            <a:xfrm>
              <a:off x="3507271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190" name="直線コネクタ 22"/>
            <xdr:cNvCxnSpPr>
              <a:cxnSpLocks noChangeShapeType="1"/>
            </xdr:cNvCxnSpPr>
          </xdr:nvCxnSpPr>
          <xdr:spPr bwMode="auto">
            <a:xfrm>
              <a:off x="3655530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191" name="直線コネクタ 23"/>
            <xdr:cNvCxnSpPr>
              <a:cxnSpLocks noChangeShapeType="1"/>
            </xdr:cNvCxnSpPr>
          </xdr:nvCxnSpPr>
          <xdr:spPr bwMode="auto">
            <a:xfrm>
              <a:off x="3808758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192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193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194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2945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977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93</xdr:col>
      <xdr:colOff>0</xdr:colOff>
      <xdr:row>211</xdr:row>
      <xdr:rowOff>57150</xdr:rowOff>
    </xdr:from>
    <xdr:to>
      <xdr:col>100</xdr:col>
      <xdr:colOff>38100</xdr:colOff>
      <xdr:row>213</xdr:row>
      <xdr:rowOff>0</xdr:rowOff>
    </xdr:to>
    <xdr:grpSp>
      <xdr:nvGrpSpPr>
        <xdr:cNvPr id="3198" name="グループ化 5"/>
        <xdr:cNvGrpSpPr>
          <a:grpSpLocks/>
        </xdr:cNvGrpSpPr>
      </xdr:nvGrpSpPr>
      <xdr:grpSpPr bwMode="auto">
        <a:xfrm>
          <a:off x="8191500" y="18639559"/>
          <a:ext cx="644236" cy="116032"/>
          <a:chOff x="4791075" y="2762250"/>
          <a:chExt cx="714375" cy="142875"/>
        </a:xfrm>
      </xdr:grpSpPr>
      <xdr:sp macro="" textlink="">
        <xdr:nvSpPr>
          <xdr:cNvPr id="3199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00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19384</xdr:colOff>
      <xdr:row>200</xdr:row>
      <xdr:rowOff>3038</xdr:rowOff>
    </xdr:from>
    <xdr:to>
      <xdr:col>71</xdr:col>
      <xdr:colOff>3354</xdr:colOff>
      <xdr:row>200</xdr:row>
      <xdr:rowOff>3038</xdr:rowOff>
    </xdr:to>
    <xdr:cxnSp macro="">
      <xdr:nvCxnSpPr>
        <xdr:cNvPr id="3202" name="直線コネクタ 3201"/>
        <xdr:cNvCxnSpPr/>
      </xdr:nvCxnSpPr>
      <xdr:spPr bwMode="auto">
        <a:xfrm>
          <a:off x="6153484" y="13147538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9603</xdr:colOff>
      <xdr:row>200</xdr:row>
      <xdr:rowOff>15285</xdr:rowOff>
    </xdr:from>
    <xdr:to>
      <xdr:col>81</xdr:col>
      <xdr:colOff>1781</xdr:colOff>
      <xdr:row>208</xdr:row>
      <xdr:rowOff>20533</xdr:rowOff>
    </xdr:to>
    <xdr:grpSp>
      <xdr:nvGrpSpPr>
        <xdr:cNvPr id="3203" name="グループ化 3202"/>
        <xdr:cNvGrpSpPr/>
      </xdr:nvGrpSpPr>
      <xdr:grpSpPr>
        <a:xfrm>
          <a:off x="6555876" y="17645194"/>
          <a:ext cx="598314" cy="697975"/>
          <a:chOff x="2966880" y="13360736"/>
          <a:chExt cx="601227" cy="701306"/>
        </a:xfrm>
      </xdr:grpSpPr>
      <xdr:sp macro="" textlink="">
        <xdr:nvSpPr>
          <xdr:cNvPr id="3204" name="テキスト ボックス 3203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205" name="グループ化 3204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307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310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312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313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311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309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33</xdr:col>
      <xdr:colOff>8852</xdr:colOff>
      <xdr:row>242</xdr:row>
      <xdr:rowOff>57235</xdr:rowOff>
    </xdr:from>
    <xdr:to>
      <xdr:col>66</xdr:col>
      <xdr:colOff>76203</xdr:colOff>
      <xdr:row>248</xdr:row>
      <xdr:rowOff>19355</xdr:rowOff>
    </xdr:to>
    <xdr:grpSp>
      <xdr:nvGrpSpPr>
        <xdr:cNvPr id="9" name="グループ化 8"/>
        <xdr:cNvGrpSpPr/>
      </xdr:nvGrpSpPr>
      <xdr:grpSpPr>
        <a:xfrm>
          <a:off x="3004897" y="21375917"/>
          <a:ext cx="2924851" cy="481665"/>
          <a:chOff x="3099984" y="22162424"/>
          <a:chExt cx="3032681" cy="501271"/>
        </a:xfrm>
      </xdr:grpSpPr>
      <xdr:cxnSp macro="">
        <xdr:nvCxnSpPr>
          <xdr:cNvPr id="3187" name="直線コネクタ 3186"/>
          <xdr:cNvCxnSpPr/>
        </xdr:nvCxnSpPr>
        <xdr:spPr bwMode="auto">
          <a:xfrm>
            <a:off x="5770612" y="22221678"/>
            <a:ext cx="0" cy="370634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6" name="直線コネクタ 3185"/>
          <xdr:cNvCxnSpPr/>
        </xdr:nvCxnSpPr>
        <xdr:spPr bwMode="auto">
          <a:xfrm>
            <a:off x="5027212" y="22218856"/>
            <a:ext cx="0" cy="373975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5" name="直線コネクタ 3184"/>
          <xdr:cNvCxnSpPr/>
        </xdr:nvCxnSpPr>
        <xdr:spPr bwMode="auto">
          <a:xfrm>
            <a:off x="4230513" y="22218856"/>
            <a:ext cx="0" cy="373974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4" name="直線コネクタ 3183"/>
          <xdr:cNvCxnSpPr/>
        </xdr:nvCxnSpPr>
        <xdr:spPr bwMode="auto">
          <a:xfrm>
            <a:off x="3416980" y="22201926"/>
            <a:ext cx="0" cy="38733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288911" name="グループ化 7"/>
          <xdr:cNvGrpSpPr>
            <a:grpSpLocks/>
          </xdr:cNvGrpSpPr>
        </xdr:nvGrpSpPr>
        <xdr:grpSpPr bwMode="auto">
          <a:xfrm>
            <a:off x="3099984" y="22162424"/>
            <a:ext cx="3032681" cy="501271"/>
            <a:chOff x="2821040" y="21041379"/>
            <a:chExt cx="2876553" cy="474915"/>
          </a:xfrm>
        </xdr:grpSpPr>
        <xdr:cxnSp macro="">
          <xdr:nvCxnSpPr>
            <xdr:cNvPr id="3141" name="直線コネクタ 3140"/>
            <xdr:cNvCxnSpPr/>
          </xdr:nvCxnSpPr>
          <xdr:spPr bwMode="auto">
            <a:xfrm>
              <a:off x="3067061" y="21468802"/>
              <a:ext cx="2356122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3289294" name="グループ化 6"/>
            <xdr:cNvGrpSpPr>
              <a:grpSpLocks/>
            </xdr:cNvGrpSpPr>
          </xdr:nvGrpSpPr>
          <xdr:grpSpPr bwMode="auto">
            <a:xfrm>
              <a:off x="2821040" y="21041379"/>
              <a:ext cx="2876553" cy="474915"/>
              <a:chOff x="2821040" y="21041379"/>
              <a:chExt cx="2876553" cy="474915"/>
            </a:xfrm>
          </xdr:grpSpPr>
          <xdr:grpSp>
            <xdr:nvGrpSpPr>
              <xdr:cNvPr id="3289295" name="グループ化 9"/>
              <xdr:cNvGrpSpPr>
                <a:grpSpLocks/>
              </xdr:cNvGrpSpPr>
            </xdr:nvGrpSpPr>
            <xdr:grpSpPr bwMode="auto">
              <a:xfrm>
                <a:off x="2868354" y="21041379"/>
                <a:ext cx="2829239" cy="474915"/>
                <a:chOff x="8192913" y="856170"/>
                <a:chExt cx="2551674" cy="422226"/>
              </a:xfrm>
            </xdr:grpSpPr>
            <xdr:grpSp>
              <xdr:nvGrpSpPr>
                <xdr:cNvPr id="3289298" name="グループ化 1141"/>
                <xdr:cNvGrpSpPr>
                  <a:grpSpLocks/>
                </xdr:cNvGrpSpPr>
              </xdr:nvGrpSpPr>
              <xdr:grpSpPr bwMode="auto">
                <a:xfrm>
                  <a:off x="8192913" y="856170"/>
                  <a:ext cx="2551674" cy="382932"/>
                  <a:chOff x="16560806" y="791619"/>
                  <a:chExt cx="4085428" cy="607942"/>
                </a:xfrm>
              </xdr:grpSpPr>
              <xdr:cxnSp macro="">
                <xdr:nvCxnSpPr>
                  <xdr:cNvPr id="5023" name="直線コネクタ 5022"/>
                  <xdr:cNvCxnSpPr/>
                </xdr:nvCxnSpPr>
                <xdr:spPr>
                  <a:xfrm>
                    <a:off x="16560806" y="791619"/>
                    <a:ext cx="601200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24" name="直線コネクタ 5023"/>
                  <xdr:cNvCxnSpPr/>
                </xdr:nvCxnSpPr>
                <xdr:spPr>
                  <a:xfrm>
                    <a:off x="16560806" y="1167001"/>
                    <a:ext cx="4085428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25" name="直線コネクタ 5024"/>
                  <xdr:cNvCxnSpPr/>
                </xdr:nvCxnSpPr>
                <xdr:spPr>
                  <a:xfrm>
                    <a:off x="17804197" y="791619"/>
                    <a:ext cx="587536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28" name="直線コネクタ 5027"/>
                  <xdr:cNvCxnSpPr/>
                </xdr:nvCxnSpPr>
                <xdr:spPr bwMode="auto">
                  <a:xfrm>
                    <a:off x="17162006" y="792037"/>
                    <a:ext cx="0" cy="607524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0" name="直線コネクタ 5029"/>
                  <xdr:cNvCxnSpPr/>
                </xdr:nvCxnSpPr>
                <xdr:spPr bwMode="auto">
                  <a:xfrm>
                    <a:off x="17817861" y="800970"/>
                    <a:ext cx="0" cy="576255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2" name="直線コネクタ 5031"/>
                  <xdr:cNvCxnSpPr/>
                </xdr:nvCxnSpPr>
                <xdr:spPr>
                  <a:xfrm>
                    <a:off x="17886179" y="863534"/>
                    <a:ext cx="0" cy="504564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3" name="直線コネクタ 5032"/>
                  <xdr:cNvCxnSpPr/>
                </xdr:nvCxnSpPr>
                <xdr:spPr>
                  <a:xfrm>
                    <a:off x="17964749" y="864228"/>
                    <a:ext cx="0" cy="500097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4" name="直線コネクタ 5033"/>
                  <xdr:cNvCxnSpPr/>
                </xdr:nvCxnSpPr>
                <xdr:spPr>
                  <a:xfrm>
                    <a:off x="18118461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5" name="直線コネクタ 5034"/>
                  <xdr:cNvCxnSpPr/>
                </xdr:nvCxnSpPr>
                <xdr:spPr>
                  <a:xfrm>
                    <a:off x="17093688" y="854599"/>
                    <a:ext cx="0" cy="513499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6" name="直線コネクタ 5035"/>
                  <xdr:cNvCxnSpPr/>
                </xdr:nvCxnSpPr>
                <xdr:spPr>
                  <a:xfrm>
                    <a:off x="17007431" y="850133"/>
                    <a:ext cx="0" cy="517966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7" name="直線コネクタ 5036"/>
                  <xdr:cNvCxnSpPr/>
                </xdr:nvCxnSpPr>
                <xdr:spPr>
                  <a:xfrm>
                    <a:off x="16847742" y="845666"/>
                    <a:ext cx="0" cy="522432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8" name="直線コネクタ 5037"/>
                  <xdr:cNvCxnSpPr/>
                </xdr:nvCxnSpPr>
                <xdr:spPr bwMode="auto">
                  <a:xfrm>
                    <a:off x="16847742" y="1140188"/>
                    <a:ext cx="3415910" cy="0"/>
                  </a:xfrm>
                  <a:prstGeom prst="line">
                    <a:avLst/>
                  </a:prstGeom>
                  <a:ln w="28575">
                    <a:solidFill>
                      <a:srgbClr val="7030A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39" name="直線コネクタ 5038"/>
                  <xdr:cNvCxnSpPr/>
                </xdr:nvCxnSpPr>
                <xdr:spPr bwMode="auto">
                  <a:xfrm>
                    <a:off x="17476270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0" name="直線コネクタ 5039"/>
                  <xdr:cNvCxnSpPr/>
                </xdr:nvCxnSpPr>
                <xdr:spPr bwMode="auto">
                  <a:xfrm>
                    <a:off x="17571915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1" name="直線コネクタ 5040"/>
                  <xdr:cNvCxnSpPr/>
                </xdr:nvCxnSpPr>
                <xdr:spPr bwMode="auto">
                  <a:xfrm>
                    <a:off x="1765389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2" name="直線コネクタ 5041"/>
                  <xdr:cNvCxnSpPr/>
                </xdr:nvCxnSpPr>
                <xdr:spPr bwMode="auto">
                  <a:xfrm>
                    <a:off x="17749543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3" name="直線コネクタ 5042"/>
                  <xdr:cNvCxnSpPr/>
                </xdr:nvCxnSpPr>
                <xdr:spPr bwMode="auto">
                  <a:xfrm>
                    <a:off x="17380624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4" name="直線コネクタ 5043"/>
                  <xdr:cNvCxnSpPr/>
                </xdr:nvCxnSpPr>
                <xdr:spPr bwMode="auto">
                  <a:xfrm>
                    <a:off x="17298642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5" name="直線コネクタ 5044"/>
                  <xdr:cNvCxnSpPr/>
                </xdr:nvCxnSpPr>
                <xdr:spPr bwMode="auto">
                  <a:xfrm>
                    <a:off x="1720299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6" name="直線コネクタ 5045"/>
                  <xdr:cNvCxnSpPr/>
                </xdr:nvCxnSpPr>
                <xdr:spPr bwMode="auto">
                  <a:xfrm>
                    <a:off x="17522059" y="1354686"/>
                    <a:ext cx="159165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7" name="直線コネクタ 5046"/>
                  <xdr:cNvCxnSpPr/>
                </xdr:nvCxnSpPr>
                <xdr:spPr bwMode="auto">
                  <a:xfrm flipV="1">
                    <a:off x="17663273" y="925686"/>
                    <a:ext cx="400534" cy="435101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8" name="直線コネクタ 5047"/>
                  <xdr:cNvCxnSpPr/>
                </xdr:nvCxnSpPr>
                <xdr:spPr bwMode="auto">
                  <a:xfrm>
                    <a:off x="17298642" y="1354692"/>
                    <a:ext cx="136869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49" name="直線コネクタ 5048"/>
                  <xdr:cNvCxnSpPr/>
                </xdr:nvCxnSpPr>
                <xdr:spPr bwMode="auto">
                  <a:xfrm flipH="1" flipV="1">
                    <a:off x="16902397" y="952497"/>
                    <a:ext cx="409909" cy="402196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3289299" name="グループ化 1141"/>
                <xdr:cNvGrpSpPr>
                  <a:grpSpLocks/>
                </xdr:cNvGrpSpPr>
              </xdr:nvGrpSpPr>
              <xdr:grpSpPr bwMode="auto">
                <a:xfrm>
                  <a:off x="9524222" y="856170"/>
                  <a:ext cx="1135026" cy="380003"/>
                  <a:chOff x="16564916" y="791619"/>
                  <a:chExt cx="1817264" cy="603292"/>
                </a:xfrm>
              </xdr:grpSpPr>
              <xdr:cxnSp macro="">
                <xdr:nvCxnSpPr>
                  <xdr:cNvPr id="4997" name="直線コネクタ 4996"/>
                  <xdr:cNvCxnSpPr/>
                </xdr:nvCxnSpPr>
                <xdr:spPr>
                  <a:xfrm>
                    <a:off x="16564916" y="791619"/>
                    <a:ext cx="573873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998" name="直線コネクタ 4997"/>
                  <xdr:cNvCxnSpPr/>
                </xdr:nvCxnSpPr>
                <xdr:spPr>
                  <a:xfrm>
                    <a:off x="17808307" y="791619"/>
                    <a:ext cx="573873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01" name="直線コネクタ 5000"/>
                  <xdr:cNvCxnSpPr/>
                </xdr:nvCxnSpPr>
                <xdr:spPr bwMode="auto">
                  <a:xfrm>
                    <a:off x="17138788" y="792037"/>
                    <a:ext cx="0" cy="589656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03" name="直線コネクタ 5002"/>
                  <xdr:cNvCxnSpPr/>
                </xdr:nvCxnSpPr>
                <xdr:spPr bwMode="auto">
                  <a:xfrm>
                    <a:off x="17808308" y="796504"/>
                    <a:ext cx="0" cy="585189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05" name="直線コネクタ 5004"/>
                  <xdr:cNvCxnSpPr/>
                </xdr:nvCxnSpPr>
                <xdr:spPr>
                  <a:xfrm>
                    <a:off x="17862961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06" name="直線コネクタ 5005"/>
                  <xdr:cNvCxnSpPr/>
                </xdr:nvCxnSpPr>
                <xdr:spPr>
                  <a:xfrm>
                    <a:off x="17939825" y="868693"/>
                    <a:ext cx="0" cy="495631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07" name="直線コネクタ 5006"/>
                  <xdr:cNvCxnSpPr/>
                </xdr:nvCxnSpPr>
                <xdr:spPr>
                  <a:xfrm>
                    <a:off x="18108907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08" name="直線コネクタ 5007"/>
                  <xdr:cNvCxnSpPr/>
                </xdr:nvCxnSpPr>
                <xdr:spPr>
                  <a:xfrm>
                    <a:off x="17084134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09" name="直線コネクタ 5008"/>
                  <xdr:cNvCxnSpPr/>
                </xdr:nvCxnSpPr>
                <xdr:spPr>
                  <a:xfrm>
                    <a:off x="16932561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0" name="直線コネクタ 5009"/>
                  <xdr:cNvCxnSpPr/>
                </xdr:nvCxnSpPr>
                <xdr:spPr>
                  <a:xfrm>
                    <a:off x="16851852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2" name="直線コネクタ 5011"/>
                  <xdr:cNvCxnSpPr/>
                </xdr:nvCxnSpPr>
                <xdr:spPr bwMode="auto">
                  <a:xfrm>
                    <a:off x="17480380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3" name="直線コネクタ 5012"/>
                  <xdr:cNvCxnSpPr/>
                </xdr:nvCxnSpPr>
                <xdr:spPr bwMode="auto">
                  <a:xfrm>
                    <a:off x="17562361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4" name="直線コネクタ 5013"/>
                  <xdr:cNvCxnSpPr/>
                </xdr:nvCxnSpPr>
                <xdr:spPr bwMode="auto">
                  <a:xfrm>
                    <a:off x="1765800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5" name="直線コネクタ 5014"/>
                  <xdr:cNvCxnSpPr/>
                </xdr:nvCxnSpPr>
                <xdr:spPr bwMode="auto">
                  <a:xfrm>
                    <a:off x="17726325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6" name="直線コネクタ 5015"/>
                  <xdr:cNvCxnSpPr/>
                </xdr:nvCxnSpPr>
                <xdr:spPr bwMode="auto">
                  <a:xfrm>
                    <a:off x="17371070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7" name="直線コネクタ 5016"/>
                  <xdr:cNvCxnSpPr/>
                </xdr:nvCxnSpPr>
                <xdr:spPr bwMode="auto">
                  <a:xfrm>
                    <a:off x="17275425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8" name="直線コネクタ 5017"/>
                  <xdr:cNvCxnSpPr/>
                </xdr:nvCxnSpPr>
                <xdr:spPr bwMode="auto">
                  <a:xfrm>
                    <a:off x="1720710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19" name="直線コネクタ 5018"/>
                  <xdr:cNvCxnSpPr/>
                </xdr:nvCxnSpPr>
                <xdr:spPr bwMode="auto">
                  <a:xfrm>
                    <a:off x="17521941" y="1354686"/>
                    <a:ext cx="149730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20" name="直線コネクタ 5019"/>
                  <xdr:cNvCxnSpPr/>
                </xdr:nvCxnSpPr>
                <xdr:spPr bwMode="auto">
                  <a:xfrm flipV="1">
                    <a:off x="17663152" y="925686"/>
                    <a:ext cx="391100" cy="424854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21" name="直線コネクタ 5020"/>
                  <xdr:cNvCxnSpPr/>
                </xdr:nvCxnSpPr>
                <xdr:spPr bwMode="auto">
                  <a:xfrm>
                    <a:off x="17289088" y="1354692"/>
                    <a:ext cx="137191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22" name="直線コネクタ 5021"/>
                  <xdr:cNvCxnSpPr/>
                </xdr:nvCxnSpPr>
                <xdr:spPr bwMode="auto">
                  <a:xfrm flipH="1" flipV="1">
                    <a:off x="16892843" y="952497"/>
                    <a:ext cx="396246" cy="402196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4995" name="直線コネクタ 4994"/>
                <xdr:cNvCxnSpPr/>
              </xdr:nvCxnSpPr>
              <xdr:spPr bwMode="auto">
                <a:xfrm>
                  <a:off x="10363794" y="1278396"/>
                  <a:ext cx="107702" cy="0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996" name="直線コネクタ 4995"/>
                <xdr:cNvCxnSpPr/>
              </xdr:nvCxnSpPr>
              <xdr:spPr bwMode="auto">
                <a:xfrm flipH="1">
                  <a:off x="10462963" y="1058838"/>
                  <a:ext cx="221885" cy="219558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3142" name="直線コネクタ 3141"/>
              <xdr:cNvCxnSpPr/>
            </xdr:nvCxnSpPr>
            <xdr:spPr bwMode="auto">
              <a:xfrm>
                <a:off x="3057598" y="21506796"/>
                <a:ext cx="145211" cy="0"/>
              </a:xfrm>
              <a:prstGeom prst="line">
                <a:avLst/>
              </a:prstGeom>
              <a:ln w="28575">
                <a:solidFill>
                  <a:srgbClr val="00B0F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143" name="直線コネクタ 3142"/>
              <xdr:cNvCxnSpPr/>
            </xdr:nvCxnSpPr>
            <xdr:spPr bwMode="auto">
              <a:xfrm>
                <a:off x="2821040" y="21269338"/>
                <a:ext cx="246021" cy="246956"/>
              </a:xfrm>
              <a:prstGeom prst="line">
                <a:avLst/>
              </a:prstGeom>
              <a:ln w="28575">
                <a:solidFill>
                  <a:srgbClr val="00B0F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30</xdr:col>
      <xdr:colOff>16977</xdr:colOff>
      <xdr:row>250</xdr:row>
      <xdr:rowOff>0</xdr:rowOff>
    </xdr:from>
    <xdr:to>
      <xdr:col>30</xdr:col>
      <xdr:colOff>89845</xdr:colOff>
      <xdr:row>250</xdr:row>
      <xdr:rowOff>0</xdr:rowOff>
    </xdr:to>
    <xdr:cxnSp macro="">
      <xdr:nvCxnSpPr>
        <xdr:cNvPr id="2896" name="直線コネクタ 2895"/>
        <xdr:cNvCxnSpPr/>
      </xdr:nvCxnSpPr>
      <xdr:spPr bwMode="auto">
        <a:xfrm>
          <a:off x="2838534" y="22824057"/>
          <a:ext cx="72868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259</xdr:row>
      <xdr:rowOff>14071</xdr:rowOff>
    </xdr:from>
    <xdr:to>
      <xdr:col>30</xdr:col>
      <xdr:colOff>64731</xdr:colOff>
      <xdr:row>259</xdr:row>
      <xdr:rowOff>14170</xdr:rowOff>
    </xdr:to>
    <xdr:cxnSp macro="">
      <xdr:nvCxnSpPr>
        <xdr:cNvPr id="2897" name="直線コネクタ 2896"/>
        <xdr:cNvCxnSpPr/>
      </xdr:nvCxnSpPr>
      <xdr:spPr>
        <a:xfrm flipH="1" flipV="1">
          <a:off x="2695575" y="22597846"/>
          <a:ext cx="74256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3639</xdr:colOff>
      <xdr:row>280</xdr:row>
      <xdr:rowOff>84299</xdr:rowOff>
    </xdr:from>
    <xdr:to>
      <xdr:col>30</xdr:col>
      <xdr:colOff>77109</xdr:colOff>
      <xdr:row>280</xdr:row>
      <xdr:rowOff>84299</xdr:rowOff>
    </xdr:to>
    <xdr:cxnSp macro="">
      <xdr:nvCxnSpPr>
        <xdr:cNvPr id="2898" name="直線コネクタ 2897"/>
        <xdr:cNvCxnSpPr/>
      </xdr:nvCxnSpPr>
      <xdr:spPr bwMode="auto">
        <a:xfrm>
          <a:off x="2708739" y="24468299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4397</xdr:colOff>
      <xdr:row>270</xdr:row>
      <xdr:rowOff>3766</xdr:rowOff>
    </xdr:from>
    <xdr:to>
      <xdr:col>30</xdr:col>
      <xdr:colOff>78904</xdr:colOff>
      <xdr:row>270</xdr:row>
      <xdr:rowOff>3766</xdr:rowOff>
    </xdr:to>
    <xdr:cxnSp macro="">
      <xdr:nvCxnSpPr>
        <xdr:cNvPr id="2903" name="直線コネクタ 2902"/>
        <xdr:cNvCxnSpPr/>
      </xdr:nvCxnSpPr>
      <xdr:spPr bwMode="auto">
        <a:xfrm>
          <a:off x="2709497" y="23530516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32347</xdr:colOff>
      <xdr:row>259</xdr:row>
      <xdr:rowOff>10393</xdr:rowOff>
    </xdr:from>
    <xdr:to>
      <xdr:col>50</xdr:col>
      <xdr:colOff>20878</xdr:colOff>
      <xdr:row>259</xdr:row>
      <xdr:rowOff>10492</xdr:rowOff>
    </xdr:to>
    <xdr:cxnSp macro="">
      <xdr:nvCxnSpPr>
        <xdr:cNvPr id="2904" name="直線コネクタ 2903"/>
        <xdr:cNvCxnSpPr/>
      </xdr:nvCxnSpPr>
      <xdr:spPr>
        <a:xfrm flipH="1" flipV="1">
          <a:off x="4366222" y="22594168"/>
          <a:ext cx="74256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288</xdr:row>
      <xdr:rowOff>19050</xdr:rowOff>
    </xdr:from>
    <xdr:to>
      <xdr:col>34</xdr:col>
      <xdr:colOff>0</xdr:colOff>
      <xdr:row>289</xdr:row>
      <xdr:rowOff>66675</xdr:rowOff>
    </xdr:to>
    <xdr:grpSp>
      <xdr:nvGrpSpPr>
        <xdr:cNvPr id="3227" name="Group 350"/>
        <xdr:cNvGrpSpPr>
          <a:grpSpLocks/>
        </xdr:cNvGrpSpPr>
      </xdr:nvGrpSpPr>
      <xdr:grpSpPr bwMode="auto">
        <a:xfrm>
          <a:off x="2687782" y="25355550"/>
          <a:ext cx="394854" cy="151534"/>
          <a:chOff x="340" y="51"/>
          <a:chExt cx="60" cy="20"/>
        </a:xfrm>
        <a:solidFill>
          <a:srgbClr val="00B050"/>
        </a:solidFill>
      </xdr:grpSpPr>
      <xdr:sp macro="" textlink="">
        <xdr:nvSpPr>
          <xdr:cNvPr id="3228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229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230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oneCellAnchor>
    <xdr:from>
      <xdr:col>29</xdr:col>
      <xdr:colOff>62593</xdr:colOff>
      <xdr:row>290</xdr:row>
      <xdr:rowOff>16600</xdr:rowOff>
    </xdr:from>
    <xdr:ext cx="423193" cy="183384"/>
    <xdr:sp macro="" textlink="">
      <xdr:nvSpPr>
        <xdr:cNvPr id="3231" name="Rectangle 217"/>
        <xdr:cNvSpPr>
          <a:spLocks noChangeArrowheads="1"/>
        </xdr:cNvSpPr>
      </xdr:nvSpPr>
      <xdr:spPr bwMode="auto">
        <a:xfrm>
          <a:off x="2794291" y="21942072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34</xdr:col>
      <xdr:colOff>19050</xdr:colOff>
      <xdr:row>309</xdr:row>
      <xdr:rowOff>9525</xdr:rowOff>
    </xdr:from>
    <xdr:to>
      <xdr:col>38</xdr:col>
      <xdr:colOff>9525</xdr:colOff>
      <xdr:row>316</xdr:row>
      <xdr:rowOff>19050</xdr:rowOff>
    </xdr:to>
    <xdr:grpSp>
      <xdr:nvGrpSpPr>
        <xdr:cNvPr id="3532" name="グループ化 3"/>
        <xdr:cNvGrpSpPr>
          <a:grpSpLocks/>
        </xdr:cNvGrpSpPr>
      </xdr:nvGrpSpPr>
      <xdr:grpSpPr bwMode="auto">
        <a:xfrm>
          <a:off x="3101686" y="27181752"/>
          <a:ext cx="336839" cy="615662"/>
          <a:chOff x="4956932" y="1715005"/>
          <a:chExt cx="367492" cy="648892"/>
        </a:xfrm>
      </xdr:grpSpPr>
      <xdr:grpSp>
        <xdr:nvGrpSpPr>
          <xdr:cNvPr id="3533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535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536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3534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53</xdr:col>
      <xdr:colOff>0</xdr:colOff>
      <xdr:row>311</xdr:row>
      <xdr:rowOff>57150</xdr:rowOff>
    </xdr:from>
    <xdr:to>
      <xdr:col>60</xdr:col>
      <xdr:colOff>38100</xdr:colOff>
      <xdr:row>313</xdr:row>
      <xdr:rowOff>0</xdr:rowOff>
    </xdr:to>
    <xdr:grpSp>
      <xdr:nvGrpSpPr>
        <xdr:cNvPr id="3537" name="グループ化 5"/>
        <xdr:cNvGrpSpPr>
          <a:grpSpLocks/>
        </xdr:cNvGrpSpPr>
      </xdr:nvGrpSpPr>
      <xdr:grpSpPr bwMode="auto">
        <a:xfrm>
          <a:off x="4727864" y="27402559"/>
          <a:ext cx="644236" cy="116032"/>
          <a:chOff x="4791075" y="2762250"/>
          <a:chExt cx="714375" cy="142875"/>
        </a:xfrm>
      </xdr:grpSpPr>
      <xdr:sp macro="" textlink="">
        <xdr:nvSpPr>
          <xdr:cNvPr id="3538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9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9603</xdr:colOff>
      <xdr:row>300</xdr:row>
      <xdr:rowOff>15285</xdr:rowOff>
    </xdr:from>
    <xdr:to>
      <xdr:col>41</xdr:col>
      <xdr:colOff>1781</xdr:colOff>
      <xdr:row>308</xdr:row>
      <xdr:rowOff>20533</xdr:rowOff>
    </xdr:to>
    <xdr:grpSp>
      <xdr:nvGrpSpPr>
        <xdr:cNvPr id="3624" name="グループ化 3623"/>
        <xdr:cNvGrpSpPr/>
      </xdr:nvGrpSpPr>
      <xdr:grpSpPr>
        <a:xfrm>
          <a:off x="3092239" y="26408194"/>
          <a:ext cx="598315" cy="697975"/>
          <a:chOff x="2966880" y="13360736"/>
          <a:chExt cx="601227" cy="701306"/>
        </a:xfrm>
      </xdr:grpSpPr>
      <xdr:sp macro="" textlink="">
        <xdr:nvSpPr>
          <xdr:cNvPr id="3625" name="テキスト ボックス 3624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626" name="グループ化 3625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627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629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631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632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630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628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30</xdr:col>
      <xdr:colOff>16977</xdr:colOff>
      <xdr:row>300</xdr:row>
      <xdr:rowOff>0</xdr:rowOff>
    </xdr:from>
    <xdr:to>
      <xdr:col>31</xdr:col>
      <xdr:colOff>947</xdr:colOff>
      <xdr:row>300</xdr:row>
      <xdr:rowOff>0</xdr:rowOff>
    </xdr:to>
    <xdr:cxnSp macro="">
      <xdr:nvCxnSpPr>
        <xdr:cNvPr id="3633" name="直線コネクタ 3632"/>
        <xdr:cNvCxnSpPr/>
      </xdr:nvCxnSpPr>
      <xdr:spPr bwMode="auto">
        <a:xfrm>
          <a:off x="2838534" y="22824057"/>
          <a:ext cx="73828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309</xdr:row>
      <xdr:rowOff>14071</xdr:rowOff>
    </xdr:from>
    <xdr:to>
      <xdr:col>30</xdr:col>
      <xdr:colOff>64731</xdr:colOff>
      <xdr:row>309</xdr:row>
      <xdr:rowOff>14170</xdr:rowOff>
    </xdr:to>
    <xdr:cxnSp macro="">
      <xdr:nvCxnSpPr>
        <xdr:cNvPr id="3634" name="直線コネクタ 3633"/>
        <xdr:cNvCxnSpPr/>
      </xdr:nvCxnSpPr>
      <xdr:spPr>
        <a:xfrm flipH="1" flipV="1">
          <a:off x="2807898" y="23646854"/>
          <a:ext cx="78390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4397</xdr:colOff>
      <xdr:row>320</xdr:row>
      <xdr:rowOff>3766</xdr:rowOff>
    </xdr:from>
    <xdr:to>
      <xdr:col>30</xdr:col>
      <xdr:colOff>78904</xdr:colOff>
      <xdr:row>320</xdr:row>
      <xdr:rowOff>3766</xdr:rowOff>
    </xdr:to>
    <xdr:cxnSp macro="">
      <xdr:nvCxnSpPr>
        <xdr:cNvPr id="3636" name="直線コネクタ 3635"/>
        <xdr:cNvCxnSpPr/>
      </xdr:nvCxnSpPr>
      <xdr:spPr bwMode="auto">
        <a:xfrm>
          <a:off x="2825954" y="24624992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32347</xdr:colOff>
      <xdr:row>309</xdr:row>
      <xdr:rowOff>10393</xdr:rowOff>
    </xdr:from>
    <xdr:to>
      <xdr:col>50</xdr:col>
      <xdr:colOff>20878</xdr:colOff>
      <xdr:row>309</xdr:row>
      <xdr:rowOff>10492</xdr:rowOff>
    </xdr:to>
    <xdr:cxnSp macro="">
      <xdr:nvCxnSpPr>
        <xdr:cNvPr id="3637" name="直線コネクタ 3636"/>
        <xdr:cNvCxnSpPr/>
      </xdr:nvCxnSpPr>
      <xdr:spPr>
        <a:xfrm flipH="1" flipV="1">
          <a:off x="4561215" y="23643176"/>
          <a:ext cx="78389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66675</xdr:colOff>
      <xdr:row>335</xdr:row>
      <xdr:rowOff>20010</xdr:rowOff>
    </xdr:from>
    <xdr:to>
      <xdr:col>39</xdr:col>
      <xdr:colOff>47625</xdr:colOff>
      <xdr:row>337</xdr:row>
      <xdr:rowOff>21847</xdr:rowOff>
    </xdr:to>
    <xdr:grpSp>
      <xdr:nvGrpSpPr>
        <xdr:cNvPr id="3646" name="グループ化 700"/>
        <xdr:cNvGrpSpPr>
          <a:grpSpLocks/>
        </xdr:cNvGrpSpPr>
      </xdr:nvGrpSpPr>
      <xdr:grpSpPr bwMode="auto">
        <a:xfrm>
          <a:off x="3495675" y="29443601"/>
          <a:ext cx="67541" cy="175019"/>
          <a:chOff x="3165758" y="15657662"/>
          <a:chExt cx="67219" cy="163244"/>
        </a:xfrm>
      </xdr:grpSpPr>
      <xdr:sp macro="" textlink="">
        <xdr:nvSpPr>
          <xdr:cNvPr id="3647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48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49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333</xdr:row>
      <xdr:rowOff>52029</xdr:rowOff>
    </xdr:from>
    <xdr:to>
      <xdr:col>54</xdr:col>
      <xdr:colOff>28575</xdr:colOff>
      <xdr:row>339</xdr:row>
      <xdr:rowOff>52028</xdr:rowOff>
    </xdr:to>
    <xdr:grpSp>
      <xdr:nvGrpSpPr>
        <xdr:cNvPr id="3650" name="グループ化 702"/>
        <xdr:cNvGrpSpPr>
          <a:grpSpLocks/>
        </xdr:cNvGrpSpPr>
      </xdr:nvGrpSpPr>
      <xdr:grpSpPr bwMode="auto">
        <a:xfrm>
          <a:off x="3649807" y="29302438"/>
          <a:ext cx="1193223" cy="519545"/>
          <a:chOff x="3634154" y="15404026"/>
          <a:chExt cx="1158481" cy="488338"/>
        </a:xfrm>
      </xdr:grpSpPr>
      <xdr:sp macro="" textlink="">
        <xdr:nvSpPr>
          <xdr:cNvPr id="3651" name="Rectangle 218"/>
          <xdr:cNvSpPr>
            <a:spLocks noChangeArrowheads="1"/>
          </xdr:cNvSpPr>
        </xdr:nvSpPr>
        <xdr:spPr bwMode="auto">
          <a:xfrm>
            <a:off x="3979830" y="15648195"/>
            <a:ext cx="373704" cy="2441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652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53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54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55" name="Rectangle 228"/>
          <xdr:cNvSpPr>
            <a:spLocks noChangeArrowheads="1"/>
          </xdr:cNvSpPr>
        </xdr:nvSpPr>
        <xdr:spPr bwMode="auto">
          <a:xfrm>
            <a:off x="4344191" y="15404026"/>
            <a:ext cx="373704" cy="271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30</xdr:col>
      <xdr:colOff>3639</xdr:colOff>
      <xdr:row>334</xdr:row>
      <xdr:rowOff>12262</xdr:rowOff>
    </xdr:from>
    <xdr:to>
      <xdr:col>30</xdr:col>
      <xdr:colOff>77109</xdr:colOff>
      <xdr:row>334</xdr:row>
      <xdr:rowOff>12262</xdr:rowOff>
    </xdr:to>
    <xdr:cxnSp macro="">
      <xdr:nvCxnSpPr>
        <xdr:cNvPr id="3656" name="直線コネクタ 3655"/>
        <xdr:cNvCxnSpPr/>
      </xdr:nvCxnSpPr>
      <xdr:spPr bwMode="auto">
        <a:xfrm>
          <a:off x="2665036" y="28523228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3132</xdr:colOff>
      <xdr:row>314</xdr:row>
      <xdr:rowOff>47618</xdr:rowOff>
    </xdr:from>
    <xdr:to>
      <xdr:col>173</xdr:col>
      <xdr:colOff>30482</xdr:colOff>
      <xdr:row>324</xdr:row>
      <xdr:rowOff>78904</xdr:rowOff>
    </xdr:to>
    <xdr:grpSp>
      <xdr:nvGrpSpPr>
        <xdr:cNvPr id="12" name="グループ化 11"/>
        <xdr:cNvGrpSpPr/>
      </xdr:nvGrpSpPr>
      <xdr:grpSpPr>
        <a:xfrm>
          <a:off x="12350996" y="27652800"/>
          <a:ext cx="2798259" cy="897195"/>
          <a:chOff x="2879682" y="27498668"/>
          <a:chExt cx="2770550" cy="888536"/>
        </a:xfrm>
      </xdr:grpSpPr>
      <xdr:grpSp>
        <xdr:nvGrpSpPr>
          <xdr:cNvPr id="3540" name="グループ化 1"/>
          <xdr:cNvGrpSpPr>
            <a:grpSpLocks/>
          </xdr:cNvGrpSpPr>
        </xdr:nvGrpSpPr>
        <xdr:grpSpPr bwMode="auto">
          <a:xfrm>
            <a:off x="2879682" y="27498668"/>
            <a:ext cx="2770550" cy="886454"/>
            <a:chOff x="2860903" y="35772612"/>
            <a:chExt cx="2752767" cy="875802"/>
          </a:xfrm>
        </xdr:grpSpPr>
        <xdr:grpSp>
          <xdr:nvGrpSpPr>
            <xdr:cNvPr id="3541" name="グループ化 31"/>
            <xdr:cNvGrpSpPr>
              <a:grpSpLocks/>
            </xdr:cNvGrpSpPr>
          </xdr:nvGrpSpPr>
          <xdr:grpSpPr bwMode="auto">
            <a:xfrm>
              <a:off x="3122159" y="35948371"/>
              <a:ext cx="2408000" cy="482373"/>
              <a:chOff x="2070308" y="2363715"/>
              <a:chExt cx="3097856" cy="695788"/>
            </a:xfrm>
          </xdr:grpSpPr>
          <xdr:cxnSp macro="">
            <xdr:nvCxnSpPr>
              <xdr:cNvPr id="3555" name="直線コネクタ 4"/>
              <xdr:cNvCxnSpPr>
                <a:cxnSpLocks noChangeShapeType="1"/>
              </xdr:cNvCxnSpPr>
            </xdr:nvCxnSpPr>
            <xdr:spPr bwMode="auto">
              <a:xfrm>
                <a:off x="2070308" y="2546901"/>
                <a:ext cx="2862204" cy="0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56" name="直線コネクタ 5"/>
              <xdr:cNvCxnSpPr>
                <a:cxnSpLocks noChangeShapeType="1"/>
              </xdr:cNvCxnSpPr>
            </xdr:nvCxnSpPr>
            <xdr:spPr bwMode="auto">
              <a:xfrm>
                <a:off x="2079833" y="2999201"/>
                <a:ext cx="2840503" cy="0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57" name="直線コネクタ 6"/>
              <xdr:cNvCxnSpPr>
                <a:cxnSpLocks noChangeShapeType="1"/>
              </xdr:cNvCxnSpPr>
            </xdr:nvCxnSpPr>
            <xdr:spPr bwMode="auto">
              <a:xfrm>
                <a:off x="5000969" y="2548489"/>
                <a:ext cx="164638" cy="0"/>
              </a:xfrm>
              <a:prstGeom prst="line">
                <a:avLst/>
              </a:prstGeom>
              <a:noFill/>
              <a:ln w="1270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58" name="直線コネクタ 8"/>
              <xdr:cNvCxnSpPr>
                <a:cxnSpLocks noChangeShapeType="1"/>
              </xdr:cNvCxnSpPr>
            </xdr:nvCxnSpPr>
            <xdr:spPr bwMode="auto">
              <a:xfrm>
                <a:off x="5003526" y="2998142"/>
                <a:ext cx="164638" cy="0"/>
              </a:xfrm>
              <a:prstGeom prst="line">
                <a:avLst/>
              </a:prstGeom>
              <a:noFill/>
              <a:ln w="1270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59" name="直線コネクタ 9"/>
              <xdr:cNvCxnSpPr>
                <a:cxnSpLocks noChangeShapeType="1"/>
              </xdr:cNvCxnSpPr>
            </xdr:nvCxnSpPr>
            <xdr:spPr bwMode="auto">
              <a:xfrm>
                <a:off x="5160983" y="2557068"/>
                <a:ext cx="0" cy="436451"/>
              </a:xfrm>
              <a:prstGeom prst="line">
                <a:avLst/>
              </a:prstGeom>
              <a:noFill/>
              <a:ln w="1270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0" name="直線コネクタ 16"/>
              <xdr:cNvCxnSpPr>
                <a:cxnSpLocks noChangeShapeType="1"/>
              </xdr:cNvCxnSpPr>
            </xdr:nvCxnSpPr>
            <xdr:spPr bwMode="auto">
              <a:xfrm>
                <a:off x="2389992" y="2505489"/>
                <a:ext cx="0" cy="554014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1" name="直線コネクタ 18"/>
              <xdr:cNvCxnSpPr>
                <a:cxnSpLocks noChangeShapeType="1"/>
              </xdr:cNvCxnSpPr>
            </xdr:nvCxnSpPr>
            <xdr:spPr bwMode="auto">
              <a:xfrm>
                <a:off x="2477451" y="2504662"/>
                <a:ext cx="0" cy="554014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2" name="直線コネクタ 19"/>
              <xdr:cNvCxnSpPr>
                <a:cxnSpLocks noChangeShapeType="1"/>
              </xdr:cNvCxnSpPr>
            </xdr:nvCxnSpPr>
            <xdr:spPr bwMode="auto">
              <a:xfrm>
                <a:off x="2571555" y="2500518"/>
                <a:ext cx="0" cy="554014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3" name="直線コネクタ 20"/>
              <xdr:cNvCxnSpPr>
                <a:cxnSpLocks noChangeShapeType="1"/>
              </xdr:cNvCxnSpPr>
            </xdr:nvCxnSpPr>
            <xdr:spPr bwMode="auto">
              <a:xfrm>
                <a:off x="2652937" y="2499691"/>
                <a:ext cx="0" cy="554014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4" name="直線コネクタ 21"/>
              <xdr:cNvCxnSpPr>
                <a:cxnSpLocks noChangeShapeType="1"/>
              </xdr:cNvCxnSpPr>
            </xdr:nvCxnSpPr>
            <xdr:spPr bwMode="auto">
              <a:xfrm>
                <a:off x="2740962" y="2503832"/>
                <a:ext cx="0" cy="554014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5" name="直線コネクタ 22"/>
              <xdr:cNvCxnSpPr>
                <a:cxnSpLocks noChangeShapeType="1"/>
              </xdr:cNvCxnSpPr>
            </xdr:nvCxnSpPr>
            <xdr:spPr bwMode="auto">
              <a:xfrm>
                <a:off x="2816266" y="2503004"/>
                <a:ext cx="0" cy="554014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6" name="直線コネクタ 23"/>
              <xdr:cNvCxnSpPr>
                <a:cxnSpLocks noChangeShapeType="1"/>
              </xdr:cNvCxnSpPr>
            </xdr:nvCxnSpPr>
            <xdr:spPr bwMode="auto">
              <a:xfrm>
                <a:off x="2908693" y="2503004"/>
                <a:ext cx="0" cy="554014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7" name="直線コネクタ 25"/>
              <xdr:cNvCxnSpPr>
                <a:cxnSpLocks noChangeShapeType="1"/>
              </xdr:cNvCxnSpPr>
            </xdr:nvCxnSpPr>
            <xdr:spPr bwMode="auto">
              <a:xfrm>
                <a:off x="2072378" y="2420918"/>
                <a:ext cx="2591204" cy="0"/>
              </a:xfrm>
              <a:prstGeom prst="line">
                <a:avLst/>
              </a:prstGeom>
              <a:noFill/>
              <a:ln w="1270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8" name="直線コネクタ 26"/>
              <xdr:cNvCxnSpPr>
                <a:cxnSpLocks noChangeShapeType="1"/>
              </xdr:cNvCxnSpPr>
            </xdr:nvCxnSpPr>
            <xdr:spPr bwMode="auto">
              <a:xfrm>
                <a:off x="2078529" y="2363715"/>
                <a:ext cx="0" cy="113702"/>
              </a:xfrm>
              <a:prstGeom prst="line">
                <a:avLst/>
              </a:prstGeom>
              <a:noFill/>
              <a:ln w="1270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3569" name="直線コネクタ 29"/>
              <xdr:cNvCxnSpPr>
                <a:cxnSpLocks noChangeShapeType="1"/>
              </xdr:cNvCxnSpPr>
            </xdr:nvCxnSpPr>
            <xdr:spPr bwMode="auto">
              <a:xfrm>
                <a:off x="4657970" y="2363715"/>
                <a:ext cx="0" cy="113702"/>
              </a:xfrm>
              <a:prstGeom prst="line">
                <a:avLst/>
              </a:prstGeom>
              <a:noFill/>
              <a:ln w="1270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  <xdr:sp macro="" textlink="">
          <xdr:nvSpPr>
            <xdr:cNvPr id="3542" name="Rectangle 218"/>
            <xdr:cNvSpPr>
              <a:spLocks noChangeArrowheads="1"/>
            </xdr:cNvSpPr>
          </xdr:nvSpPr>
          <xdr:spPr bwMode="auto">
            <a:xfrm>
              <a:off x="3823040" y="35772612"/>
              <a:ext cx="709766" cy="2542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2550</a:t>
              </a:r>
              <a:endPara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543" name="Rectangle 218"/>
            <xdr:cNvSpPr>
              <a:spLocks noChangeArrowheads="1"/>
            </xdr:cNvSpPr>
          </xdr:nvSpPr>
          <xdr:spPr bwMode="auto">
            <a:xfrm>
              <a:off x="2860903" y="36356481"/>
              <a:ext cx="709766" cy="2542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544" name="Rectangle 218"/>
            <xdr:cNvSpPr>
              <a:spLocks noChangeArrowheads="1"/>
            </xdr:cNvSpPr>
          </xdr:nvSpPr>
          <xdr:spPr bwMode="auto">
            <a:xfrm>
              <a:off x="4903904" y="36374919"/>
              <a:ext cx="709766" cy="2542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545" name="Rectangle 218"/>
            <xdr:cNvSpPr>
              <a:spLocks noChangeArrowheads="1"/>
            </xdr:cNvSpPr>
          </xdr:nvSpPr>
          <xdr:spPr bwMode="auto">
            <a:xfrm>
              <a:off x="3226822" y="36394149"/>
              <a:ext cx="709766" cy="2542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cxnSp macro="">
          <xdr:nvCxnSpPr>
            <xdr:cNvPr id="3546" name="直線コネクタ 18"/>
            <xdr:cNvCxnSpPr>
              <a:cxnSpLocks noChangeShapeType="1"/>
            </xdr:cNvCxnSpPr>
          </xdr:nvCxnSpPr>
          <xdr:spPr bwMode="auto">
            <a:xfrm>
              <a:off x="4043461" y="36042940"/>
              <a:ext cx="0" cy="378279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547" name="直線コネクタ 19"/>
            <xdr:cNvCxnSpPr>
              <a:cxnSpLocks noChangeShapeType="1"/>
            </xdr:cNvCxnSpPr>
          </xdr:nvCxnSpPr>
          <xdr:spPr bwMode="auto">
            <a:xfrm>
              <a:off x="4119661" y="36042940"/>
              <a:ext cx="0" cy="378279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548" name="直線コネクタ 20"/>
            <xdr:cNvCxnSpPr>
              <a:cxnSpLocks noChangeShapeType="1"/>
            </xdr:cNvCxnSpPr>
          </xdr:nvCxnSpPr>
          <xdr:spPr bwMode="auto">
            <a:xfrm>
              <a:off x="4185655" y="36042940"/>
              <a:ext cx="0" cy="378279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549" name="直線コネクタ 21"/>
            <xdr:cNvCxnSpPr>
              <a:cxnSpLocks noChangeShapeType="1"/>
            </xdr:cNvCxnSpPr>
          </xdr:nvCxnSpPr>
          <xdr:spPr bwMode="auto">
            <a:xfrm>
              <a:off x="4251649" y="36042940"/>
              <a:ext cx="0" cy="378279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550" name="直線コネクタ 22"/>
            <xdr:cNvCxnSpPr>
              <a:cxnSpLocks noChangeShapeType="1"/>
            </xdr:cNvCxnSpPr>
          </xdr:nvCxnSpPr>
          <xdr:spPr bwMode="auto">
            <a:xfrm>
              <a:off x="4308120" y="36042940"/>
              <a:ext cx="0" cy="378279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551" name="直線コネクタ 23"/>
            <xdr:cNvCxnSpPr>
              <a:cxnSpLocks noChangeShapeType="1"/>
            </xdr:cNvCxnSpPr>
          </xdr:nvCxnSpPr>
          <xdr:spPr bwMode="auto">
            <a:xfrm>
              <a:off x="4383638" y="36042940"/>
              <a:ext cx="0" cy="378279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552" name="直線コネクタ 24"/>
            <xdr:cNvCxnSpPr>
              <a:cxnSpLocks noChangeShapeType="1"/>
            </xdr:cNvCxnSpPr>
          </xdr:nvCxnSpPr>
          <xdr:spPr bwMode="auto">
            <a:xfrm>
              <a:off x="4450314" y="36042940"/>
              <a:ext cx="0" cy="378279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3553" name="Rectangle 218"/>
            <xdr:cNvSpPr>
              <a:spLocks noChangeArrowheads="1"/>
            </xdr:cNvSpPr>
          </xdr:nvSpPr>
          <xdr:spPr bwMode="auto">
            <a:xfrm>
              <a:off x="3898909" y="36391014"/>
              <a:ext cx="709766" cy="2542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554" name="Rectangle 218"/>
            <xdr:cNvSpPr>
              <a:spLocks noChangeArrowheads="1"/>
            </xdr:cNvSpPr>
          </xdr:nvSpPr>
          <xdr:spPr bwMode="auto">
            <a:xfrm>
              <a:off x="3695215" y="36183893"/>
              <a:ext cx="416592" cy="2542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10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900</a:t>
              </a:r>
              <a:endPara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cxnSp macro="">
        <xdr:nvCxnSpPr>
          <xdr:cNvPr id="3638" name="直線コネクタ 18"/>
          <xdr:cNvCxnSpPr>
            <a:cxnSpLocks noChangeShapeType="1"/>
          </xdr:cNvCxnSpPr>
        </xdr:nvCxnSpPr>
        <xdr:spPr bwMode="auto">
          <a:xfrm>
            <a:off x="4722718" y="27768059"/>
            <a:ext cx="0" cy="38301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639" name="直線コネクタ 19"/>
          <xdr:cNvCxnSpPr>
            <a:cxnSpLocks noChangeShapeType="1"/>
          </xdr:cNvCxnSpPr>
        </xdr:nvCxnSpPr>
        <xdr:spPr bwMode="auto">
          <a:xfrm>
            <a:off x="4799346" y="27768059"/>
            <a:ext cx="0" cy="38301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640" name="直線コネクタ 20"/>
          <xdr:cNvCxnSpPr>
            <a:cxnSpLocks noChangeShapeType="1"/>
          </xdr:cNvCxnSpPr>
        </xdr:nvCxnSpPr>
        <xdr:spPr bwMode="auto">
          <a:xfrm>
            <a:off x="4865086" y="27768059"/>
            <a:ext cx="0" cy="38301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641" name="直線コネクタ 21"/>
          <xdr:cNvCxnSpPr>
            <a:cxnSpLocks noChangeShapeType="1"/>
          </xdr:cNvCxnSpPr>
        </xdr:nvCxnSpPr>
        <xdr:spPr bwMode="auto">
          <a:xfrm>
            <a:off x="4932492" y="27768059"/>
            <a:ext cx="0" cy="38301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642" name="直線コネクタ 22"/>
          <xdr:cNvCxnSpPr>
            <a:cxnSpLocks noChangeShapeType="1"/>
          </xdr:cNvCxnSpPr>
        </xdr:nvCxnSpPr>
        <xdr:spPr bwMode="auto">
          <a:xfrm>
            <a:off x="4989130" y="27768059"/>
            <a:ext cx="0" cy="38301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643" name="直線コネクタ 23"/>
          <xdr:cNvCxnSpPr>
            <a:cxnSpLocks noChangeShapeType="1"/>
          </xdr:cNvCxnSpPr>
        </xdr:nvCxnSpPr>
        <xdr:spPr bwMode="auto">
          <a:xfrm>
            <a:off x="5065066" y="27768059"/>
            <a:ext cx="0" cy="38301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644" name="直線コネクタ 24"/>
          <xdr:cNvCxnSpPr>
            <a:cxnSpLocks noChangeShapeType="1"/>
          </xdr:cNvCxnSpPr>
        </xdr:nvCxnSpPr>
        <xdr:spPr bwMode="auto">
          <a:xfrm>
            <a:off x="5131497" y="27768059"/>
            <a:ext cx="0" cy="38301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3645" name="Rectangle 218"/>
          <xdr:cNvSpPr>
            <a:spLocks noChangeArrowheads="1"/>
          </xdr:cNvSpPr>
        </xdr:nvSpPr>
        <xdr:spPr bwMode="auto">
          <a:xfrm>
            <a:off x="4237135" y="27914518"/>
            <a:ext cx="713371" cy="2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150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657" name="Rectangle 218"/>
          <xdr:cNvSpPr>
            <a:spLocks noChangeArrowheads="1"/>
          </xdr:cNvSpPr>
        </xdr:nvSpPr>
        <xdr:spPr bwMode="auto">
          <a:xfrm>
            <a:off x="4567012" y="28129816"/>
            <a:ext cx="714234" cy="2573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D10@100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30</xdr:col>
      <xdr:colOff>19384</xdr:colOff>
      <xdr:row>200</xdr:row>
      <xdr:rowOff>3038</xdr:rowOff>
    </xdr:from>
    <xdr:to>
      <xdr:col>31</xdr:col>
      <xdr:colOff>3354</xdr:colOff>
      <xdr:row>200</xdr:row>
      <xdr:rowOff>3038</xdr:rowOff>
    </xdr:to>
    <xdr:cxnSp macro="">
      <xdr:nvCxnSpPr>
        <xdr:cNvPr id="3224" name="直線コネクタ 3223"/>
        <xdr:cNvCxnSpPr/>
      </xdr:nvCxnSpPr>
      <xdr:spPr bwMode="auto">
        <a:xfrm>
          <a:off x="2724484" y="13147538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9603</xdr:colOff>
      <xdr:row>200</xdr:row>
      <xdr:rowOff>15285</xdr:rowOff>
    </xdr:from>
    <xdr:to>
      <xdr:col>41</xdr:col>
      <xdr:colOff>1781</xdr:colOff>
      <xdr:row>208</xdr:row>
      <xdr:rowOff>20533</xdr:rowOff>
    </xdr:to>
    <xdr:grpSp>
      <xdr:nvGrpSpPr>
        <xdr:cNvPr id="3225" name="グループ化 3224"/>
        <xdr:cNvGrpSpPr/>
      </xdr:nvGrpSpPr>
      <xdr:grpSpPr>
        <a:xfrm>
          <a:off x="3092239" y="17645194"/>
          <a:ext cx="598315" cy="697975"/>
          <a:chOff x="2966880" y="13360736"/>
          <a:chExt cx="601227" cy="701306"/>
        </a:xfrm>
      </xdr:grpSpPr>
      <xdr:sp macro="" textlink="">
        <xdr:nvSpPr>
          <xdr:cNvPr id="3226" name="テキスト ボックス 3225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232" name="グループ化 3231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233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235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237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238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236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234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32</xdr:col>
      <xdr:colOff>66675</xdr:colOff>
      <xdr:row>192</xdr:row>
      <xdr:rowOff>57151</xdr:rowOff>
    </xdr:from>
    <xdr:to>
      <xdr:col>66</xdr:col>
      <xdr:colOff>47628</xdr:colOff>
      <xdr:row>198</xdr:row>
      <xdr:rowOff>18982</xdr:rowOff>
    </xdr:to>
    <xdr:grpSp>
      <xdr:nvGrpSpPr>
        <xdr:cNvPr id="11" name="グループ化 10"/>
        <xdr:cNvGrpSpPr/>
      </xdr:nvGrpSpPr>
      <xdr:grpSpPr>
        <a:xfrm>
          <a:off x="2976130" y="16994333"/>
          <a:ext cx="2925043" cy="481376"/>
          <a:chOff x="2931283" y="16768550"/>
          <a:chExt cx="2881102" cy="473622"/>
        </a:xfrm>
      </xdr:grpSpPr>
      <xdr:cxnSp macro="">
        <xdr:nvCxnSpPr>
          <xdr:cNvPr id="4158" name="直線コネクタ 4157"/>
          <xdr:cNvCxnSpPr/>
        </xdr:nvCxnSpPr>
        <xdr:spPr bwMode="auto">
          <a:xfrm>
            <a:off x="5468729" y="16820050"/>
            <a:ext cx="0" cy="350513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57" name="直線コネクタ 4156"/>
          <xdr:cNvCxnSpPr/>
        </xdr:nvCxnSpPr>
        <xdr:spPr bwMode="auto">
          <a:xfrm>
            <a:off x="4761762" y="16820050"/>
            <a:ext cx="0" cy="35369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56" name="直線コネクタ 4155"/>
          <xdr:cNvCxnSpPr/>
        </xdr:nvCxnSpPr>
        <xdr:spPr bwMode="auto">
          <a:xfrm>
            <a:off x="4005138" y="16812676"/>
            <a:ext cx="0" cy="366441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55" name="直線コネクタ 4154"/>
          <xdr:cNvCxnSpPr/>
        </xdr:nvCxnSpPr>
        <xdr:spPr bwMode="auto">
          <a:xfrm>
            <a:off x="3293253" y="16804687"/>
            <a:ext cx="0" cy="366441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0" name="グループ化 9"/>
          <xdr:cNvGrpSpPr/>
        </xdr:nvGrpSpPr>
        <xdr:grpSpPr>
          <a:xfrm>
            <a:off x="2931283" y="16768550"/>
            <a:ext cx="2881102" cy="473622"/>
            <a:chOff x="2931283" y="16768550"/>
            <a:chExt cx="2881102" cy="473622"/>
          </a:xfrm>
        </xdr:grpSpPr>
        <xdr:grpSp>
          <xdr:nvGrpSpPr>
            <xdr:cNvPr id="3055" name="グループ化 7"/>
            <xdr:cNvGrpSpPr>
              <a:grpSpLocks/>
            </xdr:cNvGrpSpPr>
          </xdr:nvGrpSpPr>
          <xdr:grpSpPr bwMode="auto">
            <a:xfrm>
              <a:off x="2931283" y="16768550"/>
              <a:ext cx="2881102" cy="473622"/>
              <a:chOff x="2821040" y="21041380"/>
              <a:chExt cx="2876553" cy="474914"/>
            </a:xfrm>
          </xdr:grpSpPr>
          <xdr:cxnSp macro="">
            <xdr:nvCxnSpPr>
              <xdr:cNvPr id="3056" name="直線コネクタ 3055"/>
              <xdr:cNvCxnSpPr/>
            </xdr:nvCxnSpPr>
            <xdr:spPr bwMode="auto">
              <a:xfrm>
                <a:off x="3067061" y="21468802"/>
                <a:ext cx="900994" cy="0"/>
              </a:xfrm>
              <a:prstGeom prst="line">
                <a:avLst/>
              </a:prstGeom>
              <a:ln w="28575">
                <a:solidFill>
                  <a:srgbClr val="7030A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3057" name="グループ化 6"/>
              <xdr:cNvGrpSpPr>
                <a:grpSpLocks/>
              </xdr:cNvGrpSpPr>
            </xdr:nvGrpSpPr>
            <xdr:grpSpPr bwMode="auto">
              <a:xfrm>
                <a:off x="2821040" y="21041380"/>
                <a:ext cx="2876553" cy="474914"/>
                <a:chOff x="2821040" y="21041380"/>
                <a:chExt cx="2876553" cy="474914"/>
              </a:xfrm>
            </xdr:grpSpPr>
            <xdr:grpSp>
              <xdr:nvGrpSpPr>
                <xdr:cNvPr id="3058" name="グループ化 9"/>
                <xdr:cNvGrpSpPr>
                  <a:grpSpLocks/>
                </xdr:cNvGrpSpPr>
              </xdr:nvGrpSpPr>
              <xdr:grpSpPr bwMode="auto">
                <a:xfrm>
                  <a:off x="2868354" y="21041380"/>
                  <a:ext cx="2829239" cy="471352"/>
                  <a:chOff x="8192913" y="856170"/>
                  <a:chExt cx="2551674" cy="419058"/>
                </a:xfrm>
              </xdr:grpSpPr>
              <xdr:grpSp>
                <xdr:nvGrpSpPr>
                  <xdr:cNvPr id="3061" name="グループ化 1141"/>
                  <xdr:cNvGrpSpPr>
                    <a:grpSpLocks/>
                  </xdr:cNvGrpSpPr>
                </xdr:nvGrpSpPr>
                <xdr:grpSpPr bwMode="auto">
                  <a:xfrm>
                    <a:off x="8192913" y="856170"/>
                    <a:ext cx="2551674" cy="382932"/>
                    <a:chOff x="16560806" y="791619"/>
                    <a:chExt cx="4085428" cy="607942"/>
                  </a:xfrm>
                </xdr:grpSpPr>
                <xdr:cxnSp macro="">
                  <xdr:nvCxnSpPr>
                    <xdr:cNvPr id="3086" name="直線コネクタ 3085"/>
                    <xdr:cNvCxnSpPr/>
                  </xdr:nvCxnSpPr>
                  <xdr:spPr>
                    <a:xfrm>
                      <a:off x="16560806" y="791619"/>
                      <a:ext cx="601200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160" name="直線コネクタ 3159"/>
                    <xdr:cNvCxnSpPr/>
                  </xdr:nvCxnSpPr>
                  <xdr:spPr>
                    <a:xfrm>
                      <a:off x="16560806" y="1167001"/>
                      <a:ext cx="4085428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195" name="直線コネクタ 3194"/>
                    <xdr:cNvCxnSpPr/>
                  </xdr:nvCxnSpPr>
                  <xdr:spPr>
                    <a:xfrm>
                      <a:off x="17804197" y="791619"/>
                      <a:ext cx="587536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196" name="直線コネクタ 3195"/>
                    <xdr:cNvCxnSpPr/>
                  </xdr:nvCxnSpPr>
                  <xdr:spPr bwMode="auto">
                    <a:xfrm>
                      <a:off x="17162006" y="792037"/>
                      <a:ext cx="0" cy="607524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197" name="直線コネクタ 3196"/>
                    <xdr:cNvCxnSpPr/>
                  </xdr:nvCxnSpPr>
                  <xdr:spPr bwMode="auto">
                    <a:xfrm>
                      <a:off x="17817861" y="800970"/>
                      <a:ext cx="0" cy="576255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01" name="直線コネクタ 3200"/>
                    <xdr:cNvCxnSpPr/>
                  </xdr:nvCxnSpPr>
                  <xdr:spPr>
                    <a:xfrm>
                      <a:off x="17886179" y="863534"/>
                      <a:ext cx="0" cy="504564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07" name="直線コネクタ 3206"/>
                    <xdr:cNvCxnSpPr/>
                  </xdr:nvCxnSpPr>
                  <xdr:spPr>
                    <a:xfrm>
                      <a:off x="17960355" y="863692"/>
                      <a:ext cx="0" cy="500099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08" name="直線コネクタ 3207"/>
                    <xdr:cNvCxnSpPr/>
                  </xdr:nvCxnSpPr>
                  <xdr:spPr>
                    <a:xfrm>
                      <a:off x="18118461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09" name="直線コネクタ 3208"/>
                    <xdr:cNvCxnSpPr/>
                  </xdr:nvCxnSpPr>
                  <xdr:spPr>
                    <a:xfrm>
                      <a:off x="17093688" y="854599"/>
                      <a:ext cx="0" cy="513499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0" name="直線コネクタ 3209"/>
                    <xdr:cNvCxnSpPr/>
                  </xdr:nvCxnSpPr>
                  <xdr:spPr>
                    <a:xfrm>
                      <a:off x="16931678" y="845824"/>
                      <a:ext cx="0" cy="517966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1" name="直線コネクタ 3210"/>
                    <xdr:cNvCxnSpPr/>
                  </xdr:nvCxnSpPr>
                  <xdr:spPr>
                    <a:xfrm>
                      <a:off x="16847742" y="845666"/>
                      <a:ext cx="0" cy="522432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2" name="直線コネクタ 3211"/>
                    <xdr:cNvCxnSpPr/>
                  </xdr:nvCxnSpPr>
                  <xdr:spPr bwMode="auto">
                    <a:xfrm>
                      <a:off x="16847742" y="1140188"/>
                      <a:ext cx="1311283" cy="0"/>
                    </a:xfrm>
                    <a:prstGeom prst="line">
                      <a:avLst/>
                    </a:prstGeom>
                    <a:ln w="28575">
                      <a:solidFill>
                        <a:srgbClr val="7030A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3" name="直線コネクタ 3212"/>
                    <xdr:cNvCxnSpPr/>
                  </xdr:nvCxnSpPr>
                  <xdr:spPr bwMode="auto">
                    <a:xfrm>
                      <a:off x="17476270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4" name="直線コネクタ 3213"/>
                    <xdr:cNvCxnSpPr/>
                  </xdr:nvCxnSpPr>
                  <xdr:spPr bwMode="auto">
                    <a:xfrm>
                      <a:off x="17571915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5" name="直線コネクタ 3214"/>
                    <xdr:cNvCxnSpPr/>
                  </xdr:nvCxnSpPr>
                  <xdr:spPr bwMode="auto">
                    <a:xfrm>
                      <a:off x="1765389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6" name="直線コネクタ 3215"/>
                    <xdr:cNvCxnSpPr/>
                  </xdr:nvCxnSpPr>
                  <xdr:spPr bwMode="auto">
                    <a:xfrm>
                      <a:off x="17749543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7" name="直線コネクタ 3216"/>
                    <xdr:cNvCxnSpPr/>
                  </xdr:nvCxnSpPr>
                  <xdr:spPr bwMode="auto">
                    <a:xfrm>
                      <a:off x="17380624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8" name="直線コネクタ 3217"/>
                    <xdr:cNvCxnSpPr/>
                  </xdr:nvCxnSpPr>
                  <xdr:spPr bwMode="auto">
                    <a:xfrm>
                      <a:off x="17298642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19" name="直線コネクタ 3218"/>
                    <xdr:cNvCxnSpPr/>
                  </xdr:nvCxnSpPr>
                  <xdr:spPr bwMode="auto">
                    <a:xfrm>
                      <a:off x="1720299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20" name="直線コネクタ 3219"/>
                    <xdr:cNvCxnSpPr/>
                  </xdr:nvCxnSpPr>
                  <xdr:spPr bwMode="auto">
                    <a:xfrm>
                      <a:off x="17522059" y="1354686"/>
                      <a:ext cx="159165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21" name="直線コネクタ 3220"/>
                    <xdr:cNvCxnSpPr/>
                  </xdr:nvCxnSpPr>
                  <xdr:spPr bwMode="auto">
                    <a:xfrm flipV="1">
                      <a:off x="17663273" y="925686"/>
                      <a:ext cx="400534" cy="435101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22" name="直線コネクタ 3221"/>
                    <xdr:cNvCxnSpPr/>
                  </xdr:nvCxnSpPr>
                  <xdr:spPr bwMode="auto">
                    <a:xfrm>
                      <a:off x="17298642" y="1354692"/>
                      <a:ext cx="136869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223" name="直線コネクタ 3222"/>
                    <xdr:cNvCxnSpPr/>
                  </xdr:nvCxnSpPr>
                  <xdr:spPr bwMode="auto">
                    <a:xfrm flipH="1" flipV="1">
                      <a:off x="16902397" y="952497"/>
                      <a:ext cx="409909" cy="402196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grpSp>
                <xdr:nvGrpSpPr>
                  <xdr:cNvPr id="3062" name="グループ化 1141"/>
                  <xdr:cNvGrpSpPr>
                    <a:grpSpLocks/>
                  </xdr:cNvGrpSpPr>
                </xdr:nvGrpSpPr>
                <xdr:grpSpPr bwMode="auto">
                  <a:xfrm>
                    <a:off x="9524222" y="856170"/>
                    <a:ext cx="1135026" cy="380003"/>
                    <a:chOff x="16564916" y="791619"/>
                    <a:chExt cx="1817264" cy="603292"/>
                  </a:xfrm>
                </xdr:grpSpPr>
                <xdr:cxnSp macro="">
                  <xdr:nvCxnSpPr>
                    <xdr:cNvPr id="3065" name="直線コネクタ 3064"/>
                    <xdr:cNvCxnSpPr/>
                  </xdr:nvCxnSpPr>
                  <xdr:spPr>
                    <a:xfrm>
                      <a:off x="16564916" y="791619"/>
                      <a:ext cx="573873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66" name="直線コネクタ 3065"/>
                    <xdr:cNvCxnSpPr/>
                  </xdr:nvCxnSpPr>
                  <xdr:spPr>
                    <a:xfrm>
                      <a:off x="17808307" y="791619"/>
                      <a:ext cx="573873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67" name="直線コネクタ 3066"/>
                    <xdr:cNvCxnSpPr/>
                  </xdr:nvCxnSpPr>
                  <xdr:spPr bwMode="auto">
                    <a:xfrm>
                      <a:off x="17138788" y="792037"/>
                      <a:ext cx="0" cy="589656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68" name="直線コネクタ 3067"/>
                    <xdr:cNvCxnSpPr/>
                  </xdr:nvCxnSpPr>
                  <xdr:spPr bwMode="auto">
                    <a:xfrm>
                      <a:off x="17808308" y="796504"/>
                      <a:ext cx="0" cy="585189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69" name="直線コネクタ 3068"/>
                    <xdr:cNvCxnSpPr/>
                  </xdr:nvCxnSpPr>
                  <xdr:spPr>
                    <a:xfrm>
                      <a:off x="17862961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0" name="直線コネクタ 3069"/>
                    <xdr:cNvCxnSpPr/>
                  </xdr:nvCxnSpPr>
                  <xdr:spPr>
                    <a:xfrm>
                      <a:off x="17937624" y="868158"/>
                      <a:ext cx="0" cy="495631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1" name="直線コネクタ 3070"/>
                    <xdr:cNvCxnSpPr/>
                  </xdr:nvCxnSpPr>
                  <xdr:spPr>
                    <a:xfrm>
                      <a:off x="18108907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2" name="直線コネクタ 3071"/>
                    <xdr:cNvCxnSpPr/>
                  </xdr:nvCxnSpPr>
                  <xdr:spPr>
                    <a:xfrm>
                      <a:off x="17084134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3" name="直線コネクタ 3072"/>
                    <xdr:cNvCxnSpPr/>
                  </xdr:nvCxnSpPr>
                  <xdr:spPr>
                    <a:xfrm>
                      <a:off x="16930908" y="868001"/>
                      <a:ext cx="0" cy="500099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4" name="直線コネクタ 3073"/>
                    <xdr:cNvCxnSpPr/>
                  </xdr:nvCxnSpPr>
                  <xdr:spPr>
                    <a:xfrm>
                      <a:off x="16851852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5" name="直線コネクタ 3074"/>
                    <xdr:cNvCxnSpPr/>
                  </xdr:nvCxnSpPr>
                  <xdr:spPr bwMode="auto">
                    <a:xfrm>
                      <a:off x="17480380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6" name="直線コネクタ 3075"/>
                    <xdr:cNvCxnSpPr/>
                  </xdr:nvCxnSpPr>
                  <xdr:spPr bwMode="auto">
                    <a:xfrm>
                      <a:off x="17562361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7" name="直線コネクタ 3076"/>
                    <xdr:cNvCxnSpPr/>
                  </xdr:nvCxnSpPr>
                  <xdr:spPr bwMode="auto">
                    <a:xfrm>
                      <a:off x="1765800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8" name="直線コネクタ 3077"/>
                    <xdr:cNvCxnSpPr/>
                  </xdr:nvCxnSpPr>
                  <xdr:spPr bwMode="auto">
                    <a:xfrm>
                      <a:off x="17726325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79" name="直線コネクタ 3078"/>
                    <xdr:cNvCxnSpPr/>
                  </xdr:nvCxnSpPr>
                  <xdr:spPr bwMode="auto">
                    <a:xfrm>
                      <a:off x="17371070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80" name="直線コネクタ 3079"/>
                    <xdr:cNvCxnSpPr/>
                  </xdr:nvCxnSpPr>
                  <xdr:spPr bwMode="auto">
                    <a:xfrm>
                      <a:off x="17275425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81" name="直線コネクタ 3080"/>
                    <xdr:cNvCxnSpPr/>
                  </xdr:nvCxnSpPr>
                  <xdr:spPr bwMode="auto">
                    <a:xfrm>
                      <a:off x="1720710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82" name="直線コネクタ 3081"/>
                    <xdr:cNvCxnSpPr/>
                  </xdr:nvCxnSpPr>
                  <xdr:spPr bwMode="auto">
                    <a:xfrm>
                      <a:off x="17521941" y="1354686"/>
                      <a:ext cx="149730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83" name="直線コネクタ 3082"/>
                    <xdr:cNvCxnSpPr/>
                  </xdr:nvCxnSpPr>
                  <xdr:spPr bwMode="auto">
                    <a:xfrm flipV="1">
                      <a:off x="17663152" y="925686"/>
                      <a:ext cx="391100" cy="424854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84" name="直線コネクタ 3083"/>
                    <xdr:cNvCxnSpPr/>
                  </xdr:nvCxnSpPr>
                  <xdr:spPr bwMode="auto">
                    <a:xfrm>
                      <a:off x="17289088" y="1354692"/>
                      <a:ext cx="137191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085" name="直線コネクタ 3084"/>
                    <xdr:cNvCxnSpPr/>
                  </xdr:nvCxnSpPr>
                  <xdr:spPr bwMode="auto">
                    <a:xfrm flipH="1" flipV="1">
                      <a:off x="16892843" y="952497"/>
                      <a:ext cx="396246" cy="402196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3063" name="直線コネクタ 3062"/>
                  <xdr:cNvCxnSpPr/>
                </xdr:nvCxnSpPr>
                <xdr:spPr bwMode="auto">
                  <a:xfrm>
                    <a:off x="10395798" y="1275228"/>
                    <a:ext cx="107702" cy="0"/>
                  </a:xfrm>
                  <a:prstGeom prst="line">
                    <a:avLst/>
                  </a:prstGeom>
                  <a:ln w="28575">
                    <a:solidFill>
                      <a:srgbClr val="00B0F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064" name="直線コネクタ 3063"/>
                  <xdr:cNvCxnSpPr/>
                </xdr:nvCxnSpPr>
                <xdr:spPr bwMode="auto">
                  <a:xfrm flipH="1">
                    <a:off x="10494967" y="1055670"/>
                    <a:ext cx="221885" cy="219558"/>
                  </a:xfrm>
                  <a:prstGeom prst="line">
                    <a:avLst/>
                  </a:prstGeom>
                  <a:ln w="28575">
                    <a:solidFill>
                      <a:srgbClr val="00B0F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3059" name="直線コネクタ 3058"/>
                <xdr:cNvCxnSpPr/>
              </xdr:nvCxnSpPr>
              <xdr:spPr bwMode="auto">
                <a:xfrm>
                  <a:off x="3057598" y="21506796"/>
                  <a:ext cx="145211" cy="0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060" name="直線コネクタ 3059"/>
                <xdr:cNvCxnSpPr/>
              </xdr:nvCxnSpPr>
              <xdr:spPr bwMode="auto">
                <a:xfrm>
                  <a:off x="2821040" y="21269338"/>
                  <a:ext cx="246021" cy="246956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3494" name="直線コネクタ 3493"/>
            <xdr:cNvCxnSpPr/>
          </xdr:nvCxnSpPr>
          <xdr:spPr bwMode="auto">
            <a:xfrm>
              <a:off x="4633699" y="17193758"/>
              <a:ext cx="902419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30" name="直線コネクタ 3529"/>
            <xdr:cNvCxnSpPr/>
          </xdr:nvCxnSpPr>
          <xdr:spPr bwMode="auto">
            <a:xfrm>
              <a:off x="4633701" y="17013782"/>
              <a:ext cx="90952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31" name="直線コネクタ 3530"/>
            <xdr:cNvCxnSpPr/>
          </xdr:nvCxnSpPr>
          <xdr:spPr bwMode="auto">
            <a:xfrm>
              <a:off x="3837156" y="17045342"/>
              <a:ext cx="1003534" cy="0"/>
            </a:xfrm>
            <a:prstGeom prst="line">
              <a:avLst/>
            </a:prstGeom>
            <a:ln w="28575">
              <a:solidFill>
                <a:srgbClr val="FF00FF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70" name="直線コネクタ 3569"/>
            <xdr:cNvCxnSpPr/>
          </xdr:nvCxnSpPr>
          <xdr:spPr bwMode="auto">
            <a:xfrm>
              <a:off x="3850946" y="17162201"/>
              <a:ext cx="1003534" cy="0"/>
            </a:xfrm>
            <a:prstGeom prst="line">
              <a:avLst/>
            </a:prstGeom>
            <a:ln w="28575">
              <a:solidFill>
                <a:srgbClr val="FF00FF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30</xdr:col>
      <xdr:colOff>8875</xdr:colOff>
      <xdr:row>227</xdr:row>
      <xdr:rowOff>10093</xdr:rowOff>
    </xdr:from>
    <xdr:to>
      <xdr:col>30</xdr:col>
      <xdr:colOff>76889</xdr:colOff>
      <xdr:row>227</xdr:row>
      <xdr:rowOff>10093</xdr:rowOff>
    </xdr:to>
    <xdr:cxnSp macro="">
      <xdr:nvCxnSpPr>
        <xdr:cNvPr id="3571" name="直線コネクタ 3570"/>
        <xdr:cNvCxnSpPr/>
      </xdr:nvCxnSpPr>
      <xdr:spPr bwMode="auto">
        <a:xfrm>
          <a:off x="2715513" y="19811444"/>
          <a:ext cx="68014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78607</xdr:colOff>
      <xdr:row>650</xdr:row>
      <xdr:rowOff>17109</xdr:rowOff>
    </xdr:from>
    <xdr:to>
      <xdr:col>30</xdr:col>
      <xdr:colOff>67138</xdr:colOff>
      <xdr:row>650</xdr:row>
      <xdr:rowOff>17208</xdr:rowOff>
    </xdr:to>
    <xdr:cxnSp macro="">
      <xdr:nvCxnSpPr>
        <xdr:cNvPr id="3743" name="直線コネクタ 3742"/>
        <xdr:cNvCxnSpPr/>
      </xdr:nvCxnSpPr>
      <xdr:spPr>
        <a:xfrm flipH="1" flipV="1">
          <a:off x="2697982" y="18267009"/>
          <a:ext cx="74256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60324</xdr:colOff>
      <xdr:row>656</xdr:row>
      <xdr:rowOff>79375</xdr:rowOff>
    </xdr:from>
    <xdr:to>
      <xdr:col>52</xdr:col>
      <xdr:colOff>7408</xdr:colOff>
      <xdr:row>659</xdr:row>
      <xdr:rowOff>79375</xdr:rowOff>
    </xdr:to>
    <xdr:sp macro="" textlink="">
      <xdr:nvSpPr>
        <xdr:cNvPr id="3744" name="Rectangle 218"/>
        <xdr:cNvSpPr>
          <a:spLocks noChangeArrowheads="1"/>
        </xdr:cNvSpPr>
      </xdr:nvSpPr>
      <xdr:spPr bwMode="auto">
        <a:xfrm>
          <a:off x="3879849" y="18843625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14816</xdr:colOff>
      <xdr:row>663</xdr:row>
      <xdr:rowOff>65616</xdr:rowOff>
    </xdr:from>
    <xdr:to>
      <xdr:col>42</xdr:col>
      <xdr:colOff>46567</xdr:colOff>
      <xdr:row>666</xdr:row>
      <xdr:rowOff>65616</xdr:rowOff>
    </xdr:to>
    <xdr:sp macro="" textlink="">
      <xdr:nvSpPr>
        <xdr:cNvPr id="3745" name="Rectangle 218"/>
        <xdr:cNvSpPr>
          <a:spLocks noChangeArrowheads="1"/>
        </xdr:cNvSpPr>
      </xdr:nvSpPr>
      <xdr:spPr bwMode="auto">
        <a:xfrm>
          <a:off x="3062816" y="19429941"/>
          <a:ext cx="71755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61383</xdr:colOff>
      <xdr:row>663</xdr:row>
      <xdr:rowOff>69849</xdr:rowOff>
    </xdr:from>
    <xdr:to>
      <xdr:col>60</xdr:col>
      <xdr:colOff>8467</xdr:colOff>
      <xdr:row>666</xdr:row>
      <xdr:rowOff>69849</xdr:rowOff>
    </xdr:to>
    <xdr:sp macro="" textlink="">
      <xdr:nvSpPr>
        <xdr:cNvPr id="3746" name="Rectangle 218"/>
        <xdr:cNvSpPr>
          <a:spLocks noChangeArrowheads="1"/>
        </xdr:cNvSpPr>
      </xdr:nvSpPr>
      <xdr:spPr bwMode="auto">
        <a:xfrm>
          <a:off x="4566708" y="19434174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84666</xdr:colOff>
      <xdr:row>664</xdr:row>
      <xdr:rowOff>14816</xdr:rowOff>
    </xdr:from>
    <xdr:to>
      <xdr:col>52</xdr:col>
      <xdr:colOff>27517</xdr:colOff>
      <xdr:row>667</xdr:row>
      <xdr:rowOff>14816</xdr:rowOff>
    </xdr:to>
    <xdr:sp macro="" textlink="">
      <xdr:nvSpPr>
        <xdr:cNvPr id="3747" name="Rectangle 218"/>
        <xdr:cNvSpPr>
          <a:spLocks noChangeArrowheads="1"/>
        </xdr:cNvSpPr>
      </xdr:nvSpPr>
      <xdr:spPr bwMode="auto">
        <a:xfrm>
          <a:off x="3904191" y="19464866"/>
          <a:ext cx="71437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19050</xdr:colOff>
      <xdr:row>650</xdr:row>
      <xdr:rowOff>9525</xdr:rowOff>
    </xdr:from>
    <xdr:to>
      <xdr:col>38</xdr:col>
      <xdr:colOff>9525</xdr:colOff>
      <xdr:row>657</xdr:row>
      <xdr:rowOff>19050</xdr:rowOff>
    </xdr:to>
    <xdr:grpSp>
      <xdr:nvGrpSpPr>
        <xdr:cNvPr id="3748" name="グループ化 3"/>
        <xdr:cNvGrpSpPr>
          <a:grpSpLocks/>
        </xdr:cNvGrpSpPr>
      </xdr:nvGrpSpPr>
      <xdr:grpSpPr bwMode="auto">
        <a:xfrm>
          <a:off x="3101686" y="56709252"/>
          <a:ext cx="336839" cy="615662"/>
          <a:chOff x="4956932" y="1715005"/>
          <a:chExt cx="367492" cy="648892"/>
        </a:xfrm>
      </xdr:grpSpPr>
      <xdr:grpSp>
        <xdr:nvGrpSpPr>
          <xdr:cNvPr id="3749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751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752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3750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30</xdr:col>
      <xdr:colOff>6804</xdr:colOff>
      <xdr:row>661</xdr:row>
      <xdr:rowOff>6804</xdr:rowOff>
    </xdr:from>
    <xdr:to>
      <xdr:col>30</xdr:col>
      <xdr:colOff>81311</xdr:colOff>
      <xdr:row>661</xdr:row>
      <xdr:rowOff>6804</xdr:rowOff>
    </xdr:to>
    <xdr:cxnSp macro="">
      <xdr:nvCxnSpPr>
        <xdr:cNvPr id="3753" name="直線コネクタ 3752"/>
        <xdr:cNvCxnSpPr/>
      </xdr:nvCxnSpPr>
      <xdr:spPr bwMode="auto">
        <a:xfrm>
          <a:off x="2711904" y="19199679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652</xdr:row>
      <xdr:rowOff>57150</xdr:rowOff>
    </xdr:from>
    <xdr:to>
      <xdr:col>60</xdr:col>
      <xdr:colOff>38100</xdr:colOff>
      <xdr:row>654</xdr:row>
      <xdr:rowOff>0</xdr:rowOff>
    </xdr:to>
    <xdr:grpSp>
      <xdr:nvGrpSpPr>
        <xdr:cNvPr id="3754" name="グループ化 5"/>
        <xdr:cNvGrpSpPr>
          <a:grpSpLocks/>
        </xdr:cNvGrpSpPr>
      </xdr:nvGrpSpPr>
      <xdr:grpSpPr bwMode="auto">
        <a:xfrm>
          <a:off x="4727864" y="56930059"/>
          <a:ext cx="644236" cy="116032"/>
          <a:chOff x="4791075" y="2762250"/>
          <a:chExt cx="714375" cy="142875"/>
        </a:xfrm>
      </xdr:grpSpPr>
      <xdr:sp macro="" textlink="">
        <xdr:nvSpPr>
          <xdr:cNvPr id="3755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56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49</xdr:col>
      <xdr:colOff>17771</xdr:colOff>
      <xdr:row>650</xdr:row>
      <xdr:rowOff>7107</xdr:rowOff>
    </xdr:from>
    <xdr:to>
      <xdr:col>50</xdr:col>
      <xdr:colOff>6302</xdr:colOff>
      <xdr:row>650</xdr:row>
      <xdr:rowOff>7206</xdr:rowOff>
    </xdr:to>
    <xdr:cxnSp macro="">
      <xdr:nvCxnSpPr>
        <xdr:cNvPr id="3757" name="直線コネクタ 3756"/>
        <xdr:cNvCxnSpPr/>
      </xdr:nvCxnSpPr>
      <xdr:spPr>
        <a:xfrm flipH="1" flipV="1">
          <a:off x="4351646" y="18257007"/>
          <a:ext cx="74256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659</xdr:row>
      <xdr:rowOff>0</xdr:rowOff>
    </xdr:from>
    <xdr:to>
      <xdr:col>60</xdr:col>
      <xdr:colOff>76200</xdr:colOff>
      <xdr:row>664</xdr:row>
      <xdr:rowOff>57150</xdr:rowOff>
    </xdr:to>
    <xdr:grpSp>
      <xdr:nvGrpSpPr>
        <xdr:cNvPr id="3758" name="グループ化 31"/>
        <xdr:cNvGrpSpPr>
          <a:grpSpLocks/>
        </xdr:cNvGrpSpPr>
      </xdr:nvGrpSpPr>
      <xdr:grpSpPr bwMode="auto">
        <a:xfrm>
          <a:off x="3178752" y="57479045"/>
          <a:ext cx="2231448" cy="490105"/>
          <a:chOff x="2070308" y="2363715"/>
          <a:chExt cx="2820993" cy="695788"/>
        </a:xfrm>
      </xdr:grpSpPr>
      <xdr:cxnSp macro="">
        <xdr:nvCxnSpPr>
          <xdr:cNvPr id="3759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0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1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2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3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4" name="直線コネクタ 16"/>
          <xdr:cNvCxnSpPr>
            <a:cxnSpLocks noChangeShapeType="1"/>
          </xdr:cNvCxnSpPr>
        </xdr:nvCxnSpPr>
        <xdr:spPr bwMode="auto">
          <a:xfrm>
            <a:off x="2937429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5" name="直線コネクタ 18"/>
          <xdr:cNvCxnSpPr>
            <a:cxnSpLocks noChangeShapeType="1"/>
          </xdr:cNvCxnSpPr>
        </xdr:nvCxnSpPr>
        <xdr:spPr bwMode="auto">
          <a:xfrm>
            <a:off x="3112223" y="2504661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6" name="直線コネクタ 19"/>
          <xdr:cNvCxnSpPr>
            <a:cxnSpLocks noChangeShapeType="1"/>
          </xdr:cNvCxnSpPr>
        </xdr:nvCxnSpPr>
        <xdr:spPr bwMode="auto">
          <a:xfrm>
            <a:off x="3282056" y="2500519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7" name="直線コネクタ 20"/>
          <xdr:cNvCxnSpPr>
            <a:cxnSpLocks noChangeShapeType="1"/>
          </xdr:cNvCxnSpPr>
        </xdr:nvCxnSpPr>
        <xdr:spPr bwMode="auto">
          <a:xfrm>
            <a:off x="3456850" y="2499690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8" name="直線コネクタ 22"/>
          <xdr:cNvCxnSpPr>
            <a:cxnSpLocks noChangeShapeType="1"/>
          </xdr:cNvCxnSpPr>
        </xdr:nvCxnSpPr>
        <xdr:spPr bwMode="auto">
          <a:xfrm>
            <a:off x="3625677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69" name="直線コネクタ 23"/>
          <xdr:cNvCxnSpPr>
            <a:cxnSpLocks noChangeShapeType="1"/>
          </xdr:cNvCxnSpPr>
        </xdr:nvCxnSpPr>
        <xdr:spPr bwMode="auto">
          <a:xfrm>
            <a:off x="3788856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70" name="直線コネクタ 24"/>
          <xdr:cNvCxnSpPr>
            <a:cxnSpLocks noChangeShapeType="1"/>
          </xdr:cNvCxnSpPr>
        </xdr:nvCxnSpPr>
        <xdr:spPr bwMode="auto">
          <a:xfrm>
            <a:off x="3957017" y="2502176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71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72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773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30</xdr:col>
      <xdr:colOff>19384</xdr:colOff>
      <xdr:row>641</xdr:row>
      <xdr:rowOff>3038</xdr:rowOff>
    </xdr:from>
    <xdr:to>
      <xdr:col>31</xdr:col>
      <xdr:colOff>3354</xdr:colOff>
      <xdr:row>641</xdr:row>
      <xdr:rowOff>3038</xdr:rowOff>
    </xdr:to>
    <xdr:cxnSp macro="">
      <xdr:nvCxnSpPr>
        <xdr:cNvPr id="3774" name="直線コネクタ 3773"/>
        <xdr:cNvCxnSpPr/>
      </xdr:nvCxnSpPr>
      <xdr:spPr bwMode="auto">
        <a:xfrm>
          <a:off x="2724484" y="17481413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9603</xdr:colOff>
      <xdr:row>641</xdr:row>
      <xdr:rowOff>15285</xdr:rowOff>
    </xdr:from>
    <xdr:to>
      <xdr:col>41</xdr:col>
      <xdr:colOff>1781</xdr:colOff>
      <xdr:row>649</xdr:row>
      <xdr:rowOff>20533</xdr:rowOff>
    </xdr:to>
    <xdr:grpSp>
      <xdr:nvGrpSpPr>
        <xdr:cNvPr id="3775" name="グループ化 3774"/>
        <xdr:cNvGrpSpPr/>
      </xdr:nvGrpSpPr>
      <xdr:grpSpPr>
        <a:xfrm>
          <a:off x="3092239" y="55935694"/>
          <a:ext cx="598315" cy="697975"/>
          <a:chOff x="2966880" y="13360736"/>
          <a:chExt cx="601227" cy="701306"/>
        </a:xfrm>
      </xdr:grpSpPr>
      <xdr:sp macro="" textlink="">
        <xdr:nvSpPr>
          <xdr:cNvPr id="3776" name="テキスト ボックス 3775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777" name="グループ化 3776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778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780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782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783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781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779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95</xdr:col>
      <xdr:colOff>6046</xdr:colOff>
      <xdr:row>673</xdr:row>
      <xdr:rowOff>87337</xdr:rowOff>
    </xdr:from>
    <xdr:to>
      <xdr:col>95</xdr:col>
      <xdr:colOff>79516</xdr:colOff>
      <xdr:row>673</xdr:row>
      <xdr:rowOff>87337</xdr:rowOff>
    </xdr:to>
    <xdr:cxnSp macro="">
      <xdr:nvCxnSpPr>
        <xdr:cNvPr id="3784" name="直線コネクタ 3783"/>
        <xdr:cNvCxnSpPr/>
      </xdr:nvCxnSpPr>
      <xdr:spPr bwMode="auto">
        <a:xfrm>
          <a:off x="6140146" y="20137462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66675</xdr:colOff>
      <xdr:row>675</xdr:row>
      <xdr:rowOff>0</xdr:rowOff>
    </xdr:from>
    <xdr:to>
      <xdr:col>104</xdr:col>
      <xdr:colOff>47625</xdr:colOff>
      <xdr:row>677</xdr:row>
      <xdr:rowOff>0</xdr:rowOff>
    </xdr:to>
    <xdr:grpSp>
      <xdr:nvGrpSpPr>
        <xdr:cNvPr id="3785" name="グループ化 700"/>
        <xdr:cNvGrpSpPr>
          <a:grpSpLocks/>
        </xdr:cNvGrpSpPr>
      </xdr:nvGrpSpPr>
      <xdr:grpSpPr bwMode="auto">
        <a:xfrm>
          <a:off x="9124084" y="58864500"/>
          <a:ext cx="67541" cy="173182"/>
          <a:chOff x="3165758" y="15657662"/>
          <a:chExt cx="67219" cy="163244"/>
        </a:xfrm>
      </xdr:grpSpPr>
      <xdr:sp macro="" textlink="">
        <xdr:nvSpPr>
          <xdr:cNvPr id="3786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787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788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111</xdr:col>
      <xdr:colOff>50402</xdr:colOff>
      <xdr:row>658</xdr:row>
      <xdr:rowOff>49609</xdr:rowOff>
    </xdr:from>
    <xdr:to>
      <xdr:col>119</xdr:col>
      <xdr:colOff>86783</xdr:colOff>
      <xdr:row>661</xdr:row>
      <xdr:rowOff>49609</xdr:rowOff>
    </xdr:to>
    <xdr:sp macro="" textlink="">
      <xdr:nvSpPr>
        <xdr:cNvPr id="3789" name="Rectangle 218"/>
        <xdr:cNvSpPr>
          <a:spLocks noChangeArrowheads="1"/>
        </xdr:cNvSpPr>
      </xdr:nvSpPr>
      <xdr:spPr bwMode="auto">
        <a:xfrm>
          <a:off x="7556102" y="18813859"/>
          <a:ext cx="72218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95</xdr:col>
      <xdr:colOff>6804</xdr:colOff>
      <xdr:row>663</xdr:row>
      <xdr:rowOff>83046</xdr:rowOff>
    </xdr:from>
    <xdr:to>
      <xdr:col>95</xdr:col>
      <xdr:colOff>81311</xdr:colOff>
      <xdr:row>663</xdr:row>
      <xdr:rowOff>83046</xdr:rowOff>
    </xdr:to>
    <xdr:cxnSp macro="">
      <xdr:nvCxnSpPr>
        <xdr:cNvPr id="3790" name="直線コネクタ 3789"/>
        <xdr:cNvCxnSpPr/>
      </xdr:nvCxnSpPr>
      <xdr:spPr bwMode="auto">
        <a:xfrm>
          <a:off x="6140904" y="19275921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9921</xdr:colOff>
      <xdr:row>665</xdr:row>
      <xdr:rowOff>79374</xdr:rowOff>
    </xdr:from>
    <xdr:to>
      <xdr:col>125</xdr:col>
      <xdr:colOff>46302</xdr:colOff>
      <xdr:row>668</xdr:row>
      <xdr:rowOff>79375</xdr:rowOff>
    </xdr:to>
    <xdr:sp macro="" textlink="">
      <xdr:nvSpPr>
        <xdr:cNvPr id="3791" name="Rectangle 218"/>
        <xdr:cNvSpPr>
          <a:spLocks noChangeArrowheads="1"/>
        </xdr:cNvSpPr>
      </xdr:nvSpPr>
      <xdr:spPr bwMode="auto">
        <a:xfrm>
          <a:off x="8029971" y="19443699"/>
          <a:ext cx="722181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525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108</xdr:col>
      <xdr:colOff>34083</xdr:colOff>
      <xdr:row>665</xdr:row>
      <xdr:rowOff>79374</xdr:rowOff>
    </xdr:from>
    <xdr:to>
      <xdr:col>116</xdr:col>
      <xdr:colOff>64186</xdr:colOff>
      <xdr:row>668</xdr:row>
      <xdr:rowOff>79375</xdr:rowOff>
    </xdr:to>
    <xdr:sp macro="" textlink="">
      <xdr:nvSpPr>
        <xdr:cNvPr id="3792" name="Rectangle 218"/>
        <xdr:cNvSpPr>
          <a:spLocks noChangeArrowheads="1"/>
        </xdr:cNvSpPr>
      </xdr:nvSpPr>
      <xdr:spPr bwMode="auto">
        <a:xfrm>
          <a:off x="7282608" y="19443699"/>
          <a:ext cx="715903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101</xdr:col>
      <xdr:colOff>79715</xdr:colOff>
      <xdr:row>666</xdr:row>
      <xdr:rowOff>55256</xdr:rowOff>
    </xdr:from>
    <xdr:to>
      <xdr:col>110</xdr:col>
      <xdr:colOff>26799</xdr:colOff>
      <xdr:row>669</xdr:row>
      <xdr:rowOff>55257</xdr:rowOff>
    </xdr:to>
    <xdr:sp macro="" textlink="">
      <xdr:nvSpPr>
        <xdr:cNvPr id="3793" name="Rectangle 218"/>
        <xdr:cNvSpPr>
          <a:spLocks noChangeArrowheads="1"/>
        </xdr:cNvSpPr>
      </xdr:nvSpPr>
      <xdr:spPr bwMode="auto">
        <a:xfrm>
          <a:off x="6728165" y="19505306"/>
          <a:ext cx="718609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103</xdr:col>
      <xdr:colOff>66675</xdr:colOff>
      <xdr:row>675</xdr:row>
      <xdr:rowOff>0</xdr:rowOff>
    </xdr:from>
    <xdr:to>
      <xdr:col>104</xdr:col>
      <xdr:colOff>47625</xdr:colOff>
      <xdr:row>677</xdr:row>
      <xdr:rowOff>0</xdr:rowOff>
    </xdr:to>
    <xdr:grpSp>
      <xdr:nvGrpSpPr>
        <xdr:cNvPr id="3794" name="グループ化 700"/>
        <xdr:cNvGrpSpPr>
          <a:grpSpLocks/>
        </xdr:cNvGrpSpPr>
      </xdr:nvGrpSpPr>
      <xdr:grpSpPr bwMode="auto">
        <a:xfrm>
          <a:off x="9124084" y="58864500"/>
          <a:ext cx="67541" cy="173182"/>
          <a:chOff x="3165758" y="15657662"/>
          <a:chExt cx="67219" cy="163244"/>
        </a:xfrm>
      </xdr:grpSpPr>
      <xdr:sp macro="" textlink="">
        <xdr:nvSpPr>
          <xdr:cNvPr id="3795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796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797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105</xdr:col>
      <xdr:colOff>47625</xdr:colOff>
      <xdr:row>673</xdr:row>
      <xdr:rowOff>47625</xdr:rowOff>
    </xdr:from>
    <xdr:to>
      <xdr:col>119</xdr:col>
      <xdr:colOff>28575</xdr:colOff>
      <xdr:row>679</xdr:row>
      <xdr:rowOff>47625</xdr:rowOff>
    </xdr:to>
    <xdr:grpSp>
      <xdr:nvGrpSpPr>
        <xdr:cNvPr id="3798" name="グループ化 702"/>
        <xdr:cNvGrpSpPr>
          <a:grpSpLocks/>
        </xdr:cNvGrpSpPr>
      </xdr:nvGrpSpPr>
      <xdr:grpSpPr bwMode="auto">
        <a:xfrm>
          <a:off x="9278216" y="58738943"/>
          <a:ext cx="1193223" cy="519546"/>
          <a:chOff x="3634154" y="15404026"/>
          <a:chExt cx="1158481" cy="504350"/>
        </a:xfrm>
      </xdr:grpSpPr>
      <xdr:sp macro="" textlink="">
        <xdr:nvSpPr>
          <xdr:cNvPr id="3799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800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01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02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03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101</xdr:col>
      <xdr:colOff>66675</xdr:colOff>
      <xdr:row>660</xdr:row>
      <xdr:rowOff>57150</xdr:rowOff>
    </xdr:from>
    <xdr:to>
      <xdr:col>126</xdr:col>
      <xdr:colOff>0</xdr:colOff>
      <xdr:row>668</xdr:row>
      <xdr:rowOff>28575</xdr:rowOff>
    </xdr:to>
    <xdr:grpSp>
      <xdr:nvGrpSpPr>
        <xdr:cNvPr id="3804" name="グループ化 2528"/>
        <xdr:cNvGrpSpPr>
          <a:grpSpLocks/>
        </xdr:cNvGrpSpPr>
      </xdr:nvGrpSpPr>
      <xdr:grpSpPr bwMode="auto">
        <a:xfrm>
          <a:off x="8950902" y="57622786"/>
          <a:ext cx="2098098" cy="664153"/>
          <a:chOff x="13451336" y="18108261"/>
          <a:chExt cx="2108441" cy="662519"/>
        </a:xfrm>
      </xdr:grpSpPr>
      <xdr:grpSp>
        <xdr:nvGrpSpPr>
          <xdr:cNvPr id="3805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808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09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0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1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2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3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4" name="直線コネクタ 18"/>
            <xdr:cNvCxnSpPr>
              <a:cxnSpLocks noChangeShapeType="1"/>
            </xdr:cNvCxnSpPr>
          </xdr:nvCxnSpPr>
          <xdr:spPr bwMode="auto">
            <a:xfrm>
              <a:off x="3085688" y="250466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5" name="直線コネクタ 19"/>
            <xdr:cNvCxnSpPr>
              <a:cxnSpLocks noChangeShapeType="1"/>
            </xdr:cNvCxnSpPr>
          </xdr:nvCxnSpPr>
          <xdr:spPr bwMode="auto">
            <a:xfrm>
              <a:off x="3222350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6" name="直線コネクタ 20"/>
            <xdr:cNvCxnSpPr>
              <a:cxnSpLocks noChangeShapeType="1"/>
            </xdr:cNvCxnSpPr>
          </xdr:nvCxnSpPr>
          <xdr:spPr bwMode="auto">
            <a:xfrm>
              <a:off x="3370609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7" name="直線コネクタ 21"/>
            <xdr:cNvCxnSpPr>
              <a:cxnSpLocks noChangeShapeType="1"/>
            </xdr:cNvCxnSpPr>
          </xdr:nvCxnSpPr>
          <xdr:spPr bwMode="auto">
            <a:xfrm>
              <a:off x="3507271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8" name="直線コネクタ 22"/>
            <xdr:cNvCxnSpPr>
              <a:cxnSpLocks noChangeShapeType="1"/>
            </xdr:cNvCxnSpPr>
          </xdr:nvCxnSpPr>
          <xdr:spPr bwMode="auto">
            <a:xfrm>
              <a:off x="3655530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19" name="直線コネクタ 23"/>
            <xdr:cNvCxnSpPr>
              <a:cxnSpLocks noChangeShapeType="1"/>
            </xdr:cNvCxnSpPr>
          </xdr:nvCxnSpPr>
          <xdr:spPr bwMode="auto">
            <a:xfrm>
              <a:off x="3808758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20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21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22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806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07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29</xdr:col>
      <xdr:colOff>78607</xdr:colOff>
      <xdr:row>706</xdr:row>
      <xdr:rowOff>17109</xdr:rowOff>
    </xdr:from>
    <xdr:to>
      <xdr:col>30</xdr:col>
      <xdr:colOff>67138</xdr:colOff>
      <xdr:row>706</xdr:row>
      <xdr:rowOff>17208</xdr:rowOff>
    </xdr:to>
    <xdr:cxnSp macro="">
      <xdr:nvCxnSpPr>
        <xdr:cNvPr id="3823" name="直線コネクタ 3822"/>
        <xdr:cNvCxnSpPr/>
      </xdr:nvCxnSpPr>
      <xdr:spPr>
        <a:xfrm flipH="1" flipV="1">
          <a:off x="2697982" y="56157459"/>
          <a:ext cx="74256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60324</xdr:colOff>
      <xdr:row>712</xdr:row>
      <xdr:rowOff>79375</xdr:rowOff>
    </xdr:from>
    <xdr:to>
      <xdr:col>52</xdr:col>
      <xdr:colOff>7408</xdr:colOff>
      <xdr:row>715</xdr:row>
      <xdr:rowOff>79375</xdr:rowOff>
    </xdr:to>
    <xdr:sp macro="" textlink="">
      <xdr:nvSpPr>
        <xdr:cNvPr id="3824" name="Rectangle 218"/>
        <xdr:cNvSpPr>
          <a:spLocks noChangeArrowheads="1"/>
        </xdr:cNvSpPr>
      </xdr:nvSpPr>
      <xdr:spPr bwMode="auto">
        <a:xfrm>
          <a:off x="3879849" y="61534675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1800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14816</xdr:colOff>
      <xdr:row>719</xdr:row>
      <xdr:rowOff>65616</xdr:rowOff>
    </xdr:from>
    <xdr:to>
      <xdr:col>42</xdr:col>
      <xdr:colOff>46567</xdr:colOff>
      <xdr:row>722</xdr:row>
      <xdr:rowOff>65616</xdr:rowOff>
    </xdr:to>
    <xdr:sp macro="" textlink="">
      <xdr:nvSpPr>
        <xdr:cNvPr id="3825" name="Rectangle 218"/>
        <xdr:cNvSpPr>
          <a:spLocks noChangeArrowheads="1"/>
        </xdr:cNvSpPr>
      </xdr:nvSpPr>
      <xdr:spPr bwMode="auto">
        <a:xfrm>
          <a:off x="3062816" y="57320391"/>
          <a:ext cx="71755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61383</xdr:colOff>
      <xdr:row>719</xdr:row>
      <xdr:rowOff>69849</xdr:rowOff>
    </xdr:from>
    <xdr:to>
      <xdr:col>60</xdr:col>
      <xdr:colOff>8467</xdr:colOff>
      <xdr:row>722</xdr:row>
      <xdr:rowOff>69849</xdr:rowOff>
    </xdr:to>
    <xdr:sp macro="" textlink="">
      <xdr:nvSpPr>
        <xdr:cNvPr id="3826" name="Rectangle 218"/>
        <xdr:cNvSpPr>
          <a:spLocks noChangeArrowheads="1"/>
        </xdr:cNvSpPr>
      </xdr:nvSpPr>
      <xdr:spPr bwMode="auto">
        <a:xfrm>
          <a:off x="4566708" y="57324624"/>
          <a:ext cx="718609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84666</xdr:colOff>
      <xdr:row>720</xdr:row>
      <xdr:rowOff>14816</xdr:rowOff>
    </xdr:from>
    <xdr:to>
      <xdr:col>52</xdr:col>
      <xdr:colOff>27517</xdr:colOff>
      <xdr:row>723</xdr:row>
      <xdr:rowOff>14816</xdr:rowOff>
    </xdr:to>
    <xdr:sp macro="" textlink="">
      <xdr:nvSpPr>
        <xdr:cNvPr id="3827" name="Rectangle 218"/>
        <xdr:cNvSpPr>
          <a:spLocks noChangeArrowheads="1"/>
        </xdr:cNvSpPr>
      </xdr:nvSpPr>
      <xdr:spPr bwMode="auto">
        <a:xfrm>
          <a:off x="3904191" y="57355316"/>
          <a:ext cx="71437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19050</xdr:colOff>
      <xdr:row>706</xdr:row>
      <xdr:rowOff>9525</xdr:rowOff>
    </xdr:from>
    <xdr:to>
      <xdr:col>38</xdr:col>
      <xdr:colOff>9525</xdr:colOff>
      <xdr:row>713</xdr:row>
      <xdr:rowOff>19050</xdr:rowOff>
    </xdr:to>
    <xdr:grpSp>
      <xdr:nvGrpSpPr>
        <xdr:cNvPr id="3828" name="グループ化 3"/>
        <xdr:cNvGrpSpPr>
          <a:grpSpLocks/>
        </xdr:cNvGrpSpPr>
      </xdr:nvGrpSpPr>
      <xdr:grpSpPr bwMode="auto">
        <a:xfrm>
          <a:off x="3101686" y="61558343"/>
          <a:ext cx="336839" cy="615662"/>
          <a:chOff x="4956932" y="1715005"/>
          <a:chExt cx="367492" cy="648892"/>
        </a:xfrm>
      </xdr:grpSpPr>
      <xdr:grpSp>
        <xdr:nvGrpSpPr>
          <xdr:cNvPr id="3829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831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832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3830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30</xdr:col>
      <xdr:colOff>6804</xdr:colOff>
      <xdr:row>717</xdr:row>
      <xdr:rowOff>6804</xdr:rowOff>
    </xdr:from>
    <xdr:to>
      <xdr:col>30</xdr:col>
      <xdr:colOff>81311</xdr:colOff>
      <xdr:row>717</xdr:row>
      <xdr:rowOff>6804</xdr:rowOff>
    </xdr:to>
    <xdr:cxnSp macro="">
      <xdr:nvCxnSpPr>
        <xdr:cNvPr id="3833" name="直線コネクタ 3832"/>
        <xdr:cNvCxnSpPr/>
      </xdr:nvCxnSpPr>
      <xdr:spPr bwMode="auto">
        <a:xfrm>
          <a:off x="2711904" y="57090129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708</xdr:row>
      <xdr:rowOff>57150</xdr:rowOff>
    </xdr:from>
    <xdr:to>
      <xdr:col>60</xdr:col>
      <xdr:colOff>38100</xdr:colOff>
      <xdr:row>710</xdr:row>
      <xdr:rowOff>0</xdr:rowOff>
    </xdr:to>
    <xdr:grpSp>
      <xdr:nvGrpSpPr>
        <xdr:cNvPr id="3834" name="グループ化 5"/>
        <xdr:cNvGrpSpPr>
          <a:grpSpLocks/>
        </xdr:cNvGrpSpPr>
      </xdr:nvGrpSpPr>
      <xdr:grpSpPr bwMode="auto">
        <a:xfrm>
          <a:off x="4727864" y="61779150"/>
          <a:ext cx="644236" cy="116032"/>
          <a:chOff x="4791075" y="2762250"/>
          <a:chExt cx="714375" cy="142875"/>
        </a:xfrm>
      </xdr:grpSpPr>
      <xdr:sp macro="" textlink="">
        <xdr:nvSpPr>
          <xdr:cNvPr id="3835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36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49</xdr:col>
      <xdr:colOff>17771</xdr:colOff>
      <xdr:row>706</xdr:row>
      <xdr:rowOff>7107</xdr:rowOff>
    </xdr:from>
    <xdr:to>
      <xdr:col>50</xdr:col>
      <xdr:colOff>6302</xdr:colOff>
      <xdr:row>706</xdr:row>
      <xdr:rowOff>7206</xdr:rowOff>
    </xdr:to>
    <xdr:cxnSp macro="">
      <xdr:nvCxnSpPr>
        <xdr:cNvPr id="3837" name="直線コネクタ 3836"/>
        <xdr:cNvCxnSpPr/>
      </xdr:nvCxnSpPr>
      <xdr:spPr>
        <a:xfrm flipH="1" flipV="1">
          <a:off x="4351646" y="56147457"/>
          <a:ext cx="74256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9525</xdr:colOff>
      <xdr:row>715</xdr:row>
      <xdr:rowOff>0</xdr:rowOff>
    </xdr:from>
    <xdr:to>
      <xdr:col>60</xdr:col>
      <xdr:colOff>76200</xdr:colOff>
      <xdr:row>720</xdr:row>
      <xdr:rowOff>57150</xdr:rowOff>
    </xdr:to>
    <xdr:grpSp>
      <xdr:nvGrpSpPr>
        <xdr:cNvPr id="3838" name="グループ化 31"/>
        <xdr:cNvGrpSpPr>
          <a:grpSpLocks/>
        </xdr:cNvGrpSpPr>
      </xdr:nvGrpSpPr>
      <xdr:grpSpPr bwMode="auto">
        <a:xfrm>
          <a:off x="3178752" y="62328136"/>
          <a:ext cx="2231448" cy="490105"/>
          <a:chOff x="2070308" y="2363715"/>
          <a:chExt cx="2820993" cy="695788"/>
        </a:xfrm>
      </xdr:grpSpPr>
      <xdr:cxnSp macro="">
        <xdr:nvCxnSpPr>
          <xdr:cNvPr id="3839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0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1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2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3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4" name="直線コネクタ 16"/>
          <xdr:cNvCxnSpPr>
            <a:cxnSpLocks noChangeShapeType="1"/>
          </xdr:cNvCxnSpPr>
        </xdr:nvCxnSpPr>
        <xdr:spPr bwMode="auto">
          <a:xfrm>
            <a:off x="2937429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5" name="直線コネクタ 18"/>
          <xdr:cNvCxnSpPr>
            <a:cxnSpLocks noChangeShapeType="1"/>
          </xdr:cNvCxnSpPr>
        </xdr:nvCxnSpPr>
        <xdr:spPr bwMode="auto">
          <a:xfrm>
            <a:off x="3112223" y="2504661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6" name="直線コネクタ 19"/>
          <xdr:cNvCxnSpPr>
            <a:cxnSpLocks noChangeShapeType="1"/>
          </xdr:cNvCxnSpPr>
        </xdr:nvCxnSpPr>
        <xdr:spPr bwMode="auto">
          <a:xfrm>
            <a:off x="3282056" y="2500519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7" name="直線コネクタ 20"/>
          <xdr:cNvCxnSpPr>
            <a:cxnSpLocks noChangeShapeType="1"/>
          </xdr:cNvCxnSpPr>
        </xdr:nvCxnSpPr>
        <xdr:spPr bwMode="auto">
          <a:xfrm>
            <a:off x="3456850" y="2499690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8" name="直線コネクタ 22"/>
          <xdr:cNvCxnSpPr>
            <a:cxnSpLocks noChangeShapeType="1"/>
          </xdr:cNvCxnSpPr>
        </xdr:nvCxnSpPr>
        <xdr:spPr bwMode="auto">
          <a:xfrm>
            <a:off x="3625677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49" name="直線コネクタ 23"/>
          <xdr:cNvCxnSpPr>
            <a:cxnSpLocks noChangeShapeType="1"/>
          </xdr:cNvCxnSpPr>
        </xdr:nvCxnSpPr>
        <xdr:spPr bwMode="auto">
          <a:xfrm>
            <a:off x="3788856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50" name="直線コネクタ 24"/>
          <xdr:cNvCxnSpPr>
            <a:cxnSpLocks noChangeShapeType="1"/>
          </xdr:cNvCxnSpPr>
        </xdr:nvCxnSpPr>
        <xdr:spPr bwMode="auto">
          <a:xfrm>
            <a:off x="3957017" y="2502176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51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52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853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30</xdr:col>
      <xdr:colOff>19384</xdr:colOff>
      <xdr:row>697</xdr:row>
      <xdr:rowOff>3038</xdr:rowOff>
    </xdr:from>
    <xdr:to>
      <xdr:col>31</xdr:col>
      <xdr:colOff>3354</xdr:colOff>
      <xdr:row>697</xdr:row>
      <xdr:rowOff>3038</xdr:rowOff>
    </xdr:to>
    <xdr:cxnSp macro="">
      <xdr:nvCxnSpPr>
        <xdr:cNvPr id="3854" name="直線コネクタ 3853"/>
        <xdr:cNvCxnSpPr/>
      </xdr:nvCxnSpPr>
      <xdr:spPr bwMode="auto">
        <a:xfrm>
          <a:off x="2724484" y="55371863"/>
          <a:ext cx="69695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9603</xdr:colOff>
      <xdr:row>697</xdr:row>
      <xdr:rowOff>15285</xdr:rowOff>
    </xdr:from>
    <xdr:to>
      <xdr:col>41</xdr:col>
      <xdr:colOff>1781</xdr:colOff>
      <xdr:row>705</xdr:row>
      <xdr:rowOff>20533</xdr:rowOff>
    </xdr:to>
    <xdr:grpSp>
      <xdr:nvGrpSpPr>
        <xdr:cNvPr id="3855" name="グループ化 3854"/>
        <xdr:cNvGrpSpPr/>
      </xdr:nvGrpSpPr>
      <xdr:grpSpPr>
        <a:xfrm>
          <a:off x="3092239" y="60784785"/>
          <a:ext cx="598315" cy="697975"/>
          <a:chOff x="2966880" y="13360736"/>
          <a:chExt cx="601227" cy="701306"/>
        </a:xfrm>
      </xdr:grpSpPr>
      <xdr:sp macro="" textlink="">
        <xdr:nvSpPr>
          <xdr:cNvPr id="3856" name="テキスト ボックス 3855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857" name="グループ化 3856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858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860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862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863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861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859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30</xdr:col>
      <xdr:colOff>6046</xdr:colOff>
      <xdr:row>738</xdr:row>
      <xdr:rowOff>87337</xdr:rowOff>
    </xdr:from>
    <xdr:to>
      <xdr:col>30</xdr:col>
      <xdr:colOff>79516</xdr:colOff>
      <xdr:row>738</xdr:row>
      <xdr:rowOff>87337</xdr:rowOff>
    </xdr:to>
    <xdr:cxnSp macro="">
      <xdr:nvCxnSpPr>
        <xdr:cNvPr id="3942" name="直線コネクタ 3941"/>
        <xdr:cNvCxnSpPr/>
      </xdr:nvCxnSpPr>
      <xdr:spPr bwMode="auto">
        <a:xfrm>
          <a:off x="8283271" y="58199362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66675</xdr:colOff>
      <xdr:row>740</xdr:row>
      <xdr:rowOff>0</xdr:rowOff>
    </xdr:from>
    <xdr:to>
      <xdr:col>39</xdr:col>
      <xdr:colOff>47625</xdr:colOff>
      <xdr:row>742</xdr:row>
      <xdr:rowOff>0</xdr:rowOff>
    </xdr:to>
    <xdr:grpSp>
      <xdr:nvGrpSpPr>
        <xdr:cNvPr id="3943" name="グループ化 700"/>
        <xdr:cNvGrpSpPr>
          <a:grpSpLocks/>
        </xdr:cNvGrpSpPr>
      </xdr:nvGrpSpPr>
      <xdr:grpSpPr bwMode="auto">
        <a:xfrm>
          <a:off x="3495675" y="64492909"/>
          <a:ext cx="67541" cy="173182"/>
          <a:chOff x="3165758" y="15657662"/>
          <a:chExt cx="67219" cy="163244"/>
        </a:xfrm>
      </xdr:grpSpPr>
      <xdr:sp macro="" textlink="">
        <xdr:nvSpPr>
          <xdr:cNvPr id="3944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45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46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46</xdr:col>
      <xdr:colOff>50402</xdr:colOff>
      <xdr:row>723</xdr:row>
      <xdr:rowOff>49609</xdr:rowOff>
    </xdr:from>
    <xdr:to>
      <xdr:col>54</xdr:col>
      <xdr:colOff>86783</xdr:colOff>
      <xdr:row>726</xdr:row>
      <xdr:rowOff>49609</xdr:rowOff>
    </xdr:to>
    <xdr:sp macro="" textlink="">
      <xdr:nvSpPr>
        <xdr:cNvPr id="3947" name="Rectangle 218"/>
        <xdr:cNvSpPr>
          <a:spLocks noChangeArrowheads="1"/>
        </xdr:cNvSpPr>
      </xdr:nvSpPr>
      <xdr:spPr bwMode="auto">
        <a:xfrm>
          <a:off x="9699227" y="56875759"/>
          <a:ext cx="722181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30</xdr:col>
      <xdr:colOff>6804</xdr:colOff>
      <xdr:row>728</xdr:row>
      <xdr:rowOff>83046</xdr:rowOff>
    </xdr:from>
    <xdr:to>
      <xdr:col>30</xdr:col>
      <xdr:colOff>81311</xdr:colOff>
      <xdr:row>728</xdr:row>
      <xdr:rowOff>83046</xdr:rowOff>
    </xdr:to>
    <xdr:cxnSp macro="">
      <xdr:nvCxnSpPr>
        <xdr:cNvPr id="3948" name="直線コネクタ 3947"/>
        <xdr:cNvCxnSpPr/>
      </xdr:nvCxnSpPr>
      <xdr:spPr bwMode="auto">
        <a:xfrm>
          <a:off x="8284029" y="57337821"/>
          <a:ext cx="74507" cy="0"/>
        </a:xfrm>
        <a:prstGeom prst="line">
          <a:avLst/>
        </a:prstGeom>
        <a:ln w="57150">
          <a:solidFill>
            <a:srgbClr val="6600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9921</xdr:colOff>
      <xdr:row>730</xdr:row>
      <xdr:rowOff>79374</xdr:rowOff>
    </xdr:from>
    <xdr:to>
      <xdr:col>60</xdr:col>
      <xdr:colOff>46302</xdr:colOff>
      <xdr:row>733</xdr:row>
      <xdr:rowOff>79375</xdr:rowOff>
    </xdr:to>
    <xdr:sp macro="" textlink="">
      <xdr:nvSpPr>
        <xdr:cNvPr id="3949" name="Rectangle 218"/>
        <xdr:cNvSpPr>
          <a:spLocks noChangeArrowheads="1"/>
        </xdr:cNvSpPr>
      </xdr:nvSpPr>
      <xdr:spPr bwMode="auto">
        <a:xfrm>
          <a:off x="10173096" y="57505599"/>
          <a:ext cx="722181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34083</xdr:colOff>
      <xdr:row>730</xdr:row>
      <xdr:rowOff>79374</xdr:rowOff>
    </xdr:from>
    <xdr:to>
      <xdr:col>51</xdr:col>
      <xdr:colOff>64186</xdr:colOff>
      <xdr:row>733</xdr:row>
      <xdr:rowOff>79375</xdr:rowOff>
    </xdr:to>
    <xdr:sp macro="" textlink="">
      <xdr:nvSpPr>
        <xdr:cNvPr id="3950" name="Rectangle 218"/>
        <xdr:cNvSpPr>
          <a:spLocks noChangeArrowheads="1"/>
        </xdr:cNvSpPr>
      </xdr:nvSpPr>
      <xdr:spPr bwMode="auto">
        <a:xfrm>
          <a:off x="3853608" y="63077724"/>
          <a:ext cx="715903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79715</xdr:colOff>
      <xdr:row>731</xdr:row>
      <xdr:rowOff>55256</xdr:rowOff>
    </xdr:from>
    <xdr:to>
      <xdr:col>45</xdr:col>
      <xdr:colOff>26799</xdr:colOff>
      <xdr:row>734</xdr:row>
      <xdr:rowOff>55257</xdr:rowOff>
    </xdr:to>
    <xdr:sp macro="" textlink="">
      <xdr:nvSpPr>
        <xdr:cNvPr id="3951" name="Rectangle 218"/>
        <xdr:cNvSpPr>
          <a:spLocks noChangeArrowheads="1"/>
        </xdr:cNvSpPr>
      </xdr:nvSpPr>
      <xdr:spPr bwMode="auto">
        <a:xfrm>
          <a:off x="8871290" y="57567206"/>
          <a:ext cx="718609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66675</xdr:colOff>
      <xdr:row>740</xdr:row>
      <xdr:rowOff>0</xdr:rowOff>
    </xdr:from>
    <xdr:to>
      <xdr:col>39</xdr:col>
      <xdr:colOff>47625</xdr:colOff>
      <xdr:row>742</xdr:row>
      <xdr:rowOff>0</xdr:rowOff>
    </xdr:to>
    <xdr:grpSp>
      <xdr:nvGrpSpPr>
        <xdr:cNvPr id="3952" name="グループ化 700"/>
        <xdr:cNvGrpSpPr>
          <a:grpSpLocks/>
        </xdr:cNvGrpSpPr>
      </xdr:nvGrpSpPr>
      <xdr:grpSpPr bwMode="auto">
        <a:xfrm>
          <a:off x="3495675" y="64492909"/>
          <a:ext cx="67541" cy="173182"/>
          <a:chOff x="3165758" y="15657662"/>
          <a:chExt cx="67219" cy="163244"/>
        </a:xfrm>
      </xdr:grpSpPr>
      <xdr:sp macro="" textlink="">
        <xdr:nvSpPr>
          <xdr:cNvPr id="3953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54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55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40</xdr:col>
      <xdr:colOff>47625</xdr:colOff>
      <xdr:row>738</xdr:row>
      <xdr:rowOff>47625</xdr:rowOff>
    </xdr:from>
    <xdr:to>
      <xdr:col>54</xdr:col>
      <xdr:colOff>28575</xdr:colOff>
      <xdr:row>744</xdr:row>
      <xdr:rowOff>47625</xdr:rowOff>
    </xdr:to>
    <xdr:grpSp>
      <xdr:nvGrpSpPr>
        <xdr:cNvPr id="3956" name="グループ化 702"/>
        <xdr:cNvGrpSpPr>
          <a:grpSpLocks/>
        </xdr:cNvGrpSpPr>
      </xdr:nvGrpSpPr>
      <xdr:grpSpPr bwMode="auto">
        <a:xfrm>
          <a:off x="3649807" y="64367352"/>
          <a:ext cx="1193223" cy="519546"/>
          <a:chOff x="3634154" y="15404026"/>
          <a:chExt cx="1158481" cy="504350"/>
        </a:xfrm>
      </xdr:grpSpPr>
      <xdr:sp macro="" textlink="">
        <xdr:nvSpPr>
          <xdr:cNvPr id="3957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958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59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60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61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36</xdr:col>
      <xdr:colOff>66675</xdr:colOff>
      <xdr:row>725</xdr:row>
      <xdr:rowOff>57150</xdr:rowOff>
    </xdr:from>
    <xdr:to>
      <xdr:col>61</xdr:col>
      <xdr:colOff>0</xdr:colOff>
      <xdr:row>733</xdr:row>
      <xdr:rowOff>28575</xdr:rowOff>
    </xdr:to>
    <xdr:grpSp>
      <xdr:nvGrpSpPr>
        <xdr:cNvPr id="3962" name="グループ化 2528"/>
        <xdr:cNvGrpSpPr>
          <a:grpSpLocks/>
        </xdr:cNvGrpSpPr>
      </xdr:nvGrpSpPr>
      <xdr:grpSpPr bwMode="auto">
        <a:xfrm>
          <a:off x="3322493" y="63251195"/>
          <a:ext cx="2098098" cy="664153"/>
          <a:chOff x="13451336" y="18108261"/>
          <a:chExt cx="2108441" cy="662519"/>
        </a:xfrm>
      </xdr:grpSpPr>
      <xdr:grpSp>
        <xdr:nvGrpSpPr>
          <xdr:cNvPr id="3963" name="グループ化 31"/>
          <xdr:cNvGrpSpPr>
            <a:grpSpLocks/>
          </xdr:cNvGrpSpPr>
        </xdr:nvGrpSpPr>
        <xdr:grpSpPr bwMode="auto">
          <a:xfrm>
            <a:off x="13996659" y="18108261"/>
            <a:ext cx="1563118" cy="494937"/>
            <a:chOff x="2929735" y="2363715"/>
            <a:chExt cx="1961566" cy="695788"/>
          </a:xfrm>
        </xdr:grpSpPr>
        <xdr:cxnSp macro="">
          <xdr:nvCxnSpPr>
            <xdr:cNvPr id="3966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67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68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69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0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1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2" name="直線コネクタ 18"/>
            <xdr:cNvCxnSpPr>
              <a:cxnSpLocks noChangeShapeType="1"/>
            </xdr:cNvCxnSpPr>
          </xdr:nvCxnSpPr>
          <xdr:spPr bwMode="auto">
            <a:xfrm>
              <a:off x="3085688" y="250466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3" name="直線コネクタ 19"/>
            <xdr:cNvCxnSpPr>
              <a:cxnSpLocks noChangeShapeType="1"/>
            </xdr:cNvCxnSpPr>
          </xdr:nvCxnSpPr>
          <xdr:spPr bwMode="auto">
            <a:xfrm>
              <a:off x="3222350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4" name="直線コネクタ 20"/>
            <xdr:cNvCxnSpPr>
              <a:cxnSpLocks noChangeShapeType="1"/>
            </xdr:cNvCxnSpPr>
          </xdr:nvCxnSpPr>
          <xdr:spPr bwMode="auto">
            <a:xfrm>
              <a:off x="3370609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5" name="直線コネクタ 21"/>
            <xdr:cNvCxnSpPr>
              <a:cxnSpLocks noChangeShapeType="1"/>
            </xdr:cNvCxnSpPr>
          </xdr:nvCxnSpPr>
          <xdr:spPr bwMode="auto">
            <a:xfrm>
              <a:off x="3507271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6" name="直線コネクタ 22"/>
            <xdr:cNvCxnSpPr>
              <a:cxnSpLocks noChangeShapeType="1"/>
            </xdr:cNvCxnSpPr>
          </xdr:nvCxnSpPr>
          <xdr:spPr bwMode="auto">
            <a:xfrm>
              <a:off x="3655530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7" name="直線コネクタ 23"/>
            <xdr:cNvCxnSpPr>
              <a:cxnSpLocks noChangeShapeType="1"/>
            </xdr:cNvCxnSpPr>
          </xdr:nvCxnSpPr>
          <xdr:spPr bwMode="auto">
            <a:xfrm>
              <a:off x="3808758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8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79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980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964" name="直線コネクタ 4"/>
          <xdr:cNvCxnSpPr>
            <a:cxnSpLocks noChangeShapeType="1"/>
          </xdr:cNvCxnSpPr>
        </xdr:nvCxnSpPr>
        <xdr:spPr bwMode="auto">
          <a:xfrm flipV="1">
            <a:off x="13451336" y="18242775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965" name="直線コネクタ 4"/>
          <xdr:cNvCxnSpPr>
            <a:cxnSpLocks noChangeShapeType="1"/>
          </xdr:cNvCxnSpPr>
        </xdr:nvCxnSpPr>
        <xdr:spPr bwMode="auto">
          <a:xfrm flipV="1">
            <a:off x="13454681" y="18558772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30</xdr:col>
      <xdr:colOff>0</xdr:colOff>
      <xdr:row>735</xdr:row>
      <xdr:rowOff>0</xdr:rowOff>
    </xdr:from>
    <xdr:to>
      <xdr:col>30</xdr:col>
      <xdr:colOff>74507</xdr:colOff>
      <xdr:row>735</xdr:row>
      <xdr:rowOff>0</xdr:rowOff>
    </xdr:to>
    <xdr:cxnSp macro="">
      <xdr:nvCxnSpPr>
        <xdr:cNvPr id="3982" name="直線コネクタ 3981"/>
        <xdr:cNvCxnSpPr/>
      </xdr:nvCxnSpPr>
      <xdr:spPr bwMode="auto">
        <a:xfrm>
          <a:off x="2705100" y="63426975"/>
          <a:ext cx="74507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53789</xdr:colOff>
      <xdr:row>285</xdr:row>
      <xdr:rowOff>81242</xdr:rowOff>
    </xdr:from>
    <xdr:to>
      <xdr:col>207</xdr:col>
      <xdr:colOff>6164</xdr:colOff>
      <xdr:row>296</xdr:row>
      <xdr:rowOff>21746</xdr:rowOff>
    </xdr:to>
    <xdr:grpSp>
      <xdr:nvGrpSpPr>
        <xdr:cNvPr id="3575" name="グループ化 3574"/>
        <xdr:cNvGrpSpPr/>
      </xdr:nvGrpSpPr>
      <xdr:grpSpPr>
        <a:xfrm>
          <a:off x="15778698" y="25123333"/>
          <a:ext cx="2290330" cy="944958"/>
          <a:chOff x="6667500" y="62271753"/>
          <a:chExt cx="2266950" cy="917097"/>
        </a:xfrm>
      </xdr:grpSpPr>
      <xdr:grpSp>
        <xdr:nvGrpSpPr>
          <xdr:cNvPr id="3864" name="グループ化 4300"/>
          <xdr:cNvGrpSpPr>
            <a:grpSpLocks/>
          </xdr:cNvGrpSpPr>
        </xdr:nvGrpSpPr>
        <xdr:grpSpPr bwMode="auto">
          <a:xfrm>
            <a:off x="6667500" y="62455425"/>
            <a:ext cx="2266950" cy="733425"/>
            <a:chOff x="11808773" y="37740569"/>
            <a:chExt cx="2377683" cy="771666"/>
          </a:xfrm>
        </xdr:grpSpPr>
        <xdr:grpSp>
          <xdr:nvGrpSpPr>
            <xdr:cNvPr id="3868" name="グループ化 2528"/>
            <xdr:cNvGrpSpPr>
              <a:grpSpLocks/>
            </xdr:cNvGrpSpPr>
          </xdr:nvGrpSpPr>
          <xdr:grpSpPr bwMode="auto">
            <a:xfrm>
              <a:off x="11850405" y="37740569"/>
              <a:ext cx="2226648" cy="515685"/>
              <a:chOff x="13406010" y="18108261"/>
              <a:chExt cx="2153768" cy="494937"/>
            </a:xfrm>
          </xdr:grpSpPr>
          <xdr:grpSp>
            <xdr:nvGrpSpPr>
              <xdr:cNvPr id="3882" name="グループ化 31"/>
              <xdr:cNvGrpSpPr>
                <a:grpSpLocks/>
              </xdr:cNvGrpSpPr>
            </xdr:nvGrpSpPr>
            <xdr:grpSpPr bwMode="auto">
              <a:xfrm>
                <a:off x="13818797" y="18108261"/>
                <a:ext cx="1740981" cy="494937"/>
                <a:chOff x="2706534" y="2363715"/>
                <a:chExt cx="2184767" cy="695788"/>
              </a:xfrm>
            </xdr:grpSpPr>
            <xdr:cxnSp macro="">
              <xdr:nvCxnSpPr>
                <xdr:cNvPr id="3884" name="直線コネクタ 4"/>
                <xdr:cNvCxnSpPr>
                  <a:cxnSpLocks noChangeShapeType="1"/>
                </xdr:cNvCxnSpPr>
              </xdr:nvCxnSpPr>
              <xdr:spPr bwMode="auto">
                <a:xfrm>
                  <a:off x="2706534" y="2546903"/>
                  <a:ext cx="1965892" cy="0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85" name="直線コネクタ 5"/>
                <xdr:cNvCxnSpPr>
                  <a:cxnSpLocks noChangeShapeType="1"/>
                </xdr:cNvCxnSpPr>
              </xdr:nvCxnSpPr>
              <xdr:spPr bwMode="auto">
                <a:xfrm>
                  <a:off x="2725493" y="2999201"/>
                  <a:ext cx="1956459" cy="0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86" name="直線コネクタ 6"/>
                <xdr:cNvCxnSpPr>
                  <a:cxnSpLocks noChangeShapeType="1"/>
                </xdr:cNvCxnSpPr>
              </xdr:nvCxnSpPr>
              <xdr:spPr bwMode="auto">
                <a:xfrm>
                  <a:off x="4724105" y="2548488"/>
                  <a:ext cx="164638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87" name="直線コネクタ 8"/>
                <xdr:cNvCxnSpPr>
                  <a:cxnSpLocks noChangeShapeType="1"/>
                </xdr:cNvCxnSpPr>
              </xdr:nvCxnSpPr>
              <xdr:spPr bwMode="auto">
                <a:xfrm>
                  <a:off x="4726663" y="2998142"/>
                  <a:ext cx="164638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88" name="直線コネクタ 9"/>
                <xdr:cNvCxnSpPr>
                  <a:cxnSpLocks noChangeShapeType="1"/>
                </xdr:cNvCxnSpPr>
              </xdr:nvCxnSpPr>
              <xdr:spPr bwMode="auto">
                <a:xfrm>
                  <a:off x="4884120" y="2557069"/>
                  <a:ext cx="0" cy="43645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89" name="直線コネクタ 16"/>
                <xdr:cNvCxnSpPr>
                  <a:cxnSpLocks noChangeShapeType="1"/>
                </xdr:cNvCxnSpPr>
              </xdr:nvCxnSpPr>
              <xdr:spPr bwMode="auto">
                <a:xfrm>
                  <a:off x="3845472" y="2505489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0" name="直線コネクタ 18"/>
                <xdr:cNvCxnSpPr>
                  <a:cxnSpLocks noChangeShapeType="1"/>
                </xdr:cNvCxnSpPr>
              </xdr:nvCxnSpPr>
              <xdr:spPr bwMode="auto">
                <a:xfrm>
                  <a:off x="3911802" y="2504661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1" name="直線コネクタ 19"/>
                <xdr:cNvCxnSpPr>
                  <a:cxnSpLocks noChangeShapeType="1"/>
                </xdr:cNvCxnSpPr>
              </xdr:nvCxnSpPr>
              <xdr:spPr bwMode="auto">
                <a:xfrm>
                  <a:off x="3987019" y="2500519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2" name="直線コネクタ 20"/>
                <xdr:cNvCxnSpPr>
                  <a:cxnSpLocks noChangeShapeType="1"/>
                </xdr:cNvCxnSpPr>
              </xdr:nvCxnSpPr>
              <xdr:spPr bwMode="auto">
                <a:xfrm>
                  <a:off x="4066999" y="2499691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3" name="直線コネクタ 21"/>
                <xdr:cNvCxnSpPr>
                  <a:cxnSpLocks noChangeShapeType="1"/>
                </xdr:cNvCxnSpPr>
              </xdr:nvCxnSpPr>
              <xdr:spPr bwMode="auto">
                <a:xfrm>
                  <a:off x="4142216" y="2503833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4" name="直線コネクタ 22"/>
                <xdr:cNvCxnSpPr>
                  <a:cxnSpLocks noChangeShapeType="1"/>
                </xdr:cNvCxnSpPr>
              </xdr:nvCxnSpPr>
              <xdr:spPr bwMode="auto">
                <a:xfrm>
                  <a:off x="4215375" y="2503004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5" name="直線コネクタ 23"/>
                <xdr:cNvCxnSpPr>
                  <a:cxnSpLocks noChangeShapeType="1"/>
                </xdr:cNvCxnSpPr>
              </xdr:nvCxnSpPr>
              <xdr:spPr bwMode="auto">
                <a:xfrm>
                  <a:off x="4293502" y="2503004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6" name="直線コネクタ 24"/>
                <xdr:cNvCxnSpPr>
                  <a:cxnSpLocks noChangeShapeType="1"/>
                </xdr:cNvCxnSpPr>
              </xdr:nvCxnSpPr>
              <xdr:spPr bwMode="auto">
                <a:xfrm>
                  <a:off x="4359836" y="2502175"/>
                  <a:ext cx="0" cy="554014"/>
                </a:xfrm>
                <a:prstGeom prst="line">
                  <a:avLst/>
                </a:prstGeom>
                <a:noFill/>
                <a:ln w="1905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7" name="直線コネクタ 25"/>
                <xdr:cNvCxnSpPr>
                  <a:cxnSpLocks noChangeShapeType="1"/>
                </xdr:cNvCxnSpPr>
              </xdr:nvCxnSpPr>
              <xdr:spPr bwMode="auto">
                <a:xfrm>
                  <a:off x="2929736" y="2420917"/>
                  <a:ext cx="1733846" cy="0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8" name="直線コネクタ 26"/>
                <xdr:cNvCxnSpPr>
                  <a:cxnSpLocks noChangeShapeType="1"/>
                </xdr:cNvCxnSpPr>
              </xdr:nvCxnSpPr>
              <xdr:spPr bwMode="auto">
                <a:xfrm>
                  <a:off x="2931661" y="2363715"/>
                  <a:ext cx="0" cy="11370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  <xdr:cxnSp macro="">
              <xdr:nvCxnSpPr>
                <xdr:cNvPr id="3899" name="直線コネクタ 29"/>
                <xdr:cNvCxnSpPr>
                  <a:cxnSpLocks noChangeShapeType="1"/>
                </xdr:cNvCxnSpPr>
              </xdr:nvCxnSpPr>
              <xdr:spPr bwMode="auto">
                <a:xfrm>
                  <a:off x="4657970" y="2363715"/>
                  <a:ext cx="0" cy="113702"/>
                </a:xfrm>
                <a:prstGeom prst="line">
                  <a:avLst/>
                </a:prstGeom>
                <a:noFill/>
                <a:ln w="12700" algn="ctr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cxnSp>
          </xdr:grpSp>
          <xdr:cxnSp macro="">
            <xdr:nvCxnSpPr>
              <xdr:cNvPr id="3883" name="直線コネクタ 4"/>
              <xdr:cNvCxnSpPr>
                <a:cxnSpLocks noChangeShapeType="1"/>
              </xdr:cNvCxnSpPr>
            </xdr:nvCxnSpPr>
            <xdr:spPr bwMode="auto">
              <a:xfrm flipV="1">
                <a:off x="13406010" y="18238942"/>
                <a:ext cx="416133" cy="159593"/>
              </a:xfrm>
              <a:prstGeom prst="line">
                <a:avLst/>
              </a:prstGeom>
              <a:noFill/>
              <a:ln w="19050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ffectLst/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  <xdr:sp macro="" textlink="">
          <xdr:nvSpPr>
            <xdr:cNvPr id="3869" name="Rectangle 218"/>
            <xdr:cNvSpPr>
              <a:spLocks noChangeArrowheads="1"/>
            </xdr:cNvSpPr>
          </xdr:nvSpPr>
          <xdr:spPr bwMode="auto">
            <a:xfrm>
              <a:off x="13427196" y="38181521"/>
              <a:ext cx="75926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600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870" name="Rectangle 218"/>
            <xdr:cNvSpPr>
              <a:spLocks noChangeArrowheads="1"/>
            </xdr:cNvSpPr>
          </xdr:nvSpPr>
          <xdr:spPr bwMode="auto">
            <a:xfrm>
              <a:off x="12368228" y="38211586"/>
              <a:ext cx="74927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871" name="Rectangle 218"/>
            <xdr:cNvSpPr>
              <a:spLocks noChangeArrowheads="1"/>
            </xdr:cNvSpPr>
          </xdr:nvSpPr>
          <xdr:spPr bwMode="auto">
            <a:xfrm>
              <a:off x="11808773" y="38241651"/>
              <a:ext cx="75926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250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cxnSp macro="">
          <xdr:nvCxnSpPr>
            <xdr:cNvPr id="3872" name="直線コネクタ 16"/>
            <xdr:cNvCxnSpPr>
              <a:cxnSpLocks noChangeShapeType="1"/>
            </xdr:cNvCxnSpPr>
          </xdr:nvCxnSpPr>
          <xdr:spPr bwMode="auto">
            <a:xfrm>
              <a:off x="12542844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73" name="直線コネクタ 18"/>
            <xdr:cNvCxnSpPr>
              <a:cxnSpLocks noChangeShapeType="1"/>
            </xdr:cNvCxnSpPr>
          </xdr:nvCxnSpPr>
          <xdr:spPr bwMode="auto">
            <a:xfrm>
              <a:off x="12599994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74" name="直線コネクタ 19"/>
            <xdr:cNvCxnSpPr>
              <a:cxnSpLocks noChangeShapeType="1"/>
            </xdr:cNvCxnSpPr>
          </xdr:nvCxnSpPr>
          <xdr:spPr bwMode="auto">
            <a:xfrm>
              <a:off x="12661278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75" name="直線コネクタ 20"/>
            <xdr:cNvCxnSpPr>
              <a:cxnSpLocks noChangeShapeType="1"/>
            </xdr:cNvCxnSpPr>
          </xdr:nvCxnSpPr>
          <xdr:spPr bwMode="auto">
            <a:xfrm>
              <a:off x="12722561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76" name="直線コネクタ 21"/>
            <xdr:cNvCxnSpPr>
              <a:cxnSpLocks noChangeShapeType="1"/>
            </xdr:cNvCxnSpPr>
          </xdr:nvCxnSpPr>
          <xdr:spPr bwMode="auto">
            <a:xfrm>
              <a:off x="12793369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77" name="直線コネクタ 22"/>
            <xdr:cNvCxnSpPr>
              <a:cxnSpLocks noChangeShapeType="1"/>
            </xdr:cNvCxnSpPr>
          </xdr:nvCxnSpPr>
          <xdr:spPr bwMode="auto">
            <a:xfrm>
              <a:off x="12850519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78" name="直線コネクタ 23"/>
            <xdr:cNvCxnSpPr>
              <a:cxnSpLocks noChangeShapeType="1"/>
            </xdr:cNvCxnSpPr>
          </xdr:nvCxnSpPr>
          <xdr:spPr bwMode="auto">
            <a:xfrm>
              <a:off x="12911804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879" name="直線コネクタ 24"/>
            <xdr:cNvCxnSpPr>
              <a:cxnSpLocks noChangeShapeType="1"/>
            </xdr:cNvCxnSpPr>
          </xdr:nvCxnSpPr>
          <xdr:spPr bwMode="auto">
            <a:xfrm>
              <a:off x="12963561" y="37839949"/>
              <a:ext cx="0" cy="411192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3880" name="Rectangle 218"/>
            <xdr:cNvSpPr>
              <a:spLocks noChangeArrowheads="1"/>
            </xdr:cNvSpPr>
          </xdr:nvSpPr>
          <xdr:spPr bwMode="auto">
            <a:xfrm>
              <a:off x="13067546" y="38221608"/>
              <a:ext cx="74927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D10@100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881" name="Rectangle 218"/>
            <xdr:cNvSpPr>
              <a:spLocks noChangeArrowheads="1"/>
            </xdr:cNvSpPr>
          </xdr:nvSpPr>
          <xdr:spPr bwMode="auto">
            <a:xfrm>
              <a:off x="12697907" y="38191543"/>
              <a:ext cx="759260" cy="27058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0" tIns="0" rIns="0" bIns="0" anchor="ctr" upright="1">
              <a:noAutofit/>
            </a:bodyPr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150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sp macro="" textlink="">
        <xdr:nvSpPr>
          <xdr:cNvPr id="3865" name="Rectangle 218"/>
          <xdr:cNvSpPr>
            <a:spLocks noChangeArrowheads="1"/>
          </xdr:cNvSpPr>
        </xdr:nvSpPr>
        <xdr:spPr bwMode="auto">
          <a:xfrm>
            <a:off x="7577587" y="62271753"/>
            <a:ext cx="718047" cy="257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3866" name="直線コネクタ 4"/>
          <xdr:cNvCxnSpPr>
            <a:cxnSpLocks noChangeShapeType="1"/>
          </xdr:cNvCxnSpPr>
        </xdr:nvCxnSpPr>
        <xdr:spPr bwMode="auto">
          <a:xfrm flipV="1">
            <a:off x="6724650" y="62903100"/>
            <a:ext cx="409575" cy="16192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3867" name="Rectangle 218"/>
          <xdr:cNvSpPr>
            <a:spLocks noChangeArrowheads="1"/>
          </xdr:cNvSpPr>
        </xdr:nvSpPr>
        <xdr:spPr bwMode="auto">
          <a:xfrm>
            <a:off x="7028790" y="62866267"/>
            <a:ext cx="423905" cy="2571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425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78</xdr:col>
      <xdr:colOff>38100</xdr:colOff>
      <xdr:row>140</xdr:row>
      <xdr:rowOff>65401</xdr:rowOff>
    </xdr:from>
    <xdr:to>
      <xdr:col>100</xdr:col>
      <xdr:colOff>0</xdr:colOff>
      <xdr:row>148</xdr:row>
      <xdr:rowOff>44115</xdr:rowOff>
    </xdr:to>
    <xdr:grpSp>
      <xdr:nvGrpSpPr>
        <xdr:cNvPr id="3904" name="グループ化 3903"/>
        <xdr:cNvGrpSpPr/>
      </xdr:nvGrpSpPr>
      <xdr:grpSpPr>
        <a:xfrm>
          <a:off x="6930736" y="12447901"/>
          <a:ext cx="1866900" cy="671441"/>
          <a:chOff x="3417849" y="12528399"/>
          <a:chExt cx="1878516" cy="675665"/>
        </a:xfrm>
      </xdr:grpSpPr>
      <xdr:cxnSp macro="">
        <xdr:nvCxnSpPr>
          <xdr:cNvPr id="3905" name="直線コネクタ 3904"/>
          <xdr:cNvCxnSpPr/>
        </xdr:nvCxnSpPr>
        <xdr:spPr bwMode="auto">
          <a:xfrm>
            <a:off x="3786652" y="12589382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06" name="直線コネクタ 3905"/>
          <xdr:cNvCxnSpPr/>
        </xdr:nvCxnSpPr>
        <xdr:spPr bwMode="auto">
          <a:xfrm>
            <a:off x="4823367" y="12600998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907" name="グループ化 2"/>
          <xdr:cNvGrpSpPr>
            <a:grpSpLocks/>
          </xdr:cNvGrpSpPr>
        </xdr:nvGrpSpPr>
        <xdr:grpSpPr bwMode="auto">
          <a:xfrm>
            <a:off x="3417849" y="12528399"/>
            <a:ext cx="1878516" cy="675665"/>
            <a:chOff x="3438525" y="12371840"/>
            <a:chExt cx="1847850" cy="672107"/>
          </a:xfrm>
        </xdr:grpSpPr>
        <xdr:cxnSp macro="">
          <xdr:nvCxnSpPr>
            <xdr:cNvPr id="3908" name="直線コネクタ 3907"/>
            <xdr:cNvCxnSpPr/>
          </xdr:nvCxnSpPr>
          <xdr:spPr bwMode="auto">
            <a:xfrm>
              <a:off x="3438525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09" name="直線コネクタ 3908"/>
            <xdr:cNvCxnSpPr/>
          </xdr:nvCxnSpPr>
          <xdr:spPr bwMode="auto">
            <a:xfrm>
              <a:off x="3438525" y="12767997"/>
              <a:ext cx="183832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0" name="直線コネクタ 3909"/>
            <xdr:cNvCxnSpPr/>
          </xdr:nvCxnSpPr>
          <xdr:spPr bwMode="auto">
            <a:xfrm>
              <a:off x="4686300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1" name="直線コネクタ 3910"/>
            <xdr:cNvCxnSpPr/>
          </xdr:nvCxnSpPr>
          <xdr:spPr bwMode="auto">
            <a:xfrm>
              <a:off x="4038600" y="12371843"/>
              <a:ext cx="0" cy="658558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2" name="直線コネクタ 3911"/>
            <xdr:cNvCxnSpPr/>
          </xdr:nvCxnSpPr>
          <xdr:spPr bwMode="auto">
            <a:xfrm>
              <a:off x="4695825" y="12371840"/>
              <a:ext cx="0" cy="672107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3" name="直線コネクタ 3912"/>
            <xdr:cNvCxnSpPr/>
          </xdr:nvCxnSpPr>
          <xdr:spPr bwMode="auto">
            <a:xfrm>
              <a:off x="3700456" y="13018431"/>
              <a:ext cx="205322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4" name="直線コネクタ 3913"/>
            <xdr:cNvCxnSpPr/>
          </xdr:nvCxnSpPr>
          <xdr:spPr bwMode="auto">
            <a:xfrm flipH="1">
              <a:off x="4981575" y="12796893"/>
              <a:ext cx="219075" cy="221538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5" name="直線コネクタ 3914"/>
            <xdr:cNvCxnSpPr/>
          </xdr:nvCxnSpPr>
          <xdr:spPr bwMode="auto">
            <a:xfrm rot="5400000" flipH="1">
              <a:off x="3489675" y="12798125"/>
              <a:ext cx="221538" cy="219075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6" name="直線コネクタ 3915"/>
            <xdr:cNvCxnSpPr/>
          </xdr:nvCxnSpPr>
          <xdr:spPr bwMode="auto">
            <a:xfrm>
              <a:off x="4743450" y="1244204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7" name="直線コネクタ 3916"/>
            <xdr:cNvCxnSpPr/>
          </xdr:nvCxnSpPr>
          <xdr:spPr bwMode="auto">
            <a:xfrm>
              <a:off x="4901553" y="1243933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8" name="直線コネクタ 3917"/>
            <xdr:cNvCxnSpPr/>
          </xdr:nvCxnSpPr>
          <xdr:spPr bwMode="auto">
            <a:xfrm>
              <a:off x="4981575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19" name="直線コネクタ 3918"/>
            <xdr:cNvCxnSpPr/>
          </xdr:nvCxnSpPr>
          <xdr:spPr bwMode="auto">
            <a:xfrm>
              <a:off x="3980552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0" name="直線コネクタ 3919"/>
            <xdr:cNvCxnSpPr/>
          </xdr:nvCxnSpPr>
          <xdr:spPr bwMode="auto">
            <a:xfrm>
              <a:off x="3891360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1" name="直線コネクタ 3920"/>
            <xdr:cNvCxnSpPr/>
          </xdr:nvCxnSpPr>
          <xdr:spPr bwMode="auto">
            <a:xfrm>
              <a:off x="3716827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2" name="直線コネクタ 3921"/>
            <xdr:cNvCxnSpPr/>
          </xdr:nvCxnSpPr>
          <xdr:spPr bwMode="auto">
            <a:xfrm>
              <a:off x="3733800" y="12739101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3" name="直線コネクタ 3922"/>
            <xdr:cNvCxnSpPr/>
          </xdr:nvCxnSpPr>
          <xdr:spPr bwMode="auto">
            <a:xfrm>
              <a:off x="43624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4" name="直線コネクタ 3923"/>
            <xdr:cNvCxnSpPr/>
          </xdr:nvCxnSpPr>
          <xdr:spPr bwMode="auto">
            <a:xfrm>
              <a:off x="44577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5" name="直線コネクタ 3924"/>
            <xdr:cNvCxnSpPr/>
          </xdr:nvCxnSpPr>
          <xdr:spPr bwMode="auto">
            <a:xfrm>
              <a:off x="4552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6" name="直線コネクタ 3925"/>
            <xdr:cNvCxnSpPr/>
          </xdr:nvCxnSpPr>
          <xdr:spPr bwMode="auto">
            <a:xfrm>
              <a:off x="46291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7" name="直線コネクタ 3926"/>
            <xdr:cNvCxnSpPr/>
          </xdr:nvCxnSpPr>
          <xdr:spPr bwMode="auto">
            <a:xfrm>
              <a:off x="42672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8" name="直線コネクタ 3927"/>
            <xdr:cNvCxnSpPr/>
          </xdr:nvCxnSpPr>
          <xdr:spPr bwMode="auto">
            <a:xfrm>
              <a:off x="4171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29" name="直線コネクタ 3928"/>
            <xdr:cNvCxnSpPr/>
          </xdr:nvCxnSpPr>
          <xdr:spPr bwMode="auto">
            <a:xfrm>
              <a:off x="40957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0" name="直線コネクタ 3929"/>
            <xdr:cNvCxnSpPr/>
          </xdr:nvCxnSpPr>
          <xdr:spPr bwMode="auto">
            <a:xfrm>
              <a:off x="4393406" y="12941377"/>
              <a:ext cx="169069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1" name="直線コネクタ 3930"/>
            <xdr:cNvCxnSpPr/>
          </xdr:nvCxnSpPr>
          <xdr:spPr bwMode="auto">
            <a:xfrm flipV="1">
              <a:off x="4543425" y="12517564"/>
              <a:ext cx="409575" cy="42428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2" name="直線コネクタ 3931"/>
            <xdr:cNvCxnSpPr/>
          </xdr:nvCxnSpPr>
          <xdr:spPr bwMode="auto">
            <a:xfrm>
              <a:off x="4181475" y="12941374"/>
              <a:ext cx="157163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3" name="直線コネクタ 3932"/>
            <xdr:cNvCxnSpPr/>
          </xdr:nvCxnSpPr>
          <xdr:spPr bwMode="auto">
            <a:xfrm flipH="1" flipV="1">
              <a:off x="3771900" y="12546459"/>
              <a:ext cx="419100" cy="394915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4" name="直線コネクタ 3933"/>
            <xdr:cNvCxnSpPr/>
          </xdr:nvCxnSpPr>
          <xdr:spPr bwMode="auto">
            <a:xfrm>
              <a:off x="3743325" y="12979903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5" name="直線コネクタ 3934"/>
            <xdr:cNvCxnSpPr/>
          </xdr:nvCxnSpPr>
          <xdr:spPr bwMode="auto">
            <a:xfrm>
              <a:off x="4833141" y="13018431"/>
              <a:ext cx="157959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78</xdr:col>
      <xdr:colOff>38100</xdr:colOff>
      <xdr:row>460</xdr:row>
      <xdr:rowOff>66675</xdr:rowOff>
    </xdr:from>
    <xdr:to>
      <xdr:col>100</xdr:col>
      <xdr:colOff>0</xdr:colOff>
      <xdr:row>468</xdr:row>
      <xdr:rowOff>45389</xdr:rowOff>
    </xdr:to>
    <xdr:grpSp>
      <xdr:nvGrpSpPr>
        <xdr:cNvPr id="3938" name="グループ化 3937"/>
        <xdr:cNvGrpSpPr/>
      </xdr:nvGrpSpPr>
      <xdr:grpSpPr>
        <a:xfrm>
          <a:off x="6930736" y="40314130"/>
          <a:ext cx="1866900" cy="671441"/>
          <a:chOff x="3417849" y="12528399"/>
          <a:chExt cx="1878516" cy="675665"/>
        </a:xfrm>
      </xdr:grpSpPr>
      <xdr:cxnSp macro="">
        <xdr:nvCxnSpPr>
          <xdr:cNvPr id="3939" name="直線コネクタ 3938"/>
          <xdr:cNvCxnSpPr/>
        </xdr:nvCxnSpPr>
        <xdr:spPr bwMode="auto">
          <a:xfrm>
            <a:off x="3786652" y="12589382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40" name="直線コネクタ 3939"/>
          <xdr:cNvCxnSpPr/>
        </xdr:nvCxnSpPr>
        <xdr:spPr bwMode="auto">
          <a:xfrm>
            <a:off x="4823367" y="12600998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941" name="グループ化 2"/>
          <xdr:cNvGrpSpPr>
            <a:grpSpLocks/>
          </xdr:cNvGrpSpPr>
        </xdr:nvGrpSpPr>
        <xdr:grpSpPr bwMode="auto">
          <a:xfrm>
            <a:off x="3417849" y="12528399"/>
            <a:ext cx="1878516" cy="675665"/>
            <a:chOff x="3438525" y="12371840"/>
            <a:chExt cx="1847850" cy="672107"/>
          </a:xfrm>
        </xdr:grpSpPr>
        <xdr:cxnSp macro="">
          <xdr:nvCxnSpPr>
            <xdr:cNvPr id="3981" name="直線コネクタ 3980"/>
            <xdr:cNvCxnSpPr/>
          </xdr:nvCxnSpPr>
          <xdr:spPr bwMode="auto">
            <a:xfrm>
              <a:off x="3438525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83" name="直線コネクタ 3982"/>
            <xdr:cNvCxnSpPr/>
          </xdr:nvCxnSpPr>
          <xdr:spPr bwMode="auto">
            <a:xfrm>
              <a:off x="3438525" y="12767997"/>
              <a:ext cx="183832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84" name="直線コネクタ 3983"/>
            <xdr:cNvCxnSpPr/>
          </xdr:nvCxnSpPr>
          <xdr:spPr bwMode="auto">
            <a:xfrm>
              <a:off x="4686300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85" name="直線コネクタ 3984"/>
            <xdr:cNvCxnSpPr/>
          </xdr:nvCxnSpPr>
          <xdr:spPr bwMode="auto">
            <a:xfrm>
              <a:off x="4038600" y="12371843"/>
              <a:ext cx="0" cy="658558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86" name="直線コネクタ 3985"/>
            <xdr:cNvCxnSpPr/>
          </xdr:nvCxnSpPr>
          <xdr:spPr bwMode="auto">
            <a:xfrm>
              <a:off x="4695825" y="12371840"/>
              <a:ext cx="0" cy="672107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87" name="直線コネクタ 3986"/>
            <xdr:cNvCxnSpPr/>
          </xdr:nvCxnSpPr>
          <xdr:spPr bwMode="auto">
            <a:xfrm>
              <a:off x="3700456" y="13018431"/>
              <a:ext cx="205322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88" name="直線コネクタ 3987"/>
            <xdr:cNvCxnSpPr/>
          </xdr:nvCxnSpPr>
          <xdr:spPr bwMode="auto">
            <a:xfrm flipH="1">
              <a:off x="4981575" y="12796893"/>
              <a:ext cx="219075" cy="221538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89" name="直線コネクタ 3988"/>
            <xdr:cNvCxnSpPr/>
          </xdr:nvCxnSpPr>
          <xdr:spPr bwMode="auto">
            <a:xfrm rot="5400000" flipH="1">
              <a:off x="3489675" y="12798125"/>
              <a:ext cx="221538" cy="219075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0" name="直線コネクタ 3989"/>
            <xdr:cNvCxnSpPr/>
          </xdr:nvCxnSpPr>
          <xdr:spPr bwMode="auto">
            <a:xfrm>
              <a:off x="4743450" y="1244204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1" name="直線コネクタ 3990"/>
            <xdr:cNvCxnSpPr/>
          </xdr:nvCxnSpPr>
          <xdr:spPr bwMode="auto">
            <a:xfrm>
              <a:off x="4901553" y="1243933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2" name="直線コネクタ 3991"/>
            <xdr:cNvCxnSpPr/>
          </xdr:nvCxnSpPr>
          <xdr:spPr bwMode="auto">
            <a:xfrm>
              <a:off x="4981575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3" name="直線コネクタ 3992"/>
            <xdr:cNvCxnSpPr/>
          </xdr:nvCxnSpPr>
          <xdr:spPr bwMode="auto">
            <a:xfrm>
              <a:off x="3980552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4" name="直線コネクタ 3993"/>
            <xdr:cNvCxnSpPr/>
          </xdr:nvCxnSpPr>
          <xdr:spPr bwMode="auto">
            <a:xfrm>
              <a:off x="3891360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5" name="直線コネクタ 3994"/>
            <xdr:cNvCxnSpPr/>
          </xdr:nvCxnSpPr>
          <xdr:spPr bwMode="auto">
            <a:xfrm>
              <a:off x="3716827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6" name="直線コネクタ 3995"/>
            <xdr:cNvCxnSpPr/>
          </xdr:nvCxnSpPr>
          <xdr:spPr bwMode="auto">
            <a:xfrm>
              <a:off x="3733800" y="12739101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7" name="直線コネクタ 3996"/>
            <xdr:cNvCxnSpPr/>
          </xdr:nvCxnSpPr>
          <xdr:spPr bwMode="auto">
            <a:xfrm>
              <a:off x="43624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8" name="直線コネクタ 3997"/>
            <xdr:cNvCxnSpPr/>
          </xdr:nvCxnSpPr>
          <xdr:spPr bwMode="auto">
            <a:xfrm>
              <a:off x="44577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99" name="直線コネクタ 3998"/>
            <xdr:cNvCxnSpPr/>
          </xdr:nvCxnSpPr>
          <xdr:spPr bwMode="auto">
            <a:xfrm>
              <a:off x="4552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0" name="直線コネクタ 3999"/>
            <xdr:cNvCxnSpPr/>
          </xdr:nvCxnSpPr>
          <xdr:spPr bwMode="auto">
            <a:xfrm>
              <a:off x="46291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1" name="直線コネクタ 4000"/>
            <xdr:cNvCxnSpPr/>
          </xdr:nvCxnSpPr>
          <xdr:spPr bwMode="auto">
            <a:xfrm>
              <a:off x="42672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2" name="直線コネクタ 4001"/>
            <xdr:cNvCxnSpPr/>
          </xdr:nvCxnSpPr>
          <xdr:spPr bwMode="auto">
            <a:xfrm>
              <a:off x="4171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3" name="直線コネクタ 4002"/>
            <xdr:cNvCxnSpPr/>
          </xdr:nvCxnSpPr>
          <xdr:spPr bwMode="auto">
            <a:xfrm>
              <a:off x="40957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4" name="直線コネクタ 4003"/>
            <xdr:cNvCxnSpPr/>
          </xdr:nvCxnSpPr>
          <xdr:spPr bwMode="auto">
            <a:xfrm>
              <a:off x="4393406" y="12941377"/>
              <a:ext cx="169069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5" name="直線コネクタ 4004"/>
            <xdr:cNvCxnSpPr/>
          </xdr:nvCxnSpPr>
          <xdr:spPr bwMode="auto">
            <a:xfrm flipV="1">
              <a:off x="4543425" y="12517564"/>
              <a:ext cx="409575" cy="42428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6" name="直線コネクタ 4005"/>
            <xdr:cNvCxnSpPr/>
          </xdr:nvCxnSpPr>
          <xdr:spPr bwMode="auto">
            <a:xfrm>
              <a:off x="4181475" y="12941374"/>
              <a:ext cx="157163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7" name="直線コネクタ 4006"/>
            <xdr:cNvCxnSpPr/>
          </xdr:nvCxnSpPr>
          <xdr:spPr bwMode="auto">
            <a:xfrm flipH="1" flipV="1">
              <a:off x="3771900" y="12546459"/>
              <a:ext cx="419100" cy="394915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8" name="直線コネクタ 4007"/>
            <xdr:cNvCxnSpPr/>
          </xdr:nvCxnSpPr>
          <xdr:spPr bwMode="auto">
            <a:xfrm>
              <a:off x="3743325" y="12979903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09" name="直線コネクタ 4008"/>
            <xdr:cNvCxnSpPr/>
          </xdr:nvCxnSpPr>
          <xdr:spPr bwMode="auto">
            <a:xfrm>
              <a:off x="4833141" y="13018431"/>
              <a:ext cx="157959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78</xdr:col>
      <xdr:colOff>19050</xdr:colOff>
      <xdr:row>190</xdr:row>
      <xdr:rowOff>57150</xdr:rowOff>
    </xdr:from>
    <xdr:to>
      <xdr:col>99</xdr:col>
      <xdr:colOff>66675</xdr:colOff>
      <xdr:row>198</xdr:row>
      <xdr:rowOff>35864</xdr:rowOff>
    </xdr:to>
    <xdr:grpSp>
      <xdr:nvGrpSpPr>
        <xdr:cNvPr id="2940" name="グループ化 2939"/>
        <xdr:cNvGrpSpPr/>
      </xdr:nvGrpSpPr>
      <xdr:grpSpPr>
        <a:xfrm>
          <a:off x="6911686" y="16821150"/>
          <a:ext cx="1866034" cy="671441"/>
          <a:chOff x="3417849" y="12528399"/>
          <a:chExt cx="1878516" cy="675665"/>
        </a:xfrm>
      </xdr:grpSpPr>
      <xdr:cxnSp macro="">
        <xdr:nvCxnSpPr>
          <xdr:cNvPr id="2993" name="直線コネクタ 2992"/>
          <xdr:cNvCxnSpPr/>
        </xdr:nvCxnSpPr>
        <xdr:spPr bwMode="auto">
          <a:xfrm>
            <a:off x="3786652" y="12589382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4" name="直線コネクタ 2993"/>
          <xdr:cNvCxnSpPr/>
        </xdr:nvCxnSpPr>
        <xdr:spPr bwMode="auto">
          <a:xfrm>
            <a:off x="4823367" y="12600998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95" name="グループ化 2"/>
          <xdr:cNvGrpSpPr>
            <a:grpSpLocks/>
          </xdr:cNvGrpSpPr>
        </xdr:nvGrpSpPr>
        <xdr:grpSpPr bwMode="auto">
          <a:xfrm>
            <a:off x="3417849" y="12528399"/>
            <a:ext cx="1878516" cy="675665"/>
            <a:chOff x="3438525" y="12371840"/>
            <a:chExt cx="1847850" cy="672107"/>
          </a:xfrm>
        </xdr:grpSpPr>
        <xdr:cxnSp macro="">
          <xdr:nvCxnSpPr>
            <xdr:cNvPr id="2996" name="直線コネクタ 2995"/>
            <xdr:cNvCxnSpPr/>
          </xdr:nvCxnSpPr>
          <xdr:spPr bwMode="auto">
            <a:xfrm>
              <a:off x="3438525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直線コネクタ 2996"/>
            <xdr:cNvCxnSpPr/>
          </xdr:nvCxnSpPr>
          <xdr:spPr bwMode="auto">
            <a:xfrm>
              <a:off x="3438525" y="12767997"/>
              <a:ext cx="183832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8" name="直線コネクタ 2997"/>
            <xdr:cNvCxnSpPr/>
          </xdr:nvCxnSpPr>
          <xdr:spPr bwMode="auto">
            <a:xfrm>
              <a:off x="4686300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9" name="直線コネクタ 2998"/>
            <xdr:cNvCxnSpPr/>
          </xdr:nvCxnSpPr>
          <xdr:spPr bwMode="auto">
            <a:xfrm>
              <a:off x="4038600" y="12371843"/>
              <a:ext cx="0" cy="658558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直線コネクタ 3157"/>
            <xdr:cNvCxnSpPr/>
          </xdr:nvCxnSpPr>
          <xdr:spPr bwMode="auto">
            <a:xfrm>
              <a:off x="4695825" y="12371840"/>
              <a:ext cx="0" cy="672107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9" name="直線コネクタ 3158"/>
            <xdr:cNvCxnSpPr/>
          </xdr:nvCxnSpPr>
          <xdr:spPr bwMode="auto">
            <a:xfrm>
              <a:off x="3700456" y="13018431"/>
              <a:ext cx="205322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2" name="直線コネクタ 3161"/>
            <xdr:cNvCxnSpPr/>
          </xdr:nvCxnSpPr>
          <xdr:spPr bwMode="auto">
            <a:xfrm flipH="1">
              <a:off x="4981575" y="12796893"/>
              <a:ext cx="219075" cy="221538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3" name="直線コネクタ 3162"/>
            <xdr:cNvCxnSpPr/>
          </xdr:nvCxnSpPr>
          <xdr:spPr bwMode="auto">
            <a:xfrm rot="5400000" flipH="1">
              <a:off x="3489675" y="12798125"/>
              <a:ext cx="221538" cy="219075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4" name="直線コネクタ 3163"/>
            <xdr:cNvCxnSpPr/>
          </xdr:nvCxnSpPr>
          <xdr:spPr bwMode="auto">
            <a:xfrm>
              <a:off x="4743450" y="1244204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5" name="直線コネクタ 3164"/>
            <xdr:cNvCxnSpPr/>
          </xdr:nvCxnSpPr>
          <xdr:spPr bwMode="auto">
            <a:xfrm>
              <a:off x="4901553" y="1243933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6" name="直線コネクタ 3165"/>
            <xdr:cNvCxnSpPr/>
          </xdr:nvCxnSpPr>
          <xdr:spPr bwMode="auto">
            <a:xfrm>
              <a:off x="4981575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7" name="直線コネクタ 3166"/>
            <xdr:cNvCxnSpPr/>
          </xdr:nvCxnSpPr>
          <xdr:spPr bwMode="auto">
            <a:xfrm>
              <a:off x="3980552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8" name="直線コネクタ 3167"/>
            <xdr:cNvCxnSpPr/>
          </xdr:nvCxnSpPr>
          <xdr:spPr bwMode="auto">
            <a:xfrm>
              <a:off x="3891360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9" name="直線コネクタ 3168"/>
            <xdr:cNvCxnSpPr/>
          </xdr:nvCxnSpPr>
          <xdr:spPr bwMode="auto">
            <a:xfrm>
              <a:off x="3716827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0" name="直線コネクタ 3169"/>
            <xdr:cNvCxnSpPr/>
          </xdr:nvCxnSpPr>
          <xdr:spPr bwMode="auto">
            <a:xfrm>
              <a:off x="3733800" y="12739101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1" name="直線コネクタ 3170"/>
            <xdr:cNvCxnSpPr/>
          </xdr:nvCxnSpPr>
          <xdr:spPr bwMode="auto">
            <a:xfrm>
              <a:off x="43624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2" name="直線コネクタ 3171"/>
            <xdr:cNvCxnSpPr/>
          </xdr:nvCxnSpPr>
          <xdr:spPr bwMode="auto">
            <a:xfrm>
              <a:off x="44577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3" name="直線コネクタ 3172"/>
            <xdr:cNvCxnSpPr/>
          </xdr:nvCxnSpPr>
          <xdr:spPr bwMode="auto">
            <a:xfrm>
              <a:off x="4552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4" name="直線コネクタ 3173"/>
            <xdr:cNvCxnSpPr/>
          </xdr:nvCxnSpPr>
          <xdr:spPr bwMode="auto">
            <a:xfrm>
              <a:off x="46291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5" name="直線コネクタ 3174"/>
            <xdr:cNvCxnSpPr/>
          </xdr:nvCxnSpPr>
          <xdr:spPr bwMode="auto">
            <a:xfrm>
              <a:off x="42672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6" name="直線コネクタ 3175"/>
            <xdr:cNvCxnSpPr/>
          </xdr:nvCxnSpPr>
          <xdr:spPr bwMode="auto">
            <a:xfrm>
              <a:off x="4171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7" name="直線コネクタ 3176"/>
            <xdr:cNvCxnSpPr/>
          </xdr:nvCxnSpPr>
          <xdr:spPr bwMode="auto">
            <a:xfrm>
              <a:off x="40957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8" name="直線コネクタ 3177"/>
            <xdr:cNvCxnSpPr/>
          </xdr:nvCxnSpPr>
          <xdr:spPr bwMode="auto">
            <a:xfrm>
              <a:off x="4393406" y="12941377"/>
              <a:ext cx="169069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9" name="直線コネクタ 3178"/>
            <xdr:cNvCxnSpPr/>
          </xdr:nvCxnSpPr>
          <xdr:spPr bwMode="auto">
            <a:xfrm flipV="1">
              <a:off x="4543425" y="12517564"/>
              <a:ext cx="409575" cy="42428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0" name="直線コネクタ 3179"/>
            <xdr:cNvCxnSpPr/>
          </xdr:nvCxnSpPr>
          <xdr:spPr bwMode="auto">
            <a:xfrm>
              <a:off x="4181475" y="12941374"/>
              <a:ext cx="157163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1" name="直線コネクタ 3180"/>
            <xdr:cNvCxnSpPr/>
          </xdr:nvCxnSpPr>
          <xdr:spPr bwMode="auto">
            <a:xfrm flipH="1" flipV="1">
              <a:off x="3771900" y="12546459"/>
              <a:ext cx="419100" cy="394915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2" name="直線コネクタ 3181"/>
            <xdr:cNvCxnSpPr/>
          </xdr:nvCxnSpPr>
          <xdr:spPr bwMode="auto">
            <a:xfrm>
              <a:off x="3743325" y="12979903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3" name="直線コネクタ 3182"/>
            <xdr:cNvCxnSpPr/>
          </xdr:nvCxnSpPr>
          <xdr:spPr bwMode="auto">
            <a:xfrm>
              <a:off x="4833141" y="13018431"/>
              <a:ext cx="157959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72</xdr:col>
      <xdr:colOff>62408</xdr:colOff>
      <xdr:row>242</xdr:row>
      <xdr:rowOff>56876</xdr:rowOff>
    </xdr:from>
    <xdr:to>
      <xdr:col>106</xdr:col>
      <xdr:colOff>39900</xdr:colOff>
      <xdr:row>248</xdr:row>
      <xdr:rowOff>18996</xdr:rowOff>
    </xdr:to>
    <xdr:grpSp>
      <xdr:nvGrpSpPr>
        <xdr:cNvPr id="4096" name="グループ化 4095"/>
        <xdr:cNvGrpSpPr/>
      </xdr:nvGrpSpPr>
      <xdr:grpSpPr>
        <a:xfrm>
          <a:off x="6435499" y="21375558"/>
          <a:ext cx="2921583" cy="481665"/>
          <a:chOff x="3099984" y="22162424"/>
          <a:chExt cx="3032681" cy="501271"/>
        </a:xfrm>
      </xdr:grpSpPr>
      <xdr:cxnSp macro="">
        <xdr:nvCxnSpPr>
          <xdr:cNvPr id="4097" name="直線コネクタ 4096"/>
          <xdr:cNvCxnSpPr/>
        </xdr:nvCxnSpPr>
        <xdr:spPr bwMode="auto">
          <a:xfrm>
            <a:off x="5770612" y="22221678"/>
            <a:ext cx="0" cy="370634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98" name="直線コネクタ 4097"/>
          <xdr:cNvCxnSpPr/>
        </xdr:nvCxnSpPr>
        <xdr:spPr bwMode="auto">
          <a:xfrm>
            <a:off x="5027212" y="22218856"/>
            <a:ext cx="0" cy="373975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99" name="直線コネクタ 4098"/>
          <xdr:cNvCxnSpPr/>
        </xdr:nvCxnSpPr>
        <xdr:spPr bwMode="auto">
          <a:xfrm>
            <a:off x="4230513" y="22218856"/>
            <a:ext cx="0" cy="373974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00" name="直線コネクタ 4099"/>
          <xdr:cNvCxnSpPr/>
        </xdr:nvCxnSpPr>
        <xdr:spPr bwMode="auto">
          <a:xfrm>
            <a:off x="3416980" y="22201926"/>
            <a:ext cx="0" cy="387336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4101" name="グループ化 7"/>
          <xdr:cNvGrpSpPr>
            <a:grpSpLocks/>
          </xdr:cNvGrpSpPr>
        </xdr:nvGrpSpPr>
        <xdr:grpSpPr bwMode="auto">
          <a:xfrm>
            <a:off x="3099984" y="22162424"/>
            <a:ext cx="3032681" cy="501271"/>
            <a:chOff x="2821040" y="21041379"/>
            <a:chExt cx="2876553" cy="474915"/>
          </a:xfrm>
        </xdr:grpSpPr>
        <xdr:cxnSp macro="">
          <xdr:nvCxnSpPr>
            <xdr:cNvPr id="4102" name="直線コネクタ 4101"/>
            <xdr:cNvCxnSpPr/>
          </xdr:nvCxnSpPr>
          <xdr:spPr bwMode="auto">
            <a:xfrm>
              <a:off x="3067061" y="21468802"/>
              <a:ext cx="2356122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4103" name="グループ化 6"/>
            <xdr:cNvGrpSpPr>
              <a:grpSpLocks/>
            </xdr:cNvGrpSpPr>
          </xdr:nvGrpSpPr>
          <xdr:grpSpPr bwMode="auto">
            <a:xfrm>
              <a:off x="2821040" y="21041379"/>
              <a:ext cx="2876553" cy="474915"/>
              <a:chOff x="2821040" y="21041379"/>
              <a:chExt cx="2876553" cy="474915"/>
            </a:xfrm>
          </xdr:grpSpPr>
          <xdr:grpSp>
            <xdr:nvGrpSpPr>
              <xdr:cNvPr id="4104" name="グループ化 9"/>
              <xdr:cNvGrpSpPr>
                <a:grpSpLocks/>
              </xdr:cNvGrpSpPr>
            </xdr:nvGrpSpPr>
            <xdr:grpSpPr bwMode="auto">
              <a:xfrm>
                <a:off x="2868354" y="21041379"/>
                <a:ext cx="2829239" cy="474915"/>
                <a:chOff x="8192913" y="856170"/>
                <a:chExt cx="2551674" cy="422226"/>
              </a:xfrm>
            </xdr:grpSpPr>
            <xdr:grpSp>
              <xdr:nvGrpSpPr>
                <xdr:cNvPr id="4107" name="グループ化 1141"/>
                <xdr:cNvGrpSpPr>
                  <a:grpSpLocks/>
                </xdr:cNvGrpSpPr>
              </xdr:nvGrpSpPr>
              <xdr:grpSpPr bwMode="auto">
                <a:xfrm>
                  <a:off x="8192913" y="856170"/>
                  <a:ext cx="2551674" cy="382932"/>
                  <a:chOff x="16560806" y="791619"/>
                  <a:chExt cx="4085428" cy="607942"/>
                </a:xfrm>
              </xdr:grpSpPr>
              <xdr:cxnSp macro="">
                <xdr:nvCxnSpPr>
                  <xdr:cNvPr id="4132" name="直線コネクタ 4131"/>
                  <xdr:cNvCxnSpPr/>
                </xdr:nvCxnSpPr>
                <xdr:spPr>
                  <a:xfrm>
                    <a:off x="16560806" y="791619"/>
                    <a:ext cx="601200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3" name="直線コネクタ 4132"/>
                  <xdr:cNvCxnSpPr/>
                </xdr:nvCxnSpPr>
                <xdr:spPr>
                  <a:xfrm>
                    <a:off x="16560806" y="1167001"/>
                    <a:ext cx="4085428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4" name="直線コネクタ 4133"/>
                  <xdr:cNvCxnSpPr/>
                </xdr:nvCxnSpPr>
                <xdr:spPr>
                  <a:xfrm>
                    <a:off x="17804197" y="791619"/>
                    <a:ext cx="587536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5" name="直線コネクタ 4134"/>
                  <xdr:cNvCxnSpPr/>
                </xdr:nvCxnSpPr>
                <xdr:spPr bwMode="auto">
                  <a:xfrm>
                    <a:off x="17162006" y="792037"/>
                    <a:ext cx="0" cy="607524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6" name="直線コネクタ 4135"/>
                  <xdr:cNvCxnSpPr/>
                </xdr:nvCxnSpPr>
                <xdr:spPr bwMode="auto">
                  <a:xfrm>
                    <a:off x="17817861" y="800970"/>
                    <a:ext cx="0" cy="576255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7" name="直線コネクタ 4136"/>
                  <xdr:cNvCxnSpPr/>
                </xdr:nvCxnSpPr>
                <xdr:spPr>
                  <a:xfrm>
                    <a:off x="17886179" y="863534"/>
                    <a:ext cx="0" cy="504564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8" name="直線コネクタ 4137"/>
                  <xdr:cNvCxnSpPr/>
                </xdr:nvCxnSpPr>
                <xdr:spPr>
                  <a:xfrm>
                    <a:off x="17964749" y="864228"/>
                    <a:ext cx="0" cy="500097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9" name="直線コネクタ 4138"/>
                  <xdr:cNvCxnSpPr/>
                </xdr:nvCxnSpPr>
                <xdr:spPr>
                  <a:xfrm>
                    <a:off x="18118461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0" name="直線コネクタ 4139"/>
                  <xdr:cNvCxnSpPr/>
                </xdr:nvCxnSpPr>
                <xdr:spPr>
                  <a:xfrm>
                    <a:off x="17093688" y="854599"/>
                    <a:ext cx="0" cy="513499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1" name="直線コネクタ 4140"/>
                  <xdr:cNvCxnSpPr/>
                </xdr:nvCxnSpPr>
                <xdr:spPr>
                  <a:xfrm>
                    <a:off x="17007431" y="850133"/>
                    <a:ext cx="0" cy="517966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2" name="直線コネクタ 4141"/>
                  <xdr:cNvCxnSpPr/>
                </xdr:nvCxnSpPr>
                <xdr:spPr>
                  <a:xfrm>
                    <a:off x="16847742" y="845666"/>
                    <a:ext cx="0" cy="522432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3" name="直線コネクタ 4142"/>
                  <xdr:cNvCxnSpPr/>
                </xdr:nvCxnSpPr>
                <xdr:spPr bwMode="auto">
                  <a:xfrm>
                    <a:off x="16847742" y="1140188"/>
                    <a:ext cx="3415910" cy="0"/>
                  </a:xfrm>
                  <a:prstGeom prst="line">
                    <a:avLst/>
                  </a:prstGeom>
                  <a:ln w="28575">
                    <a:solidFill>
                      <a:srgbClr val="7030A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4" name="直線コネクタ 4143"/>
                  <xdr:cNvCxnSpPr/>
                </xdr:nvCxnSpPr>
                <xdr:spPr bwMode="auto">
                  <a:xfrm>
                    <a:off x="17476270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5" name="直線コネクタ 4144"/>
                  <xdr:cNvCxnSpPr/>
                </xdr:nvCxnSpPr>
                <xdr:spPr bwMode="auto">
                  <a:xfrm>
                    <a:off x="17571915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6" name="直線コネクタ 4145"/>
                  <xdr:cNvCxnSpPr/>
                </xdr:nvCxnSpPr>
                <xdr:spPr bwMode="auto">
                  <a:xfrm>
                    <a:off x="1765389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7" name="直線コネクタ 4146"/>
                  <xdr:cNvCxnSpPr/>
                </xdr:nvCxnSpPr>
                <xdr:spPr bwMode="auto">
                  <a:xfrm>
                    <a:off x="17749543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8" name="直線コネクタ 4147"/>
                  <xdr:cNvCxnSpPr/>
                </xdr:nvCxnSpPr>
                <xdr:spPr bwMode="auto">
                  <a:xfrm>
                    <a:off x="17380624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49" name="直線コネクタ 4148"/>
                  <xdr:cNvCxnSpPr/>
                </xdr:nvCxnSpPr>
                <xdr:spPr bwMode="auto">
                  <a:xfrm>
                    <a:off x="17298642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50" name="直線コネクタ 4149"/>
                  <xdr:cNvCxnSpPr/>
                </xdr:nvCxnSpPr>
                <xdr:spPr bwMode="auto">
                  <a:xfrm>
                    <a:off x="1720299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51" name="直線コネクタ 4150"/>
                  <xdr:cNvCxnSpPr/>
                </xdr:nvCxnSpPr>
                <xdr:spPr bwMode="auto">
                  <a:xfrm>
                    <a:off x="17522059" y="1354686"/>
                    <a:ext cx="159165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52" name="直線コネクタ 4151"/>
                  <xdr:cNvCxnSpPr/>
                </xdr:nvCxnSpPr>
                <xdr:spPr bwMode="auto">
                  <a:xfrm flipV="1">
                    <a:off x="17663273" y="925686"/>
                    <a:ext cx="400534" cy="435101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53" name="直線コネクタ 4152"/>
                  <xdr:cNvCxnSpPr/>
                </xdr:nvCxnSpPr>
                <xdr:spPr bwMode="auto">
                  <a:xfrm>
                    <a:off x="17298642" y="1354692"/>
                    <a:ext cx="136869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54" name="直線コネクタ 4153"/>
                  <xdr:cNvCxnSpPr/>
                </xdr:nvCxnSpPr>
                <xdr:spPr bwMode="auto">
                  <a:xfrm flipH="1" flipV="1">
                    <a:off x="16902397" y="952497"/>
                    <a:ext cx="409909" cy="402196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4108" name="グループ化 1141"/>
                <xdr:cNvGrpSpPr>
                  <a:grpSpLocks/>
                </xdr:cNvGrpSpPr>
              </xdr:nvGrpSpPr>
              <xdr:grpSpPr bwMode="auto">
                <a:xfrm>
                  <a:off x="9524222" y="856170"/>
                  <a:ext cx="1135026" cy="380003"/>
                  <a:chOff x="16564916" y="791619"/>
                  <a:chExt cx="1817264" cy="603292"/>
                </a:xfrm>
              </xdr:grpSpPr>
              <xdr:cxnSp macro="">
                <xdr:nvCxnSpPr>
                  <xdr:cNvPr id="4111" name="直線コネクタ 4110"/>
                  <xdr:cNvCxnSpPr/>
                </xdr:nvCxnSpPr>
                <xdr:spPr>
                  <a:xfrm>
                    <a:off x="16564916" y="791619"/>
                    <a:ext cx="573873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2" name="直線コネクタ 4111"/>
                  <xdr:cNvCxnSpPr/>
                </xdr:nvCxnSpPr>
                <xdr:spPr>
                  <a:xfrm>
                    <a:off x="17808307" y="791619"/>
                    <a:ext cx="573873" cy="0"/>
                  </a:xfrm>
                  <a:prstGeom prst="line">
                    <a:avLst/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3" name="直線コネクタ 4112"/>
                  <xdr:cNvCxnSpPr/>
                </xdr:nvCxnSpPr>
                <xdr:spPr bwMode="auto">
                  <a:xfrm>
                    <a:off x="17138788" y="792037"/>
                    <a:ext cx="0" cy="589656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4" name="直線コネクタ 4113"/>
                  <xdr:cNvCxnSpPr/>
                </xdr:nvCxnSpPr>
                <xdr:spPr bwMode="auto">
                  <a:xfrm>
                    <a:off x="17808308" y="796504"/>
                    <a:ext cx="0" cy="585189"/>
                  </a:xfrm>
                  <a:prstGeom prst="line">
                    <a:avLst/>
                  </a:prstGeom>
                  <a:ln w="28575">
                    <a:solidFill>
                      <a:srgbClr val="FF0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5" name="直線コネクタ 4114"/>
                  <xdr:cNvCxnSpPr/>
                </xdr:nvCxnSpPr>
                <xdr:spPr>
                  <a:xfrm>
                    <a:off x="17862961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6" name="直線コネクタ 4115"/>
                  <xdr:cNvCxnSpPr/>
                </xdr:nvCxnSpPr>
                <xdr:spPr>
                  <a:xfrm>
                    <a:off x="17939825" y="868693"/>
                    <a:ext cx="0" cy="495631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7" name="直線コネクタ 4116"/>
                  <xdr:cNvCxnSpPr/>
                </xdr:nvCxnSpPr>
                <xdr:spPr>
                  <a:xfrm>
                    <a:off x="18108907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8" name="直線コネクタ 4117"/>
                  <xdr:cNvCxnSpPr/>
                </xdr:nvCxnSpPr>
                <xdr:spPr>
                  <a:xfrm>
                    <a:off x="17084134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19" name="直線コネクタ 4118"/>
                  <xdr:cNvCxnSpPr/>
                </xdr:nvCxnSpPr>
                <xdr:spPr>
                  <a:xfrm>
                    <a:off x="16932561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0" name="直線コネクタ 4119"/>
                  <xdr:cNvCxnSpPr/>
                </xdr:nvCxnSpPr>
                <xdr:spPr>
                  <a:xfrm>
                    <a:off x="16851852" y="868001"/>
                    <a:ext cx="0" cy="500098"/>
                  </a:xfrm>
                  <a:prstGeom prst="line">
                    <a:avLst/>
                  </a:prstGeom>
                  <a:ln w="28575">
                    <a:solidFill>
                      <a:srgbClr val="00B05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1" name="直線コネクタ 4120"/>
                  <xdr:cNvCxnSpPr/>
                </xdr:nvCxnSpPr>
                <xdr:spPr bwMode="auto">
                  <a:xfrm>
                    <a:off x="17480380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2" name="直線コネクタ 4121"/>
                  <xdr:cNvCxnSpPr/>
                </xdr:nvCxnSpPr>
                <xdr:spPr bwMode="auto">
                  <a:xfrm>
                    <a:off x="17562361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3" name="直線コネクタ 4122"/>
                  <xdr:cNvCxnSpPr/>
                </xdr:nvCxnSpPr>
                <xdr:spPr bwMode="auto">
                  <a:xfrm>
                    <a:off x="1765800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4" name="直線コネクタ 4123"/>
                  <xdr:cNvCxnSpPr/>
                </xdr:nvCxnSpPr>
                <xdr:spPr bwMode="auto">
                  <a:xfrm>
                    <a:off x="17726325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5" name="直線コネクタ 4124"/>
                  <xdr:cNvCxnSpPr/>
                </xdr:nvCxnSpPr>
                <xdr:spPr bwMode="auto">
                  <a:xfrm>
                    <a:off x="17371070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6" name="直線コネクタ 4125"/>
                  <xdr:cNvCxnSpPr/>
                </xdr:nvCxnSpPr>
                <xdr:spPr bwMode="auto">
                  <a:xfrm>
                    <a:off x="17275425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7" name="直線コネクタ 4126"/>
                  <xdr:cNvCxnSpPr/>
                </xdr:nvCxnSpPr>
                <xdr:spPr bwMode="auto">
                  <a:xfrm>
                    <a:off x="17207107" y="1126781"/>
                    <a:ext cx="0" cy="268130"/>
                  </a:xfrm>
                  <a:prstGeom prst="line">
                    <a:avLst/>
                  </a:prstGeom>
                  <a:ln w="12700">
                    <a:solidFill>
                      <a:schemeClr val="accent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8" name="直線コネクタ 4127"/>
                  <xdr:cNvCxnSpPr/>
                </xdr:nvCxnSpPr>
                <xdr:spPr bwMode="auto">
                  <a:xfrm>
                    <a:off x="17521941" y="1354686"/>
                    <a:ext cx="149730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29" name="直線コネクタ 4128"/>
                  <xdr:cNvCxnSpPr/>
                </xdr:nvCxnSpPr>
                <xdr:spPr bwMode="auto">
                  <a:xfrm flipV="1">
                    <a:off x="17663152" y="925686"/>
                    <a:ext cx="391100" cy="424854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0" name="直線コネクタ 4129"/>
                  <xdr:cNvCxnSpPr/>
                </xdr:nvCxnSpPr>
                <xdr:spPr bwMode="auto">
                  <a:xfrm>
                    <a:off x="17289088" y="1354692"/>
                    <a:ext cx="137191" cy="0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31" name="直線コネクタ 4130"/>
                  <xdr:cNvCxnSpPr/>
                </xdr:nvCxnSpPr>
                <xdr:spPr bwMode="auto">
                  <a:xfrm flipH="1" flipV="1">
                    <a:off x="16892843" y="952497"/>
                    <a:ext cx="396246" cy="402196"/>
                  </a:xfrm>
                  <a:prstGeom prst="line">
                    <a:avLst/>
                  </a:prstGeom>
                  <a:ln w="28575">
                    <a:solidFill>
                      <a:srgbClr val="FFC00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4109" name="直線コネクタ 4108"/>
                <xdr:cNvCxnSpPr/>
              </xdr:nvCxnSpPr>
              <xdr:spPr bwMode="auto">
                <a:xfrm>
                  <a:off x="10363794" y="1278396"/>
                  <a:ext cx="107702" cy="0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10" name="直線コネクタ 4109"/>
                <xdr:cNvCxnSpPr/>
              </xdr:nvCxnSpPr>
              <xdr:spPr bwMode="auto">
                <a:xfrm flipH="1">
                  <a:off x="10462963" y="1058838"/>
                  <a:ext cx="221885" cy="219558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4105" name="直線コネクタ 4104"/>
              <xdr:cNvCxnSpPr/>
            </xdr:nvCxnSpPr>
            <xdr:spPr bwMode="auto">
              <a:xfrm>
                <a:off x="3057598" y="21506796"/>
                <a:ext cx="145211" cy="0"/>
              </a:xfrm>
              <a:prstGeom prst="line">
                <a:avLst/>
              </a:prstGeom>
              <a:ln w="28575">
                <a:solidFill>
                  <a:srgbClr val="00B0F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106" name="直線コネクタ 4105"/>
              <xdr:cNvCxnSpPr/>
            </xdr:nvCxnSpPr>
            <xdr:spPr bwMode="auto">
              <a:xfrm>
                <a:off x="2821040" y="21269338"/>
                <a:ext cx="246021" cy="246956"/>
              </a:xfrm>
              <a:prstGeom prst="line">
                <a:avLst/>
              </a:prstGeom>
              <a:ln w="28575">
                <a:solidFill>
                  <a:srgbClr val="00B0F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32</xdr:col>
      <xdr:colOff>40022</xdr:colOff>
      <xdr:row>689</xdr:row>
      <xdr:rowOff>52028</xdr:rowOff>
    </xdr:from>
    <xdr:to>
      <xdr:col>66</xdr:col>
      <xdr:colOff>20975</xdr:colOff>
      <xdr:row>695</xdr:row>
      <xdr:rowOff>13859</xdr:rowOff>
    </xdr:to>
    <xdr:grpSp>
      <xdr:nvGrpSpPr>
        <xdr:cNvPr id="8" name="グループ化 7"/>
        <xdr:cNvGrpSpPr/>
      </xdr:nvGrpSpPr>
      <xdr:grpSpPr>
        <a:xfrm>
          <a:off x="2949477" y="60128801"/>
          <a:ext cx="2925043" cy="481376"/>
          <a:chOff x="2930454" y="59808737"/>
          <a:chExt cx="2909384" cy="478613"/>
        </a:xfrm>
      </xdr:grpSpPr>
      <xdr:cxnSp macro="">
        <xdr:nvCxnSpPr>
          <xdr:cNvPr id="3288" name="直線コネクタ 3287"/>
          <xdr:cNvCxnSpPr/>
        </xdr:nvCxnSpPr>
        <xdr:spPr bwMode="auto">
          <a:xfrm>
            <a:off x="4386360" y="59856868"/>
            <a:ext cx="0" cy="370303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9" name="直線コネクタ 3288"/>
          <xdr:cNvCxnSpPr/>
        </xdr:nvCxnSpPr>
        <xdr:spPr bwMode="auto">
          <a:xfrm>
            <a:off x="4278140" y="59863624"/>
            <a:ext cx="0" cy="36026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4" name="直線コネクタ 3313"/>
          <xdr:cNvCxnSpPr/>
        </xdr:nvCxnSpPr>
        <xdr:spPr bwMode="auto">
          <a:xfrm>
            <a:off x="4330095" y="59863737"/>
            <a:ext cx="0" cy="35707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直線コネクタ 3314"/>
          <xdr:cNvCxnSpPr/>
        </xdr:nvCxnSpPr>
        <xdr:spPr bwMode="auto">
          <a:xfrm>
            <a:off x="4440836" y="59866814"/>
            <a:ext cx="0" cy="357071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4159" name="グループ化 4158"/>
          <xdr:cNvGrpSpPr/>
        </xdr:nvGrpSpPr>
        <xdr:grpSpPr>
          <a:xfrm>
            <a:off x="2930454" y="59808737"/>
            <a:ext cx="2909384" cy="478613"/>
            <a:chOff x="2931283" y="16768550"/>
            <a:chExt cx="2881102" cy="473622"/>
          </a:xfrm>
        </xdr:grpSpPr>
        <xdr:cxnSp macro="">
          <xdr:nvCxnSpPr>
            <xdr:cNvPr id="4160" name="直線コネクタ 4159"/>
            <xdr:cNvCxnSpPr/>
          </xdr:nvCxnSpPr>
          <xdr:spPr bwMode="auto">
            <a:xfrm>
              <a:off x="5468729" y="16820050"/>
              <a:ext cx="0" cy="350513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61" name="直線コネクタ 4160"/>
            <xdr:cNvCxnSpPr/>
          </xdr:nvCxnSpPr>
          <xdr:spPr bwMode="auto">
            <a:xfrm>
              <a:off x="4761762" y="16820050"/>
              <a:ext cx="0" cy="35369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62" name="直線コネクタ 4161"/>
            <xdr:cNvCxnSpPr/>
          </xdr:nvCxnSpPr>
          <xdr:spPr bwMode="auto">
            <a:xfrm>
              <a:off x="4005138" y="16812676"/>
              <a:ext cx="0" cy="366441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63" name="直線コネクタ 4162"/>
            <xdr:cNvCxnSpPr/>
          </xdr:nvCxnSpPr>
          <xdr:spPr bwMode="auto">
            <a:xfrm>
              <a:off x="3293253" y="16804687"/>
              <a:ext cx="0" cy="366441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4164" name="グループ化 4163"/>
            <xdr:cNvGrpSpPr/>
          </xdr:nvGrpSpPr>
          <xdr:grpSpPr>
            <a:xfrm>
              <a:off x="2931283" y="16768550"/>
              <a:ext cx="2881102" cy="473622"/>
              <a:chOff x="2931283" y="16768550"/>
              <a:chExt cx="2881102" cy="473622"/>
            </a:xfrm>
          </xdr:grpSpPr>
          <xdr:grpSp>
            <xdr:nvGrpSpPr>
              <xdr:cNvPr id="4165" name="グループ化 7"/>
              <xdr:cNvGrpSpPr>
                <a:grpSpLocks/>
              </xdr:cNvGrpSpPr>
            </xdr:nvGrpSpPr>
            <xdr:grpSpPr bwMode="auto">
              <a:xfrm>
                <a:off x="2931283" y="16768550"/>
                <a:ext cx="2881102" cy="473622"/>
                <a:chOff x="2821040" y="21041380"/>
                <a:chExt cx="2876553" cy="474914"/>
              </a:xfrm>
            </xdr:grpSpPr>
            <xdr:cxnSp macro="">
              <xdr:nvCxnSpPr>
                <xdr:cNvPr id="4170" name="直線コネクタ 4169"/>
                <xdr:cNvCxnSpPr/>
              </xdr:nvCxnSpPr>
              <xdr:spPr bwMode="auto">
                <a:xfrm>
                  <a:off x="3067061" y="21468802"/>
                  <a:ext cx="900994" cy="0"/>
                </a:xfrm>
                <a:prstGeom prst="line">
                  <a:avLst/>
                </a:prstGeom>
                <a:ln w="28575">
                  <a:solidFill>
                    <a:srgbClr val="660033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4171" name="グループ化 6"/>
                <xdr:cNvGrpSpPr>
                  <a:grpSpLocks/>
                </xdr:cNvGrpSpPr>
              </xdr:nvGrpSpPr>
              <xdr:grpSpPr bwMode="auto">
                <a:xfrm>
                  <a:off x="2821040" y="21041380"/>
                  <a:ext cx="2876553" cy="474914"/>
                  <a:chOff x="2821040" y="21041380"/>
                  <a:chExt cx="2876553" cy="474914"/>
                </a:xfrm>
              </xdr:grpSpPr>
              <xdr:grpSp>
                <xdr:nvGrpSpPr>
                  <xdr:cNvPr id="4172" name="グループ化 9"/>
                  <xdr:cNvGrpSpPr>
                    <a:grpSpLocks/>
                  </xdr:cNvGrpSpPr>
                </xdr:nvGrpSpPr>
                <xdr:grpSpPr bwMode="auto">
                  <a:xfrm>
                    <a:off x="2868354" y="21041380"/>
                    <a:ext cx="2829239" cy="471352"/>
                    <a:chOff x="8192913" y="856170"/>
                    <a:chExt cx="2551674" cy="419058"/>
                  </a:xfrm>
                </xdr:grpSpPr>
                <xdr:grpSp>
                  <xdr:nvGrpSpPr>
                    <xdr:cNvPr id="4175" name="グループ化 1141"/>
                    <xdr:cNvGrpSpPr>
                      <a:grpSpLocks/>
                    </xdr:cNvGrpSpPr>
                  </xdr:nvGrpSpPr>
                  <xdr:grpSpPr bwMode="auto">
                    <a:xfrm>
                      <a:off x="8192913" y="856170"/>
                      <a:ext cx="2551674" cy="382932"/>
                      <a:chOff x="16560806" y="791619"/>
                      <a:chExt cx="4085428" cy="607942"/>
                    </a:xfrm>
                  </xdr:grpSpPr>
                  <xdr:cxnSp macro="">
                    <xdr:nvCxnSpPr>
                      <xdr:cNvPr id="4200" name="直線コネクタ 4199"/>
                      <xdr:cNvCxnSpPr/>
                    </xdr:nvCxnSpPr>
                    <xdr:spPr>
                      <a:xfrm>
                        <a:off x="16560806" y="791619"/>
                        <a:ext cx="601200" cy="0"/>
                      </a:xfrm>
                      <a:prstGeom prst="line">
                        <a:avLst/>
                      </a:prstGeom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1" name="直線コネクタ 4200"/>
                      <xdr:cNvCxnSpPr/>
                    </xdr:nvCxnSpPr>
                    <xdr:spPr>
                      <a:xfrm>
                        <a:off x="16560806" y="1167001"/>
                        <a:ext cx="4085428" cy="0"/>
                      </a:xfrm>
                      <a:prstGeom prst="line">
                        <a:avLst/>
                      </a:prstGeom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2" name="直線コネクタ 4201"/>
                      <xdr:cNvCxnSpPr/>
                    </xdr:nvCxnSpPr>
                    <xdr:spPr>
                      <a:xfrm>
                        <a:off x="17804197" y="791619"/>
                        <a:ext cx="587536" cy="0"/>
                      </a:xfrm>
                      <a:prstGeom prst="line">
                        <a:avLst/>
                      </a:prstGeom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3" name="直線コネクタ 4202"/>
                      <xdr:cNvCxnSpPr/>
                    </xdr:nvCxnSpPr>
                    <xdr:spPr bwMode="auto">
                      <a:xfrm>
                        <a:off x="17162006" y="792037"/>
                        <a:ext cx="0" cy="607524"/>
                      </a:xfrm>
                      <a:prstGeom prst="line">
                        <a:avLst/>
                      </a:prstGeom>
                      <a:ln w="28575">
                        <a:solidFill>
                          <a:srgbClr val="FF0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4" name="直線コネクタ 4203"/>
                      <xdr:cNvCxnSpPr/>
                    </xdr:nvCxnSpPr>
                    <xdr:spPr bwMode="auto">
                      <a:xfrm>
                        <a:off x="17817861" y="800970"/>
                        <a:ext cx="0" cy="576255"/>
                      </a:xfrm>
                      <a:prstGeom prst="line">
                        <a:avLst/>
                      </a:prstGeom>
                      <a:ln w="28575">
                        <a:solidFill>
                          <a:srgbClr val="FF0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5" name="直線コネクタ 4204"/>
                      <xdr:cNvCxnSpPr/>
                    </xdr:nvCxnSpPr>
                    <xdr:spPr>
                      <a:xfrm>
                        <a:off x="17886179" y="863534"/>
                        <a:ext cx="0" cy="504564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6" name="直線コネクタ 4205"/>
                      <xdr:cNvCxnSpPr/>
                    </xdr:nvCxnSpPr>
                    <xdr:spPr>
                      <a:xfrm>
                        <a:off x="17960355" y="863692"/>
                        <a:ext cx="0" cy="500099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7" name="直線コネクタ 4206"/>
                      <xdr:cNvCxnSpPr/>
                    </xdr:nvCxnSpPr>
                    <xdr:spPr>
                      <a:xfrm>
                        <a:off x="18118461" y="868001"/>
                        <a:ext cx="0" cy="500098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8" name="直線コネクタ 4207"/>
                      <xdr:cNvCxnSpPr/>
                    </xdr:nvCxnSpPr>
                    <xdr:spPr>
                      <a:xfrm>
                        <a:off x="17093688" y="854599"/>
                        <a:ext cx="0" cy="513499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09" name="直線コネクタ 4208"/>
                      <xdr:cNvCxnSpPr/>
                    </xdr:nvCxnSpPr>
                    <xdr:spPr>
                      <a:xfrm>
                        <a:off x="16931678" y="845824"/>
                        <a:ext cx="0" cy="517966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0" name="直線コネクタ 4209"/>
                      <xdr:cNvCxnSpPr/>
                    </xdr:nvCxnSpPr>
                    <xdr:spPr>
                      <a:xfrm>
                        <a:off x="16847742" y="845666"/>
                        <a:ext cx="0" cy="522432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1" name="直線コネクタ 4210"/>
                      <xdr:cNvCxnSpPr/>
                    </xdr:nvCxnSpPr>
                    <xdr:spPr bwMode="auto">
                      <a:xfrm>
                        <a:off x="16847742" y="1140188"/>
                        <a:ext cx="1311283" cy="0"/>
                      </a:xfrm>
                      <a:prstGeom prst="line">
                        <a:avLst/>
                      </a:prstGeom>
                      <a:ln w="28575">
                        <a:solidFill>
                          <a:srgbClr val="660033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2" name="直線コネクタ 4211"/>
                      <xdr:cNvCxnSpPr/>
                    </xdr:nvCxnSpPr>
                    <xdr:spPr bwMode="auto">
                      <a:xfrm>
                        <a:off x="17476270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3" name="直線コネクタ 4212"/>
                      <xdr:cNvCxnSpPr/>
                    </xdr:nvCxnSpPr>
                    <xdr:spPr bwMode="auto">
                      <a:xfrm>
                        <a:off x="17571915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4" name="直線コネクタ 4213"/>
                      <xdr:cNvCxnSpPr/>
                    </xdr:nvCxnSpPr>
                    <xdr:spPr bwMode="auto">
                      <a:xfrm>
                        <a:off x="17653897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5" name="直線コネクタ 4214"/>
                      <xdr:cNvCxnSpPr/>
                    </xdr:nvCxnSpPr>
                    <xdr:spPr bwMode="auto">
                      <a:xfrm>
                        <a:off x="17749543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6" name="直線コネクタ 4215"/>
                      <xdr:cNvCxnSpPr/>
                    </xdr:nvCxnSpPr>
                    <xdr:spPr bwMode="auto">
                      <a:xfrm>
                        <a:off x="17380624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7" name="直線コネクタ 4216"/>
                      <xdr:cNvCxnSpPr/>
                    </xdr:nvCxnSpPr>
                    <xdr:spPr bwMode="auto">
                      <a:xfrm>
                        <a:off x="17298642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8" name="直線コネクタ 4217"/>
                      <xdr:cNvCxnSpPr/>
                    </xdr:nvCxnSpPr>
                    <xdr:spPr bwMode="auto">
                      <a:xfrm>
                        <a:off x="17202997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19" name="直線コネクタ 4218"/>
                      <xdr:cNvCxnSpPr/>
                    </xdr:nvCxnSpPr>
                    <xdr:spPr bwMode="auto">
                      <a:xfrm>
                        <a:off x="17522059" y="1354686"/>
                        <a:ext cx="159165" cy="0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20" name="直線コネクタ 4219"/>
                      <xdr:cNvCxnSpPr/>
                    </xdr:nvCxnSpPr>
                    <xdr:spPr bwMode="auto">
                      <a:xfrm flipV="1">
                        <a:off x="17663273" y="925686"/>
                        <a:ext cx="400534" cy="435101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21" name="直線コネクタ 4220"/>
                      <xdr:cNvCxnSpPr/>
                    </xdr:nvCxnSpPr>
                    <xdr:spPr bwMode="auto">
                      <a:xfrm>
                        <a:off x="17298642" y="1354692"/>
                        <a:ext cx="136869" cy="0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22" name="直線コネクタ 4221"/>
                      <xdr:cNvCxnSpPr/>
                    </xdr:nvCxnSpPr>
                    <xdr:spPr bwMode="auto">
                      <a:xfrm flipH="1" flipV="1">
                        <a:off x="16902397" y="952497"/>
                        <a:ext cx="409909" cy="402196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grpSp>
                  <xdr:nvGrpSpPr>
                    <xdr:cNvPr id="4176" name="グループ化 1141"/>
                    <xdr:cNvGrpSpPr>
                      <a:grpSpLocks/>
                    </xdr:cNvGrpSpPr>
                  </xdr:nvGrpSpPr>
                  <xdr:grpSpPr bwMode="auto">
                    <a:xfrm>
                      <a:off x="9524222" y="856170"/>
                      <a:ext cx="1135026" cy="380003"/>
                      <a:chOff x="16564916" y="791619"/>
                      <a:chExt cx="1817264" cy="603292"/>
                    </a:xfrm>
                  </xdr:grpSpPr>
                  <xdr:cxnSp macro="">
                    <xdr:nvCxnSpPr>
                      <xdr:cNvPr id="4179" name="直線コネクタ 4178"/>
                      <xdr:cNvCxnSpPr/>
                    </xdr:nvCxnSpPr>
                    <xdr:spPr>
                      <a:xfrm>
                        <a:off x="16564916" y="791619"/>
                        <a:ext cx="573873" cy="0"/>
                      </a:xfrm>
                      <a:prstGeom prst="line">
                        <a:avLst/>
                      </a:prstGeom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0" name="直線コネクタ 4179"/>
                      <xdr:cNvCxnSpPr/>
                    </xdr:nvCxnSpPr>
                    <xdr:spPr>
                      <a:xfrm>
                        <a:off x="17808307" y="791619"/>
                        <a:ext cx="573873" cy="0"/>
                      </a:xfrm>
                      <a:prstGeom prst="line">
                        <a:avLst/>
                      </a:prstGeom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1" name="直線コネクタ 4180"/>
                      <xdr:cNvCxnSpPr/>
                    </xdr:nvCxnSpPr>
                    <xdr:spPr bwMode="auto">
                      <a:xfrm>
                        <a:off x="17138788" y="792037"/>
                        <a:ext cx="0" cy="589656"/>
                      </a:xfrm>
                      <a:prstGeom prst="line">
                        <a:avLst/>
                      </a:prstGeom>
                      <a:ln w="28575">
                        <a:solidFill>
                          <a:srgbClr val="FF0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2" name="直線コネクタ 4181"/>
                      <xdr:cNvCxnSpPr/>
                    </xdr:nvCxnSpPr>
                    <xdr:spPr bwMode="auto">
                      <a:xfrm>
                        <a:off x="17808308" y="796504"/>
                        <a:ext cx="0" cy="585189"/>
                      </a:xfrm>
                      <a:prstGeom prst="line">
                        <a:avLst/>
                      </a:prstGeom>
                      <a:ln w="28575">
                        <a:solidFill>
                          <a:srgbClr val="FF0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3" name="直線コネクタ 4182"/>
                      <xdr:cNvCxnSpPr/>
                    </xdr:nvCxnSpPr>
                    <xdr:spPr>
                      <a:xfrm>
                        <a:off x="17862961" y="868001"/>
                        <a:ext cx="0" cy="500098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4" name="直線コネクタ 4183"/>
                      <xdr:cNvCxnSpPr/>
                    </xdr:nvCxnSpPr>
                    <xdr:spPr>
                      <a:xfrm>
                        <a:off x="17937624" y="868158"/>
                        <a:ext cx="0" cy="495631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5" name="直線コネクタ 4184"/>
                      <xdr:cNvCxnSpPr/>
                    </xdr:nvCxnSpPr>
                    <xdr:spPr>
                      <a:xfrm>
                        <a:off x="18108907" y="868001"/>
                        <a:ext cx="0" cy="500098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6" name="直線コネクタ 4185"/>
                      <xdr:cNvCxnSpPr/>
                    </xdr:nvCxnSpPr>
                    <xdr:spPr>
                      <a:xfrm>
                        <a:off x="17084134" y="868001"/>
                        <a:ext cx="0" cy="500098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7" name="直線コネクタ 4186"/>
                      <xdr:cNvCxnSpPr/>
                    </xdr:nvCxnSpPr>
                    <xdr:spPr>
                      <a:xfrm>
                        <a:off x="16930908" y="868001"/>
                        <a:ext cx="0" cy="500099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8" name="直線コネクタ 4187"/>
                      <xdr:cNvCxnSpPr/>
                    </xdr:nvCxnSpPr>
                    <xdr:spPr>
                      <a:xfrm>
                        <a:off x="16851852" y="868001"/>
                        <a:ext cx="0" cy="500098"/>
                      </a:xfrm>
                      <a:prstGeom prst="line">
                        <a:avLst/>
                      </a:prstGeom>
                      <a:ln w="28575">
                        <a:solidFill>
                          <a:srgbClr val="00B05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89" name="直線コネクタ 4188"/>
                      <xdr:cNvCxnSpPr/>
                    </xdr:nvCxnSpPr>
                    <xdr:spPr bwMode="auto">
                      <a:xfrm>
                        <a:off x="17480380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0" name="直線コネクタ 4189"/>
                      <xdr:cNvCxnSpPr/>
                    </xdr:nvCxnSpPr>
                    <xdr:spPr bwMode="auto">
                      <a:xfrm>
                        <a:off x="17562361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1" name="直線コネクタ 4190"/>
                      <xdr:cNvCxnSpPr/>
                    </xdr:nvCxnSpPr>
                    <xdr:spPr bwMode="auto">
                      <a:xfrm>
                        <a:off x="17658007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2" name="直線コネクタ 4191"/>
                      <xdr:cNvCxnSpPr/>
                    </xdr:nvCxnSpPr>
                    <xdr:spPr bwMode="auto">
                      <a:xfrm>
                        <a:off x="17726325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3" name="直線コネクタ 4192"/>
                      <xdr:cNvCxnSpPr/>
                    </xdr:nvCxnSpPr>
                    <xdr:spPr bwMode="auto">
                      <a:xfrm>
                        <a:off x="17371070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4" name="直線コネクタ 4193"/>
                      <xdr:cNvCxnSpPr/>
                    </xdr:nvCxnSpPr>
                    <xdr:spPr bwMode="auto">
                      <a:xfrm>
                        <a:off x="17275425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5" name="直線コネクタ 4194"/>
                      <xdr:cNvCxnSpPr/>
                    </xdr:nvCxnSpPr>
                    <xdr:spPr bwMode="auto">
                      <a:xfrm>
                        <a:off x="17207107" y="1126781"/>
                        <a:ext cx="0" cy="268130"/>
                      </a:xfrm>
                      <a:prstGeom prst="line">
                        <a:avLst/>
                      </a:prstGeom>
                      <a:ln w="12700">
                        <a:solidFill>
                          <a:schemeClr val="accent2">
                            <a:lumMod val="50000"/>
                          </a:schemeClr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6" name="直線コネクタ 4195"/>
                      <xdr:cNvCxnSpPr/>
                    </xdr:nvCxnSpPr>
                    <xdr:spPr bwMode="auto">
                      <a:xfrm>
                        <a:off x="17521941" y="1354686"/>
                        <a:ext cx="149730" cy="0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7" name="直線コネクタ 4196"/>
                      <xdr:cNvCxnSpPr/>
                    </xdr:nvCxnSpPr>
                    <xdr:spPr bwMode="auto">
                      <a:xfrm flipV="1">
                        <a:off x="17663152" y="925686"/>
                        <a:ext cx="391100" cy="424854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8" name="直線コネクタ 4197"/>
                      <xdr:cNvCxnSpPr/>
                    </xdr:nvCxnSpPr>
                    <xdr:spPr bwMode="auto">
                      <a:xfrm>
                        <a:off x="17289088" y="1354692"/>
                        <a:ext cx="137191" cy="0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99" name="直線コネクタ 4198"/>
                      <xdr:cNvCxnSpPr/>
                    </xdr:nvCxnSpPr>
                    <xdr:spPr bwMode="auto">
                      <a:xfrm flipH="1" flipV="1">
                        <a:off x="16892843" y="952497"/>
                        <a:ext cx="396246" cy="402196"/>
                      </a:xfrm>
                      <a:prstGeom prst="line">
                        <a:avLst/>
                      </a:prstGeom>
                      <a:ln w="28575">
                        <a:solidFill>
                          <a:srgbClr val="FFC000"/>
                        </a:solidFill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cxnSp macro="">
                  <xdr:nvCxnSpPr>
                    <xdr:cNvPr id="4177" name="直線コネクタ 4176"/>
                    <xdr:cNvCxnSpPr/>
                  </xdr:nvCxnSpPr>
                  <xdr:spPr bwMode="auto">
                    <a:xfrm>
                      <a:off x="10395798" y="1275228"/>
                      <a:ext cx="107702" cy="0"/>
                    </a:xfrm>
                    <a:prstGeom prst="line">
                      <a:avLst/>
                    </a:prstGeom>
                    <a:ln w="28575">
                      <a:solidFill>
                        <a:srgbClr val="00B0F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4178" name="直線コネクタ 4177"/>
                    <xdr:cNvCxnSpPr/>
                  </xdr:nvCxnSpPr>
                  <xdr:spPr bwMode="auto">
                    <a:xfrm flipH="1">
                      <a:off x="10494967" y="1055670"/>
                      <a:ext cx="221885" cy="219558"/>
                    </a:xfrm>
                    <a:prstGeom prst="line">
                      <a:avLst/>
                    </a:prstGeom>
                    <a:ln w="28575">
                      <a:solidFill>
                        <a:srgbClr val="00B0F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4173" name="直線コネクタ 4172"/>
                  <xdr:cNvCxnSpPr/>
                </xdr:nvCxnSpPr>
                <xdr:spPr bwMode="auto">
                  <a:xfrm>
                    <a:off x="3057598" y="21506796"/>
                    <a:ext cx="145211" cy="0"/>
                  </a:xfrm>
                  <a:prstGeom prst="line">
                    <a:avLst/>
                  </a:prstGeom>
                  <a:ln w="28575">
                    <a:solidFill>
                      <a:srgbClr val="00B0F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74" name="直線コネクタ 4173"/>
                  <xdr:cNvCxnSpPr/>
                </xdr:nvCxnSpPr>
                <xdr:spPr bwMode="auto">
                  <a:xfrm>
                    <a:off x="2821040" y="21269338"/>
                    <a:ext cx="246021" cy="246956"/>
                  </a:xfrm>
                  <a:prstGeom prst="line">
                    <a:avLst/>
                  </a:prstGeom>
                  <a:ln w="28575">
                    <a:solidFill>
                      <a:srgbClr val="00B0F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</xdr:grpSp>
          <xdr:cxnSp macro="">
            <xdr:nvCxnSpPr>
              <xdr:cNvPr id="4166" name="直線コネクタ 4165"/>
              <xdr:cNvCxnSpPr/>
            </xdr:nvCxnSpPr>
            <xdr:spPr bwMode="auto">
              <a:xfrm>
                <a:off x="4633699" y="17193758"/>
                <a:ext cx="902419" cy="0"/>
              </a:xfrm>
              <a:prstGeom prst="line">
                <a:avLst/>
              </a:prstGeom>
              <a:ln w="28575">
                <a:solidFill>
                  <a:srgbClr val="7030A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167" name="直線コネクタ 4166"/>
              <xdr:cNvCxnSpPr/>
            </xdr:nvCxnSpPr>
            <xdr:spPr bwMode="auto">
              <a:xfrm>
                <a:off x="4633701" y="17013782"/>
                <a:ext cx="909525" cy="0"/>
              </a:xfrm>
              <a:prstGeom prst="line">
                <a:avLst/>
              </a:prstGeom>
              <a:ln w="28575">
                <a:solidFill>
                  <a:srgbClr val="7030A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168" name="直線コネクタ 4167"/>
              <xdr:cNvCxnSpPr/>
            </xdr:nvCxnSpPr>
            <xdr:spPr bwMode="auto">
              <a:xfrm>
                <a:off x="3837156" y="17045342"/>
                <a:ext cx="1003534" cy="0"/>
              </a:xfrm>
              <a:prstGeom prst="line">
                <a:avLst/>
              </a:prstGeom>
              <a:ln w="28575">
                <a:solidFill>
                  <a:srgbClr val="FF00FF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169" name="直線コネクタ 4168"/>
              <xdr:cNvCxnSpPr/>
            </xdr:nvCxnSpPr>
            <xdr:spPr bwMode="auto">
              <a:xfrm>
                <a:off x="3850946" y="17162201"/>
                <a:ext cx="1003534" cy="0"/>
              </a:xfrm>
              <a:prstGeom prst="line">
                <a:avLst/>
              </a:prstGeom>
              <a:ln w="28575">
                <a:solidFill>
                  <a:srgbClr val="FF00FF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44</xdr:col>
      <xdr:colOff>56091</xdr:colOff>
      <xdr:row>323</xdr:row>
      <xdr:rowOff>52916</xdr:rowOff>
    </xdr:from>
    <xdr:to>
      <xdr:col>52</xdr:col>
      <xdr:colOff>84667</xdr:colOff>
      <xdr:row>326</xdr:row>
      <xdr:rowOff>52916</xdr:rowOff>
    </xdr:to>
    <xdr:sp macro="" textlink="">
      <xdr:nvSpPr>
        <xdr:cNvPr id="3327" name="Rectangle 218"/>
        <xdr:cNvSpPr>
          <a:spLocks noChangeArrowheads="1"/>
        </xdr:cNvSpPr>
      </xdr:nvSpPr>
      <xdr:spPr bwMode="auto">
        <a:xfrm>
          <a:off x="3961341" y="28161191"/>
          <a:ext cx="714376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66675</xdr:colOff>
      <xdr:row>318</xdr:row>
      <xdr:rowOff>38100</xdr:rowOff>
    </xdr:from>
    <xdr:to>
      <xdr:col>61</xdr:col>
      <xdr:colOff>47625</xdr:colOff>
      <xdr:row>324</xdr:row>
      <xdr:rowOff>9525</xdr:rowOff>
    </xdr:to>
    <xdr:grpSp>
      <xdr:nvGrpSpPr>
        <xdr:cNvPr id="3328" name="グループ化 31"/>
        <xdr:cNvGrpSpPr>
          <a:grpSpLocks/>
        </xdr:cNvGrpSpPr>
      </xdr:nvGrpSpPr>
      <xdr:grpSpPr bwMode="auto">
        <a:xfrm>
          <a:off x="3235902" y="27989645"/>
          <a:ext cx="2232314" cy="490971"/>
          <a:chOff x="2070308" y="2363715"/>
          <a:chExt cx="2820993" cy="695788"/>
        </a:xfrm>
      </xdr:grpSpPr>
      <xdr:cxnSp macro="">
        <xdr:nvCxnSpPr>
          <xdr:cNvPr id="3329" name="直線コネクタ 4"/>
          <xdr:cNvCxnSpPr>
            <a:cxnSpLocks noChangeShapeType="1"/>
          </xdr:cNvCxnSpPr>
        </xdr:nvCxnSpPr>
        <xdr:spPr bwMode="auto">
          <a:xfrm>
            <a:off x="2070308" y="2546902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0" name="直線コネクタ 5"/>
          <xdr:cNvCxnSpPr>
            <a:cxnSpLocks noChangeShapeType="1"/>
          </xdr:cNvCxnSpPr>
        </xdr:nvCxnSpPr>
        <xdr:spPr bwMode="auto">
          <a:xfrm>
            <a:off x="2079833" y="2999201"/>
            <a:ext cx="2602119" cy="0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1" name="直線コネクタ 6"/>
          <xdr:cNvCxnSpPr>
            <a:cxnSpLocks noChangeShapeType="1"/>
          </xdr:cNvCxnSpPr>
        </xdr:nvCxnSpPr>
        <xdr:spPr bwMode="auto">
          <a:xfrm>
            <a:off x="4724105" y="2548488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2" name="直線コネクタ 8"/>
          <xdr:cNvCxnSpPr>
            <a:cxnSpLocks noChangeShapeType="1"/>
          </xdr:cNvCxnSpPr>
        </xdr:nvCxnSpPr>
        <xdr:spPr bwMode="auto">
          <a:xfrm>
            <a:off x="4726663" y="2998142"/>
            <a:ext cx="164638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3" name="直線コネクタ 9"/>
          <xdr:cNvCxnSpPr>
            <a:cxnSpLocks noChangeShapeType="1"/>
          </xdr:cNvCxnSpPr>
        </xdr:nvCxnSpPr>
        <xdr:spPr bwMode="auto">
          <a:xfrm>
            <a:off x="4884120" y="2557069"/>
            <a:ext cx="0" cy="43645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4" name="直線コネクタ 16"/>
          <xdr:cNvCxnSpPr>
            <a:cxnSpLocks noChangeShapeType="1"/>
          </xdr:cNvCxnSpPr>
        </xdr:nvCxnSpPr>
        <xdr:spPr bwMode="auto">
          <a:xfrm>
            <a:off x="2937429" y="2505489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5" name="直線コネクタ 18"/>
          <xdr:cNvCxnSpPr>
            <a:cxnSpLocks noChangeShapeType="1"/>
          </xdr:cNvCxnSpPr>
        </xdr:nvCxnSpPr>
        <xdr:spPr bwMode="auto">
          <a:xfrm>
            <a:off x="3112223" y="2504661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6" name="直線コネクタ 19"/>
          <xdr:cNvCxnSpPr>
            <a:cxnSpLocks noChangeShapeType="1"/>
          </xdr:cNvCxnSpPr>
        </xdr:nvCxnSpPr>
        <xdr:spPr bwMode="auto">
          <a:xfrm>
            <a:off x="3282056" y="2500519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7" name="直線コネクタ 20"/>
          <xdr:cNvCxnSpPr>
            <a:cxnSpLocks noChangeShapeType="1"/>
          </xdr:cNvCxnSpPr>
        </xdr:nvCxnSpPr>
        <xdr:spPr bwMode="auto">
          <a:xfrm>
            <a:off x="3456850" y="2499690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8" name="直線コネクタ 22"/>
          <xdr:cNvCxnSpPr>
            <a:cxnSpLocks noChangeShapeType="1"/>
          </xdr:cNvCxnSpPr>
        </xdr:nvCxnSpPr>
        <xdr:spPr bwMode="auto">
          <a:xfrm>
            <a:off x="3625677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39" name="直線コネクタ 23"/>
          <xdr:cNvCxnSpPr>
            <a:cxnSpLocks noChangeShapeType="1"/>
          </xdr:cNvCxnSpPr>
        </xdr:nvCxnSpPr>
        <xdr:spPr bwMode="auto">
          <a:xfrm>
            <a:off x="3788856" y="2503004"/>
            <a:ext cx="0" cy="554015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40" name="直線コネクタ 24"/>
          <xdr:cNvCxnSpPr>
            <a:cxnSpLocks noChangeShapeType="1"/>
          </xdr:cNvCxnSpPr>
        </xdr:nvCxnSpPr>
        <xdr:spPr bwMode="auto">
          <a:xfrm>
            <a:off x="3957017" y="2502176"/>
            <a:ext cx="0" cy="554014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41" name="直線コネクタ 25"/>
          <xdr:cNvCxnSpPr>
            <a:cxnSpLocks noChangeShapeType="1"/>
          </xdr:cNvCxnSpPr>
        </xdr:nvCxnSpPr>
        <xdr:spPr bwMode="auto">
          <a:xfrm>
            <a:off x="2072378" y="2420918"/>
            <a:ext cx="2591204" cy="0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42" name="直線コネクタ 26"/>
          <xdr:cNvCxnSpPr>
            <a:cxnSpLocks noChangeShapeType="1"/>
          </xdr:cNvCxnSpPr>
        </xdr:nvCxnSpPr>
        <xdr:spPr bwMode="auto">
          <a:xfrm>
            <a:off x="2078529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43" name="直線コネクタ 29"/>
          <xdr:cNvCxnSpPr>
            <a:cxnSpLocks noChangeShapeType="1"/>
          </xdr:cNvCxnSpPr>
        </xdr:nvCxnSpPr>
        <xdr:spPr bwMode="auto">
          <a:xfrm>
            <a:off x="4657970" y="2363715"/>
            <a:ext cx="0" cy="113702"/>
          </a:xfrm>
          <a:prstGeom prst="line">
            <a:avLst/>
          </a:prstGeom>
          <a:noFill/>
          <a:ln w="1270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30</xdr:col>
      <xdr:colOff>10353</xdr:colOff>
      <xdr:row>328</xdr:row>
      <xdr:rowOff>82827</xdr:rowOff>
    </xdr:from>
    <xdr:to>
      <xdr:col>30</xdr:col>
      <xdr:colOff>84860</xdr:colOff>
      <xdr:row>328</xdr:row>
      <xdr:rowOff>82827</xdr:rowOff>
    </xdr:to>
    <xdr:cxnSp macro="">
      <xdr:nvCxnSpPr>
        <xdr:cNvPr id="3351" name="直線コネクタ 3350"/>
        <xdr:cNvCxnSpPr/>
      </xdr:nvCxnSpPr>
      <xdr:spPr bwMode="auto">
        <a:xfrm>
          <a:off x="2774674" y="29356672"/>
          <a:ext cx="74507" cy="0"/>
        </a:xfrm>
        <a:prstGeom prst="line">
          <a:avLst/>
        </a:prstGeom>
        <a:ln w="57150">
          <a:solidFill>
            <a:srgbClr val="FF00FF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73275</xdr:colOff>
      <xdr:row>292</xdr:row>
      <xdr:rowOff>52447</xdr:rowOff>
    </xdr:from>
    <xdr:to>
      <xdr:col>67</xdr:col>
      <xdr:colOff>1</xdr:colOff>
      <xdr:row>297</xdr:row>
      <xdr:rowOff>54952</xdr:rowOff>
    </xdr:to>
    <xdr:grpSp>
      <xdr:nvGrpSpPr>
        <xdr:cNvPr id="17" name="グループ化 16"/>
        <xdr:cNvGrpSpPr/>
      </xdr:nvGrpSpPr>
      <xdr:grpSpPr>
        <a:xfrm>
          <a:off x="2809548" y="25752629"/>
          <a:ext cx="3130589" cy="435459"/>
          <a:chOff x="2837596" y="26158194"/>
          <a:chExt cx="3182826" cy="442519"/>
        </a:xfrm>
      </xdr:grpSpPr>
      <xdr:cxnSp macro="">
        <xdr:nvCxnSpPr>
          <xdr:cNvPr id="3377" name="直線コネクタ 3376"/>
          <xdr:cNvCxnSpPr/>
        </xdr:nvCxnSpPr>
        <xdr:spPr bwMode="auto">
          <a:xfrm>
            <a:off x="3747881" y="26204103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グループ化 17"/>
          <xdr:cNvGrpSpPr/>
        </xdr:nvGrpSpPr>
        <xdr:grpSpPr>
          <a:xfrm>
            <a:off x="2837596" y="26158194"/>
            <a:ext cx="3182826" cy="442519"/>
            <a:chOff x="12667195" y="28326416"/>
            <a:chExt cx="4430306" cy="504253"/>
          </a:xfrm>
        </xdr:grpSpPr>
        <xdr:grpSp>
          <xdr:nvGrpSpPr>
            <xdr:cNvPr id="3658" name="グループ化 7"/>
            <xdr:cNvGrpSpPr>
              <a:grpSpLocks/>
            </xdr:cNvGrpSpPr>
          </xdr:nvGrpSpPr>
          <xdr:grpSpPr bwMode="auto">
            <a:xfrm>
              <a:off x="12667195" y="28327416"/>
              <a:ext cx="4430306" cy="503253"/>
              <a:chOff x="2821040" y="21041379"/>
              <a:chExt cx="4179389" cy="474915"/>
            </a:xfrm>
          </xdr:grpSpPr>
          <xdr:cxnSp macro="">
            <xdr:nvCxnSpPr>
              <xdr:cNvPr id="3659" name="直線コネクタ 3658"/>
              <xdr:cNvCxnSpPr/>
            </xdr:nvCxnSpPr>
            <xdr:spPr bwMode="auto">
              <a:xfrm>
                <a:off x="3067061" y="21463234"/>
                <a:ext cx="901697" cy="0"/>
              </a:xfrm>
              <a:prstGeom prst="line">
                <a:avLst/>
              </a:prstGeom>
              <a:ln w="28575">
                <a:solidFill>
                  <a:srgbClr val="7030A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3660" name="グループ化 6"/>
              <xdr:cNvGrpSpPr>
                <a:grpSpLocks/>
              </xdr:cNvGrpSpPr>
            </xdr:nvGrpSpPr>
            <xdr:grpSpPr bwMode="auto">
              <a:xfrm>
                <a:off x="2821040" y="21041379"/>
                <a:ext cx="4179389" cy="474915"/>
                <a:chOff x="2821040" y="21041379"/>
                <a:chExt cx="4179389" cy="474915"/>
              </a:xfrm>
            </xdr:grpSpPr>
            <xdr:grpSp>
              <xdr:nvGrpSpPr>
                <xdr:cNvPr id="3661" name="グループ化 9"/>
                <xdr:cNvGrpSpPr>
                  <a:grpSpLocks/>
                </xdr:cNvGrpSpPr>
              </xdr:nvGrpSpPr>
              <xdr:grpSpPr bwMode="auto">
                <a:xfrm>
                  <a:off x="2868354" y="21041379"/>
                  <a:ext cx="4132075" cy="466364"/>
                  <a:chOff x="8192912" y="856170"/>
                  <a:chExt cx="3726694" cy="414624"/>
                </a:xfrm>
              </xdr:grpSpPr>
              <xdr:grpSp>
                <xdr:nvGrpSpPr>
                  <xdr:cNvPr id="3664" name="グループ化 1141"/>
                  <xdr:cNvGrpSpPr>
                    <a:grpSpLocks/>
                  </xdr:cNvGrpSpPr>
                </xdr:nvGrpSpPr>
                <xdr:grpSpPr bwMode="auto">
                  <a:xfrm>
                    <a:off x="8192912" y="856170"/>
                    <a:ext cx="3667971" cy="382932"/>
                    <a:chOff x="16560806" y="791619"/>
                    <a:chExt cx="5872706" cy="607942"/>
                  </a:xfrm>
                </xdr:grpSpPr>
                <xdr:cxnSp macro="">
                  <xdr:nvCxnSpPr>
                    <xdr:cNvPr id="3689" name="直線コネクタ 3688"/>
                    <xdr:cNvCxnSpPr/>
                  </xdr:nvCxnSpPr>
                  <xdr:spPr>
                    <a:xfrm>
                      <a:off x="16560806" y="791619"/>
                      <a:ext cx="601200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0" name="直線コネクタ 3689"/>
                    <xdr:cNvCxnSpPr/>
                  </xdr:nvCxnSpPr>
                  <xdr:spPr>
                    <a:xfrm>
                      <a:off x="16560806" y="1167002"/>
                      <a:ext cx="5872706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1" name="直線コネクタ 3690"/>
                    <xdr:cNvCxnSpPr/>
                  </xdr:nvCxnSpPr>
                  <xdr:spPr>
                    <a:xfrm>
                      <a:off x="17804197" y="791619"/>
                      <a:ext cx="587536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2" name="直線コネクタ 3691"/>
                    <xdr:cNvCxnSpPr/>
                  </xdr:nvCxnSpPr>
                  <xdr:spPr bwMode="auto">
                    <a:xfrm>
                      <a:off x="17162006" y="792037"/>
                      <a:ext cx="0" cy="607524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3" name="直線コネクタ 3692"/>
                    <xdr:cNvCxnSpPr/>
                  </xdr:nvCxnSpPr>
                  <xdr:spPr bwMode="auto">
                    <a:xfrm>
                      <a:off x="17817861" y="800970"/>
                      <a:ext cx="0" cy="576255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4" name="直線コネクタ 3693"/>
                    <xdr:cNvCxnSpPr/>
                  </xdr:nvCxnSpPr>
                  <xdr:spPr>
                    <a:xfrm>
                      <a:off x="17886179" y="863534"/>
                      <a:ext cx="0" cy="504564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5" name="直線コネクタ 3694"/>
                    <xdr:cNvCxnSpPr/>
                  </xdr:nvCxnSpPr>
                  <xdr:spPr>
                    <a:xfrm>
                      <a:off x="17995488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6" name="直線コネクタ 3695"/>
                    <xdr:cNvCxnSpPr/>
                  </xdr:nvCxnSpPr>
                  <xdr:spPr>
                    <a:xfrm>
                      <a:off x="18118461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7" name="直線コネクタ 3696"/>
                    <xdr:cNvCxnSpPr/>
                  </xdr:nvCxnSpPr>
                  <xdr:spPr>
                    <a:xfrm>
                      <a:off x="17093688" y="854599"/>
                      <a:ext cx="0" cy="513499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8" name="直線コネクタ 3697"/>
                    <xdr:cNvCxnSpPr/>
                  </xdr:nvCxnSpPr>
                  <xdr:spPr>
                    <a:xfrm>
                      <a:off x="16984379" y="850133"/>
                      <a:ext cx="0" cy="517966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99" name="直線コネクタ 3698"/>
                    <xdr:cNvCxnSpPr/>
                  </xdr:nvCxnSpPr>
                  <xdr:spPr>
                    <a:xfrm>
                      <a:off x="16887003" y="845667"/>
                      <a:ext cx="0" cy="522432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0" name="直線コネクタ 3699"/>
                    <xdr:cNvCxnSpPr/>
                  </xdr:nvCxnSpPr>
                  <xdr:spPr bwMode="auto">
                    <a:xfrm>
                      <a:off x="16847740" y="1132330"/>
                      <a:ext cx="1311869" cy="0"/>
                    </a:xfrm>
                    <a:prstGeom prst="line">
                      <a:avLst/>
                    </a:prstGeom>
                    <a:ln w="28575">
                      <a:solidFill>
                        <a:srgbClr val="7030A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1" name="直線コネクタ 3700"/>
                    <xdr:cNvCxnSpPr/>
                  </xdr:nvCxnSpPr>
                  <xdr:spPr bwMode="auto">
                    <a:xfrm>
                      <a:off x="17476270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2" name="直線コネクタ 3701"/>
                    <xdr:cNvCxnSpPr/>
                  </xdr:nvCxnSpPr>
                  <xdr:spPr bwMode="auto">
                    <a:xfrm>
                      <a:off x="17571915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3" name="直線コネクタ 3702"/>
                    <xdr:cNvCxnSpPr/>
                  </xdr:nvCxnSpPr>
                  <xdr:spPr bwMode="auto">
                    <a:xfrm>
                      <a:off x="1765389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4" name="直線コネクタ 3703"/>
                    <xdr:cNvCxnSpPr/>
                  </xdr:nvCxnSpPr>
                  <xdr:spPr bwMode="auto">
                    <a:xfrm>
                      <a:off x="17749543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5" name="直線コネクタ 3704"/>
                    <xdr:cNvCxnSpPr/>
                  </xdr:nvCxnSpPr>
                  <xdr:spPr bwMode="auto">
                    <a:xfrm>
                      <a:off x="17380624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6" name="直線コネクタ 3705"/>
                    <xdr:cNvCxnSpPr/>
                  </xdr:nvCxnSpPr>
                  <xdr:spPr bwMode="auto">
                    <a:xfrm>
                      <a:off x="17298642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7" name="直線コネクタ 3706"/>
                    <xdr:cNvCxnSpPr/>
                  </xdr:nvCxnSpPr>
                  <xdr:spPr bwMode="auto">
                    <a:xfrm>
                      <a:off x="1720299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8" name="直線コネクタ 3707"/>
                    <xdr:cNvCxnSpPr/>
                  </xdr:nvCxnSpPr>
                  <xdr:spPr bwMode="auto">
                    <a:xfrm>
                      <a:off x="17522059" y="1354686"/>
                      <a:ext cx="159165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09" name="直線コネクタ 3708"/>
                    <xdr:cNvCxnSpPr/>
                  </xdr:nvCxnSpPr>
                  <xdr:spPr bwMode="auto">
                    <a:xfrm flipV="1">
                      <a:off x="17663273" y="925686"/>
                      <a:ext cx="400534" cy="435101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10" name="直線コネクタ 3709"/>
                    <xdr:cNvCxnSpPr/>
                  </xdr:nvCxnSpPr>
                  <xdr:spPr bwMode="auto">
                    <a:xfrm>
                      <a:off x="17298642" y="1354692"/>
                      <a:ext cx="136869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711" name="直線コネクタ 3710"/>
                    <xdr:cNvCxnSpPr/>
                  </xdr:nvCxnSpPr>
                  <xdr:spPr bwMode="auto">
                    <a:xfrm flipH="1" flipV="1">
                      <a:off x="16902397" y="952497"/>
                      <a:ext cx="409909" cy="402196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grpSp>
                <xdr:nvGrpSpPr>
                  <xdr:cNvPr id="3665" name="グループ化 1141"/>
                  <xdr:cNvGrpSpPr>
                    <a:grpSpLocks/>
                  </xdr:cNvGrpSpPr>
                </xdr:nvGrpSpPr>
                <xdr:grpSpPr bwMode="auto">
                  <a:xfrm>
                    <a:off x="9524222" y="856170"/>
                    <a:ext cx="1135026" cy="380003"/>
                    <a:chOff x="16564916" y="791619"/>
                    <a:chExt cx="1817264" cy="603292"/>
                  </a:xfrm>
                </xdr:grpSpPr>
                <xdr:cxnSp macro="">
                  <xdr:nvCxnSpPr>
                    <xdr:cNvPr id="3668" name="直線コネクタ 3667"/>
                    <xdr:cNvCxnSpPr/>
                  </xdr:nvCxnSpPr>
                  <xdr:spPr>
                    <a:xfrm>
                      <a:off x="16564916" y="791619"/>
                      <a:ext cx="573873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69" name="直線コネクタ 3668"/>
                    <xdr:cNvCxnSpPr/>
                  </xdr:nvCxnSpPr>
                  <xdr:spPr>
                    <a:xfrm>
                      <a:off x="17808307" y="791619"/>
                      <a:ext cx="573873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0" name="直線コネクタ 3669"/>
                    <xdr:cNvCxnSpPr/>
                  </xdr:nvCxnSpPr>
                  <xdr:spPr bwMode="auto">
                    <a:xfrm>
                      <a:off x="17138788" y="792037"/>
                      <a:ext cx="0" cy="589656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1" name="直線コネクタ 3670"/>
                    <xdr:cNvCxnSpPr/>
                  </xdr:nvCxnSpPr>
                  <xdr:spPr bwMode="auto">
                    <a:xfrm>
                      <a:off x="17808308" y="796504"/>
                      <a:ext cx="0" cy="585189"/>
                    </a:xfrm>
                    <a:prstGeom prst="line">
                      <a:avLst/>
                    </a:prstGeom>
                    <a:ln w="28575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2" name="直線コネクタ 3671"/>
                    <xdr:cNvCxnSpPr/>
                  </xdr:nvCxnSpPr>
                  <xdr:spPr>
                    <a:xfrm>
                      <a:off x="17862961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3" name="直線コネクタ 3672"/>
                    <xdr:cNvCxnSpPr/>
                  </xdr:nvCxnSpPr>
                  <xdr:spPr>
                    <a:xfrm>
                      <a:off x="17985933" y="872467"/>
                      <a:ext cx="0" cy="495631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4" name="直線コネクタ 3673"/>
                    <xdr:cNvCxnSpPr/>
                  </xdr:nvCxnSpPr>
                  <xdr:spPr>
                    <a:xfrm>
                      <a:off x="18108907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5" name="直線コネクタ 3674"/>
                    <xdr:cNvCxnSpPr/>
                  </xdr:nvCxnSpPr>
                  <xdr:spPr>
                    <a:xfrm>
                      <a:off x="17084134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6" name="直線コネクタ 3675"/>
                    <xdr:cNvCxnSpPr/>
                  </xdr:nvCxnSpPr>
                  <xdr:spPr>
                    <a:xfrm>
                      <a:off x="16974826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7" name="直線コネクタ 3676"/>
                    <xdr:cNvCxnSpPr/>
                  </xdr:nvCxnSpPr>
                  <xdr:spPr>
                    <a:xfrm>
                      <a:off x="16851852" y="868001"/>
                      <a:ext cx="0" cy="500098"/>
                    </a:xfrm>
                    <a:prstGeom prst="line">
                      <a:avLst/>
                    </a:prstGeom>
                    <a:ln w="28575">
                      <a:solidFill>
                        <a:srgbClr val="00B05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8" name="直線コネクタ 3677"/>
                    <xdr:cNvCxnSpPr/>
                  </xdr:nvCxnSpPr>
                  <xdr:spPr bwMode="auto">
                    <a:xfrm>
                      <a:off x="17480380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79" name="直線コネクタ 3678"/>
                    <xdr:cNvCxnSpPr/>
                  </xdr:nvCxnSpPr>
                  <xdr:spPr bwMode="auto">
                    <a:xfrm>
                      <a:off x="17562361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0" name="直線コネクタ 3679"/>
                    <xdr:cNvCxnSpPr/>
                  </xdr:nvCxnSpPr>
                  <xdr:spPr bwMode="auto">
                    <a:xfrm>
                      <a:off x="1765800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1" name="直線コネクタ 3680"/>
                    <xdr:cNvCxnSpPr/>
                  </xdr:nvCxnSpPr>
                  <xdr:spPr bwMode="auto">
                    <a:xfrm>
                      <a:off x="17726325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2" name="直線コネクタ 3681"/>
                    <xdr:cNvCxnSpPr/>
                  </xdr:nvCxnSpPr>
                  <xdr:spPr bwMode="auto">
                    <a:xfrm>
                      <a:off x="17371070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3" name="直線コネクタ 3682"/>
                    <xdr:cNvCxnSpPr/>
                  </xdr:nvCxnSpPr>
                  <xdr:spPr bwMode="auto">
                    <a:xfrm>
                      <a:off x="17275425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4" name="直線コネクタ 3683"/>
                    <xdr:cNvCxnSpPr/>
                  </xdr:nvCxnSpPr>
                  <xdr:spPr bwMode="auto">
                    <a:xfrm>
                      <a:off x="17207107" y="1126781"/>
                      <a:ext cx="0" cy="268130"/>
                    </a:xfrm>
                    <a:prstGeom prst="line">
                      <a:avLst/>
                    </a:prstGeom>
                    <a:ln w="12700">
                      <a:solidFill>
                        <a:schemeClr val="accent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5" name="直線コネクタ 3684"/>
                    <xdr:cNvCxnSpPr/>
                  </xdr:nvCxnSpPr>
                  <xdr:spPr bwMode="auto">
                    <a:xfrm>
                      <a:off x="17521941" y="1354686"/>
                      <a:ext cx="149730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6" name="直線コネクタ 3685"/>
                    <xdr:cNvCxnSpPr/>
                  </xdr:nvCxnSpPr>
                  <xdr:spPr bwMode="auto">
                    <a:xfrm flipV="1">
                      <a:off x="17663152" y="925686"/>
                      <a:ext cx="391100" cy="424854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7" name="直線コネクタ 3686"/>
                    <xdr:cNvCxnSpPr/>
                  </xdr:nvCxnSpPr>
                  <xdr:spPr bwMode="auto">
                    <a:xfrm>
                      <a:off x="17289088" y="1354692"/>
                      <a:ext cx="137191" cy="0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688" name="直線コネクタ 3687"/>
                    <xdr:cNvCxnSpPr/>
                  </xdr:nvCxnSpPr>
                  <xdr:spPr bwMode="auto">
                    <a:xfrm flipH="1" flipV="1">
                      <a:off x="16892843" y="952497"/>
                      <a:ext cx="396246" cy="402196"/>
                    </a:xfrm>
                    <a:prstGeom prst="line">
                      <a:avLst/>
                    </a:prstGeom>
                    <a:ln w="28575">
                      <a:solidFill>
                        <a:srgbClr val="FFC000"/>
                      </a:solidFill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3666" name="直線コネクタ 3665"/>
                  <xdr:cNvCxnSpPr/>
                </xdr:nvCxnSpPr>
                <xdr:spPr bwMode="auto">
                  <a:xfrm>
                    <a:off x="11598551" y="1270794"/>
                    <a:ext cx="107702" cy="0"/>
                  </a:xfrm>
                  <a:prstGeom prst="line">
                    <a:avLst/>
                  </a:prstGeom>
                  <a:ln w="28575">
                    <a:solidFill>
                      <a:srgbClr val="00B0F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667" name="直線コネクタ 3666"/>
                  <xdr:cNvCxnSpPr/>
                </xdr:nvCxnSpPr>
                <xdr:spPr bwMode="auto">
                  <a:xfrm flipH="1">
                    <a:off x="11697721" y="1051236"/>
                    <a:ext cx="221885" cy="219558"/>
                  </a:xfrm>
                  <a:prstGeom prst="line">
                    <a:avLst/>
                  </a:prstGeom>
                  <a:ln w="28575">
                    <a:solidFill>
                      <a:srgbClr val="00B0F0"/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3662" name="直線コネクタ 3661"/>
                <xdr:cNvCxnSpPr/>
              </xdr:nvCxnSpPr>
              <xdr:spPr bwMode="auto">
                <a:xfrm>
                  <a:off x="3057598" y="21506796"/>
                  <a:ext cx="145211" cy="0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663" name="直線コネクタ 3662"/>
                <xdr:cNvCxnSpPr/>
              </xdr:nvCxnSpPr>
              <xdr:spPr bwMode="auto">
                <a:xfrm>
                  <a:off x="2821040" y="21269338"/>
                  <a:ext cx="246021" cy="246956"/>
                </a:xfrm>
                <a:prstGeom prst="line">
                  <a:avLst/>
                </a:prstGeom>
                <a:ln w="28575">
                  <a:solidFill>
                    <a:srgbClr val="00B0F0"/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3712" name="直線コネクタ 3711"/>
            <xdr:cNvCxnSpPr/>
          </xdr:nvCxnSpPr>
          <xdr:spPr bwMode="auto">
            <a:xfrm>
              <a:off x="15683495" y="28326416"/>
              <a:ext cx="42264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3" name="直線コネクタ 3712"/>
            <xdr:cNvCxnSpPr/>
          </xdr:nvCxnSpPr>
          <xdr:spPr bwMode="auto">
            <a:xfrm>
              <a:off x="16594677" y="28326416"/>
              <a:ext cx="422646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4" name="直線コネクタ 3713"/>
            <xdr:cNvCxnSpPr/>
          </xdr:nvCxnSpPr>
          <xdr:spPr bwMode="auto">
            <a:xfrm>
              <a:off x="16106139" y="28326709"/>
              <a:ext cx="0" cy="441172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5" name="直線コネクタ 3714"/>
            <xdr:cNvCxnSpPr/>
          </xdr:nvCxnSpPr>
          <xdr:spPr bwMode="auto">
            <a:xfrm>
              <a:off x="16594678" y="28335303"/>
              <a:ext cx="0" cy="432579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6" name="直線コネクタ 3715"/>
            <xdr:cNvCxnSpPr/>
          </xdr:nvCxnSpPr>
          <xdr:spPr bwMode="auto">
            <a:xfrm>
              <a:off x="16632329" y="28385486"/>
              <a:ext cx="0" cy="372854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7" name="直線コネクタ 3716"/>
            <xdr:cNvCxnSpPr/>
          </xdr:nvCxnSpPr>
          <xdr:spPr bwMode="auto">
            <a:xfrm>
              <a:off x="16715299" y="28388620"/>
              <a:ext cx="0" cy="369718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8" name="直線コネクタ 3717"/>
            <xdr:cNvCxnSpPr/>
          </xdr:nvCxnSpPr>
          <xdr:spPr bwMode="auto">
            <a:xfrm>
              <a:off x="16805477" y="28385486"/>
              <a:ext cx="0" cy="372854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直線コネクタ 3718"/>
            <xdr:cNvCxnSpPr/>
          </xdr:nvCxnSpPr>
          <xdr:spPr bwMode="auto">
            <a:xfrm>
              <a:off x="16063028" y="28385486"/>
              <a:ext cx="0" cy="372854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直線コネクタ 3719"/>
            <xdr:cNvCxnSpPr/>
          </xdr:nvCxnSpPr>
          <xdr:spPr bwMode="auto">
            <a:xfrm>
              <a:off x="15982265" y="28385486"/>
              <a:ext cx="0" cy="372854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直線コネクタ 3720"/>
            <xdr:cNvCxnSpPr/>
          </xdr:nvCxnSpPr>
          <xdr:spPr bwMode="auto">
            <a:xfrm>
              <a:off x="15892088" y="28385486"/>
              <a:ext cx="0" cy="372854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2" name="直線コネクタ 3721"/>
            <xdr:cNvCxnSpPr/>
          </xdr:nvCxnSpPr>
          <xdr:spPr bwMode="auto">
            <a:xfrm>
              <a:off x="16352386" y="28578041"/>
              <a:ext cx="0" cy="19911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3" name="直線コネクタ 3722"/>
            <xdr:cNvCxnSpPr/>
          </xdr:nvCxnSpPr>
          <xdr:spPr bwMode="auto">
            <a:xfrm>
              <a:off x="16414323" y="28578041"/>
              <a:ext cx="0" cy="19911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4" name="直線コネクタ 3723"/>
            <xdr:cNvCxnSpPr/>
          </xdr:nvCxnSpPr>
          <xdr:spPr bwMode="auto">
            <a:xfrm>
              <a:off x="16485674" y="28578041"/>
              <a:ext cx="0" cy="19911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5" name="直線コネクタ 3724"/>
            <xdr:cNvCxnSpPr/>
          </xdr:nvCxnSpPr>
          <xdr:spPr bwMode="auto">
            <a:xfrm>
              <a:off x="16532740" y="28578041"/>
              <a:ext cx="0" cy="19911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6" name="直線コネクタ 3725"/>
            <xdr:cNvCxnSpPr/>
          </xdr:nvCxnSpPr>
          <xdr:spPr bwMode="auto">
            <a:xfrm>
              <a:off x="16271622" y="28578041"/>
              <a:ext cx="0" cy="19911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7" name="直線コネクタ 3726"/>
            <xdr:cNvCxnSpPr/>
          </xdr:nvCxnSpPr>
          <xdr:spPr bwMode="auto">
            <a:xfrm>
              <a:off x="16205730" y="28578041"/>
              <a:ext cx="0" cy="19911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8" name="直線コネクタ 3727"/>
            <xdr:cNvCxnSpPr/>
          </xdr:nvCxnSpPr>
          <xdr:spPr bwMode="auto">
            <a:xfrm>
              <a:off x="16153205" y="28578041"/>
              <a:ext cx="0" cy="19911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9" name="直線コネクタ 3728"/>
            <xdr:cNvCxnSpPr/>
          </xdr:nvCxnSpPr>
          <xdr:spPr bwMode="auto">
            <a:xfrm>
              <a:off x="16386478" y="28748925"/>
              <a:ext cx="108610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30" name="直線コネクタ 3729"/>
            <xdr:cNvCxnSpPr/>
          </xdr:nvCxnSpPr>
          <xdr:spPr bwMode="auto">
            <a:xfrm flipV="1">
              <a:off x="16489219" y="28431435"/>
              <a:ext cx="285812" cy="31458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31" name="直線コネクタ 3730"/>
            <xdr:cNvCxnSpPr/>
          </xdr:nvCxnSpPr>
          <xdr:spPr bwMode="auto">
            <a:xfrm>
              <a:off x="16215143" y="28748930"/>
              <a:ext cx="99972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32" name="直線コネクタ 3731"/>
            <xdr:cNvCxnSpPr/>
          </xdr:nvCxnSpPr>
          <xdr:spPr bwMode="auto">
            <a:xfrm flipH="1" flipV="1">
              <a:off x="15925785" y="28450253"/>
              <a:ext cx="289358" cy="298677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2" name="直線コネクタ 3351"/>
          <xdr:cNvCxnSpPr/>
        </xdr:nvCxnSpPr>
        <xdr:spPr bwMode="auto">
          <a:xfrm>
            <a:off x="2992895" y="26194430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6" name="直線コネクタ 3375"/>
          <xdr:cNvCxnSpPr/>
        </xdr:nvCxnSpPr>
        <xdr:spPr bwMode="auto">
          <a:xfrm>
            <a:off x="5854770" y="26209279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直線コネクタ 3377"/>
          <xdr:cNvCxnSpPr/>
        </xdr:nvCxnSpPr>
        <xdr:spPr bwMode="auto">
          <a:xfrm>
            <a:off x="4094715" y="26198926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4" name="直線コネクタ 3383"/>
          <xdr:cNvCxnSpPr/>
        </xdr:nvCxnSpPr>
        <xdr:spPr bwMode="auto">
          <a:xfrm>
            <a:off x="4866033" y="26198927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直線コネクタ 3384"/>
          <xdr:cNvCxnSpPr/>
        </xdr:nvCxnSpPr>
        <xdr:spPr bwMode="auto">
          <a:xfrm>
            <a:off x="5106436" y="26206382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6" name="直線コネクタ 3385"/>
          <xdr:cNvCxnSpPr/>
        </xdr:nvCxnSpPr>
        <xdr:spPr bwMode="auto">
          <a:xfrm>
            <a:off x="3832984" y="26206381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1" name="直線コネクタ 3390"/>
          <xdr:cNvCxnSpPr/>
        </xdr:nvCxnSpPr>
        <xdr:spPr bwMode="auto">
          <a:xfrm>
            <a:off x="3998636" y="26206380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直線コネクタ 3391"/>
          <xdr:cNvCxnSpPr/>
        </xdr:nvCxnSpPr>
        <xdr:spPr bwMode="auto">
          <a:xfrm>
            <a:off x="4987373" y="26211558"/>
            <a:ext cx="0" cy="344202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5" name="直線コネクタ 3424"/>
          <xdr:cNvCxnSpPr/>
        </xdr:nvCxnSpPr>
        <xdr:spPr bwMode="auto">
          <a:xfrm>
            <a:off x="3369987" y="26405991"/>
            <a:ext cx="1035559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6" name="直線コネクタ 3425"/>
          <xdr:cNvCxnSpPr/>
        </xdr:nvCxnSpPr>
        <xdr:spPr bwMode="auto">
          <a:xfrm>
            <a:off x="3384217" y="26526853"/>
            <a:ext cx="1035559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直線コネクタ 3426"/>
          <xdr:cNvCxnSpPr/>
        </xdr:nvCxnSpPr>
        <xdr:spPr bwMode="auto">
          <a:xfrm>
            <a:off x="4131754" y="26548612"/>
            <a:ext cx="686690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8" name="直線コネクタ 3427"/>
          <xdr:cNvCxnSpPr/>
        </xdr:nvCxnSpPr>
        <xdr:spPr bwMode="auto">
          <a:xfrm>
            <a:off x="4131754" y="26380789"/>
            <a:ext cx="691867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9" name="直線コネクタ 3428"/>
          <xdr:cNvCxnSpPr/>
        </xdr:nvCxnSpPr>
        <xdr:spPr bwMode="auto">
          <a:xfrm>
            <a:off x="5133121" y="26550890"/>
            <a:ext cx="686690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0" name="直線コネクタ 3429"/>
          <xdr:cNvCxnSpPr/>
        </xdr:nvCxnSpPr>
        <xdr:spPr bwMode="auto">
          <a:xfrm>
            <a:off x="5133121" y="26383067"/>
            <a:ext cx="691867" cy="0"/>
          </a:xfrm>
          <a:prstGeom prst="line">
            <a:avLst/>
          </a:prstGeom>
          <a:ln w="28575">
            <a:solidFill>
              <a:srgbClr val="7030A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5" name="直線コネクタ 3434"/>
          <xdr:cNvCxnSpPr/>
        </xdr:nvCxnSpPr>
        <xdr:spPr bwMode="auto">
          <a:xfrm>
            <a:off x="4480063" y="26408269"/>
            <a:ext cx="1035559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6" name="直線コネクタ 3435"/>
          <xdr:cNvCxnSpPr/>
        </xdr:nvCxnSpPr>
        <xdr:spPr bwMode="auto">
          <a:xfrm>
            <a:off x="4494293" y="26529131"/>
            <a:ext cx="1035559" cy="0"/>
          </a:xfrm>
          <a:prstGeom prst="line">
            <a:avLst/>
          </a:prstGeom>
          <a:ln w="28575">
            <a:solidFill>
              <a:srgbClr val="FF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107</xdr:col>
      <xdr:colOff>5951</xdr:colOff>
      <xdr:row>132</xdr:row>
      <xdr:rowOff>83342</xdr:rowOff>
    </xdr:from>
    <xdr:to>
      <xdr:col>131</xdr:col>
      <xdr:colOff>57140</xdr:colOff>
      <xdr:row>136</xdr:row>
      <xdr:rowOff>123312</xdr:rowOff>
    </xdr:to>
    <xdr:grpSp>
      <xdr:nvGrpSpPr>
        <xdr:cNvPr id="3319" name="グループ化 2528"/>
        <xdr:cNvGrpSpPr>
          <a:grpSpLocks/>
        </xdr:cNvGrpSpPr>
      </xdr:nvGrpSpPr>
      <xdr:grpSpPr bwMode="auto">
        <a:xfrm>
          <a:off x="9409724" y="11513342"/>
          <a:ext cx="2129371" cy="542197"/>
          <a:chOff x="13417776" y="18108262"/>
          <a:chExt cx="2142000" cy="556385"/>
        </a:xfrm>
      </xdr:grpSpPr>
      <xdr:grpSp>
        <xdr:nvGrpSpPr>
          <xdr:cNvPr id="3321" name="グループ化 31"/>
          <xdr:cNvGrpSpPr>
            <a:grpSpLocks/>
          </xdr:cNvGrpSpPr>
        </xdr:nvGrpSpPr>
        <xdr:grpSpPr bwMode="auto">
          <a:xfrm>
            <a:off x="13417776" y="18108262"/>
            <a:ext cx="2142000" cy="556385"/>
            <a:chOff x="2203292" y="2363715"/>
            <a:chExt cx="2688009" cy="782172"/>
          </a:xfrm>
        </xdr:grpSpPr>
        <xdr:cxnSp macro="">
          <xdr:nvCxnSpPr>
            <xdr:cNvPr id="3324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325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326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347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379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31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32" name="直線コネクタ 18"/>
            <xdr:cNvCxnSpPr>
              <a:cxnSpLocks noChangeShapeType="1"/>
            </xdr:cNvCxnSpPr>
          </xdr:nvCxnSpPr>
          <xdr:spPr bwMode="auto">
            <a:xfrm>
              <a:off x="3085688" y="250466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33" name="直線コネクタ 19"/>
            <xdr:cNvCxnSpPr>
              <a:cxnSpLocks noChangeShapeType="1"/>
            </xdr:cNvCxnSpPr>
          </xdr:nvCxnSpPr>
          <xdr:spPr bwMode="auto">
            <a:xfrm>
              <a:off x="3222350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34" name="直線コネクタ 20"/>
            <xdr:cNvCxnSpPr>
              <a:cxnSpLocks noChangeShapeType="1"/>
            </xdr:cNvCxnSpPr>
          </xdr:nvCxnSpPr>
          <xdr:spPr bwMode="auto">
            <a:xfrm>
              <a:off x="3370609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37" name="直線コネクタ 21"/>
            <xdr:cNvCxnSpPr>
              <a:cxnSpLocks noChangeShapeType="1"/>
            </xdr:cNvCxnSpPr>
          </xdr:nvCxnSpPr>
          <xdr:spPr bwMode="auto">
            <a:xfrm>
              <a:off x="3507271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38" name="直線コネクタ 22"/>
            <xdr:cNvCxnSpPr>
              <a:cxnSpLocks noChangeShapeType="1"/>
            </xdr:cNvCxnSpPr>
          </xdr:nvCxnSpPr>
          <xdr:spPr bwMode="auto">
            <a:xfrm>
              <a:off x="3655530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39" name="直線コネクタ 23"/>
            <xdr:cNvCxnSpPr>
              <a:cxnSpLocks noChangeShapeType="1"/>
            </xdr:cNvCxnSpPr>
          </xdr:nvCxnSpPr>
          <xdr:spPr bwMode="auto">
            <a:xfrm>
              <a:off x="3808758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40" name="直線コネクタ 25"/>
            <xdr:cNvCxnSpPr>
              <a:cxnSpLocks noChangeShapeType="1"/>
            </xdr:cNvCxnSpPr>
          </xdr:nvCxnSpPr>
          <xdr:spPr bwMode="auto">
            <a:xfrm>
              <a:off x="2929736" y="2429354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41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42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43" name="直線コネクタ 4"/>
            <xdr:cNvCxnSpPr>
              <a:cxnSpLocks noChangeShapeType="1"/>
            </xdr:cNvCxnSpPr>
          </xdr:nvCxnSpPr>
          <xdr:spPr bwMode="auto">
            <a:xfrm>
              <a:off x="2203292" y="2724067"/>
              <a:ext cx="339625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44" name="直線コネクタ 4"/>
            <xdr:cNvCxnSpPr>
              <a:cxnSpLocks noChangeShapeType="1"/>
            </xdr:cNvCxnSpPr>
          </xdr:nvCxnSpPr>
          <xdr:spPr bwMode="auto">
            <a:xfrm>
              <a:off x="2265695" y="3145887"/>
              <a:ext cx="33962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322" name="直線コネクタ 4"/>
          <xdr:cNvCxnSpPr>
            <a:cxnSpLocks noChangeShapeType="1"/>
          </xdr:cNvCxnSpPr>
        </xdr:nvCxnSpPr>
        <xdr:spPr bwMode="auto">
          <a:xfrm flipV="1">
            <a:off x="13682036" y="18242775"/>
            <a:ext cx="322107" cy="123532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323" name="直線コネクタ 4"/>
          <xdr:cNvCxnSpPr>
            <a:cxnSpLocks noChangeShapeType="1"/>
          </xdr:cNvCxnSpPr>
        </xdr:nvCxnSpPr>
        <xdr:spPr bwMode="auto">
          <a:xfrm flipV="1">
            <a:off x="13741001" y="18558772"/>
            <a:ext cx="266487" cy="10220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74</xdr:col>
      <xdr:colOff>47364</xdr:colOff>
      <xdr:row>167</xdr:row>
      <xdr:rowOff>33646</xdr:rowOff>
    </xdr:from>
    <xdr:to>
      <xdr:col>99</xdr:col>
      <xdr:colOff>15726</xdr:colOff>
      <xdr:row>173</xdr:row>
      <xdr:rowOff>81900</xdr:rowOff>
    </xdr:to>
    <xdr:grpSp>
      <xdr:nvGrpSpPr>
        <xdr:cNvPr id="3445" name="グループ化 2528"/>
        <xdr:cNvGrpSpPr>
          <a:grpSpLocks/>
        </xdr:cNvGrpSpPr>
      </xdr:nvGrpSpPr>
      <xdr:grpSpPr bwMode="auto">
        <a:xfrm>
          <a:off x="6593637" y="14754101"/>
          <a:ext cx="2133134" cy="567799"/>
          <a:chOff x="13417776" y="18108262"/>
          <a:chExt cx="2142000" cy="556385"/>
        </a:xfrm>
      </xdr:grpSpPr>
      <xdr:grpSp>
        <xdr:nvGrpSpPr>
          <xdr:cNvPr id="3446" name="グループ化 31"/>
          <xdr:cNvGrpSpPr>
            <a:grpSpLocks/>
          </xdr:cNvGrpSpPr>
        </xdr:nvGrpSpPr>
        <xdr:grpSpPr bwMode="auto">
          <a:xfrm>
            <a:off x="13417776" y="18108262"/>
            <a:ext cx="2142000" cy="556385"/>
            <a:chOff x="2203292" y="2363715"/>
            <a:chExt cx="2688009" cy="782172"/>
          </a:xfrm>
        </xdr:grpSpPr>
        <xdr:cxnSp macro="">
          <xdr:nvCxnSpPr>
            <xdr:cNvPr id="3449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50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51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52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53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54" name="直線コネクタ 16"/>
            <xdr:cNvCxnSpPr>
              <a:cxnSpLocks noChangeShapeType="1"/>
            </xdr:cNvCxnSpPr>
          </xdr:nvCxnSpPr>
          <xdr:spPr bwMode="auto">
            <a:xfrm>
              <a:off x="2937429" y="250548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65" name="直線コネクタ 18"/>
            <xdr:cNvCxnSpPr>
              <a:cxnSpLocks noChangeShapeType="1"/>
            </xdr:cNvCxnSpPr>
          </xdr:nvCxnSpPr>
          <xdr:spPr bwMode="auto">
            <a:xfrm>
              <a:off x="3085688" y="250466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66" name="直線コネクタ 19"/>
            <xdr:cNvCxnSpPr>
              <a:cxnSpLocks noChangeShapeType="1"/>
            </xdr:cNvCxnSpPr>
          </xdr:nvCxnSpPr>
          <xdr:spPr bwMode="auto">
            <a:xfrm>
              <a:off x="3222350" y="250051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78" name="直線コネクタ 20"/>
            <xdr:cNvCxnSpPr>
              <a:cxnSpLocks noChangeShapeType="1"/>
            </xdr:cNvCxnSpPr>
          </xdr:nvCxnSpPr>
          <xdr:spPr bwMode="auto">
            <a:xfrm>
              <a:off x="3370609" y="249969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79" name="直線コネクタ 21"/>
            <xdr:cNvCxnSpPr>
              <a:cxnSpLocks noChangeShapeType="1"/>
            </xdr:cNvCxnSpPr>
          </xdr:nvCxnSpPr>
          <xdr:spPr bwMode="auto">
            <a:xfrm>
              <a:off x="3507271" y="2503832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80" name="直線コネクタ 22"/>
            <xdr:cNvCxnSpPr>
              <a:cxnSpLocks noChangeShapeType="1"/>
            </xdr:cNvCxnSpPr>
          </xdr:nvCxnSpPr>
          <xdr:spPr bwMode="auto">
            <a:xfrm>
              <a:off x="3655530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81" name="直線コネクタ 23"/>
            <xdr:cNvCxnSpPr>
              <a:cxnSpLocks noChangeShapeType="1"/>
            </xdr:cNvCxnSpPr>
          </xdr:nvCxnSpPr>
          <xdr:spPr bwMode="auto">
            <a:xfrm>
              <a:off x="3808758" y="2503004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87" name="直線コネクタ 25"/>
            <xdr:cNvCxnSpPr>
              <a:cxnSpLocks noChangeShapeType="1"/>
            </xdr:cNvCxnSpPr>
          </xdr:nvCxnSpPr>
          <xdr:spPr bwMode="auto">
            <a:xfrm>
              <a:off x="2929736" y="2429354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88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92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493" name="直線コネクタ 4"/>
            <xdr:cNvCxnSpPr>
              <a:cxnSpLocks noChangeShapeType="1"/>
            </xdr:cNvCxnSpPr>
          </xdr:nvCxnSpPr>
          <xdr:spPr bwMode="auto">
            <a:xfrm>
              <a:off x="2203292" y="2724067"/>
              <a:ext cx="339625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504" name="直線コネクタ 4"/>
            <xdr:cNvCxnSpPr>
              <a:cxnSpLocks noChangeShapeType="1"/>
            </xdr:cNvCxnSpPr>
          </xdr:nvCxnSpPr>
          <xdr:spPr bwMode="auto">
            <a:xfrm>
              <a:off x="2265695" y="3145887"/>
              <a:ext cx="33962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447" name="直線コネクタ 4"/>
          <xdr:cNvCxnSpPr>
            <a:cxnSpLocks noChangeShapeType="1"/>
          </xdr:cNvCxnSpPr>
        </xdr:nvCxnSpPr>
        <xdr:spPr bwMode="auto">
          <a:xfrm flipV="1">
            <a:off x="13682036" y="18242775"/>
            <a:ext cx="322107" cy="123532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48" name="直線コネクタ 4"/>
          <xdr:cNvCxnSpPr>
            <a:cxnSpLocks noChangeShapeType="1"/>
          </xdr:cNvCxnSpPr>
        </xdr:nvCxnSpPr>
        <xdr:spPr bwMode="auto">
          <a:xfrm flipV="1">
            <a:off x="13741001" y="18558772"/>
            <a:ext cx="266487" cy="102201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72</xdr:col>
      <xdr:colOff>13455</xdr:colOff>
      <xdr:row>173</xdr:row>
      <xdr:rowOff>71821</xdr:rowOff>
    </xdr:from>
    <xdr:to>
      <xdr:col>80</xdr:col>
      <xdr:colOff>43364</xdr:colOff>
      <xdr:row>176</xdr:row>
      <xdr:rowOff>71822</xdr:rowOff>
    </xdr:to>
    <xdr:sp macro="" textlink="">
      <xdr:nvSpPr>
        <xdr:cNvPr id="3505" name="Rectangle 218"/>
        <xdr:cNvSpPr>
          <a:spLocks noChangeArrowheads="1"/>
        </xdr:cNvSpPr>
      </xdr:nvSpPr>
      <xdr:spPr bwMode="auto">
        <a:xfrm>
          <a:off x="6126020" y="14690625"/>
          <a:ext cx="692518" cy="248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109</xdr:col>
      <xdr:colOff>62593</xdr:colOff>
      <xdr:row>241</xdr:row>
      <xdr:rowOff>16600</xdr:rowOff>
    </xdr:from>
    <xdr:ext cx="423193" cy="183384"/>
    <xdr:sp macro="" textlink="">
      <xdr:nvSpPr>
        <xdr:cNvPr id="3512" name="Rectangle 217"/>
        <xdr:cNvSpPr>
          <a:spLocks noChangeArrowheads="1"/>
        </xdr:cNvSpPr>
      </xdr:nvSpPr>
      <xdr:spPr bwMode="auto">
        <a:xfrm>
          <a:off x="5926680" y="16093143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109</xdr:col>
      <xdr:colOff>38100</xdr:colOff>
      <xdr:row>239</xdr:row>
      <xdr:rowOff>19050</xdr:rowOff>
    </xdr:from>
    <xdr:to>
      <xdr:col>114</xdr:col>
      <xdr:colOff>0</xdr:colOff>
      <xdr:row>240</xdr:row>
      <xdr:rowOff>66675</xdr:rowOff>
    </xdr:to>
    <xdr:grpSp>
      <xdr:nvGrpSpPr>
        <xdr:cNvPr id="3513" name="Group 350"/>
        <xdr:cNvGrpSpPr>
          <a:grpSpLocks/>
        </xdr:cNvGrpSpPr>
      </xdr:nvGrpSpPr>
      <xdr:grpSpPr bwMode="auto">
        <a:xfrm>
          <a:off x="9615055" y="21077959"/>
          <a:ext cx="394854" cy="134216"/>
          <a:chOff x="340" y="51"/>
          <a:chExt cx="60" cy="20"/>
        </a:xfrm>
        <a:solidFill>
          <a:schemeClr val="bg1"/>
        </a:solidFill>
      </xdr:grpSpPr>
      <xdr:sp macro="" textlink="">
        <xdr:nvSpPr>
          <xdr:cNvPr id="3514" name="Rectangle 347"/>
          <xdr:cNvSpPr>
            <a:spLocks noChangeArrowheads="1"/>
          </xdr:cNvSpPr>
        </xdr:nvSpPr>
        <xdr:spPr bwMode="auto">
          <a:xfrm>
            <a:off x="340" y="51"/>
            <a:ext cx="60" cy="20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515" name="Line 348"/>
          <xdr:cNvSpPr>
            <a:spLocks noChangeShapeType="1"/>
          </xdr:cNvSpPr>
        </xdr:nvSpPr>
        <xdr:spPr bwMode="auto">
          <a:xfrm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  <xdr:sp macro="" textlink="">
        <xdr:nvSpPr>
          <xdr:cNvPr id="3516" name="Line 349"/>
          <xdr:cNvSpPr>
            <a:spLocks noChangeShapeType="1"/>
          </xdr:cNvSpPr>
        </xdr:nvSpPr>
        <xdr:spPr bwMode="auto">
          <a:xfrm flipV="1">
            <a:off x="340" y="51"/>
            <a:ext cx="60" cy="20"/>
          </a:xfrm>
          <a:prstGeom prst="lin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/>
        </xdr:spPr>
      </xdr:sp>
    </xdr:grpSp>
    <xdr:clientData/>
  </xdr:twoCellAnchor>
  <xdr:twoCellAnchor>
    <xdr:from>
      <xdr:col>110</xdr:col>
      <xdr:colOff>19384</xdr:colOff>
      <xdr:row>251</xdr:row>
      <xdr:rowOff>3038</xdr:rowOff>
    </xdr:from>
    <xdr:to>
      <xdr:col>111</xdr:col>
      <xdr:colOff>3354</xdr:colOff>
      <xdr:row>251</xdr:row>
      <xdr:rowOff>3038</xdr:rowOff>
    </xdr:to>
    <xdr:cxnSp macro="">
      <xdr:nvCxnSpPr>
        <xdr:cNvPr id="3528" name="直線コネクタ 3527"/>
        <xdr:cNvCxnSpPr/>
      </xdr:nvCxnSpPr>
      <xdr:spPr bwMode="auto">
        <a:xfrm>
          <a:off x="5966297" y="16907842"/>
          <a:ext cx="66796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78607</xdr:colOff>
      <xdr:row>260</xdr:row>
      <xdr:rowOff>17109</xdr:rowOff>
    </xdr:from>
    <xdr:to>
      <xdr:col>110</xdr:col>
      <xdr:colOff>67138</xdr:colOff>
      <xdr:row>260</xdr:row>
      <xdr:rowOff>17208</xdr:rowOff>
    </xdr:to>
    <xdr:cxnSp macro="">
      <xdr:nvCxnSpPr>
        <xdr:cNvPr id="3529" name="直線コネクタ 3528"/>
        <xdr:cNvCxnSpPr/>
      </xdr:nvCxnSpPr>
      <xdr:spPr>
        <a:xfrm flipH="1" flipV="1">
          <a:off x="5942694" y="17667348"/>
          <a:ext cx="71357" cy="99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6046</xdr:colOff>
      <xdr:row>281</xdr:row>
      <xdr:rowOff>87337</xdr:rowOff>
    </xdr:from>
    <xdr:to>
      <xdr:col>110</xdr:col>
      <xdr:colOff>79516</xdr:colOff>
      <xdr:row>281</xdr:row>
      <xdr:rowOff>87337</xdr:rowOff>
    </xdr:to>
    <xdr:cxnSp macro="">
      <xdr:nvCxnSpPr>
        <xdr:cNvPr id="3572" name="直線コネクタ 3571"/>
        <xdr:cNvCxnSpPr/>
      </xdr:nvCxnSpPr>
      <xdr:spPr bwMode="auto">
        <a:xfrm>
          <a:off x="5952959" y="19476924"/>
          <a:ext cx="73470" cy="0"/>
        </a:xfrm>
        <a:prstGeom prst="line">
          <a:avLst/>
        </a:prstGeom>
        <a:ln w="57150">
          <a:solidFill>
            <a:srgbClr val="00B0F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66675</xdr:colOff>
      <xdr:row>283</xdr:row>
      <xdr:rowOff>0</xdr:rowOff>
    </xdr:from>
    <xdr:to>
      <xdr:col>119</xdr:col>
      <xdr:colOff>47625</xdr:colOff>
      <xdr:row>285</xdr:row>
      <xdr:rowOff>0</xdr:rowOff>
    </xdr:to>
    <xdr:grpSp>
      <xdr:nvGrpSpPr>
        <xdr:cNvPr id="3573" name="グループ化 700"/>
        <xdr:cNvGrpSpPr>
          <a:grpSpLocks/>
        </xdr:cNvGrpSpPr>
      </xdr:nvGrpSpPr>
      <xdr:grpSpPr bwMode="auto">
        <a:xfrm>
          <a:off x="10422948" y="24868909"/>
          <a:ext cx="67541" cy="173182"/>
          <a:chOff x="3165758" y="15657662"/>
          <a:chExt cx="67219" cy="163244"/>
        </a:xfrm>
      </xdr:grpSpPr>
      <xdr:sp macro="" textlink="">
        <xdr:nvSpPr>
          <xdr:cNvPr id="3574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76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77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126</xdr:col>
      <xdr:colOff>50402</xdr:colOff>
      <xdr:row>266</xdr:row>
      <xdr:rowOff>49609</xdr:rowOff>
    </xdr:from>
    <xdr:to>
      <xdr:col>134</xdr:col>
      <xdr:colOff>86783</xdr:colOff>
      <xdr:row>269</xdr:row>
      <xdr:rowOff>49609</xdr:rowOff>
    </xdr:to>
    <xdr:sp macro="" textlink="">
      <xdr:nvSpPr>
        <xdr:cNvPr id="3578" name="Rectangle 218"/>
        <xdr:cNvSpPr>
          <a:spLocks noChangeArrowheads="1"/>
        </xdr:cNvSpPr>
      </xdr:nvSpPr>
      <xdr:spPr bwMode="auto">
        <a:xfrm>
          <a:off x="7322532" y="18196805"/>
          <a:ext cx="698990" cy="248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1525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110</xdr:col>
      <xdr:colOff>6804</xdr:colOff>
      <xdr:row>271</xdr:row>
      <xdr:rowOff>83046</xdr:rowOff>
    </xdr:from>
    <xdr:to>
      <xdr:col>110</xdr:col>
      <xdr:colOff>81311</xdr:colOff>
      <xdr:row>271</xdr:row>
      <xdr:rowOff>83046</xdr:rowOff>
    </xdr:to>
    <xdr:cxnSp macro="">
      <xdr:nvCxnSpPr>
        <xdr:cNvPr id="3579" name="直線コネクタ 3578"/>
        <xdr:cNvCxnSpPr/>
      </xdr:nvCxnSpPr>
      <xdr:spPr bwMode="auto">
        <a:xfrm>
          <a:off x="5953717" y="18644372"/>
          <a:ext cx="74507" cy="0"/>
        </a:xfrm>
        <a:prstGeom prst="line">
          <a:avLst/>
        </a:prstGeom>
        <a:ln w="57150">
          <a:solidFill>
            <a:srgbClr val="7030A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9921</xdr:colOff>
      <xdr:row>273</xdr:row>
      <xdr:rowOff>79374</xdr:rowOff>
    </xdr:from>
    <xdr:to>
      <xdr:col>140</xdr:col>
      <xdr:colOff>46302</xdr:colOff>
      <xdr:row>276</xdr:row>
      <xdr:rowOff>79375</xdr:rowOff>
    </xdr:to>
    <xdr:sp macro="" textlink="">
      <xdr:nvSpPr>
        <xdr:cNvPr id="3580" name="Rectangle 218"/>
        <xdr:cNvSpPr>
          <a:spLocks noChangeArrowheads="1"/>
        </xdr:cNvSpPr>
      </xdr:nvSpPr>
      <xdr:spPr bwMode="auto">
        <a:xfrm>
          <a:off x="7779008" y="18806352"/>
          <a:ext cx="698990" cy="248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126</xdr:col>
      <xdr:colOff>53789</xdr:colOff>
      <xdr:row>274</xdr:row>
      <xdr:rowOff>33392</xdr:rowOff>
    </xdr:from>
    <xdr:to>
      <xdr:col>134</xdr:col>
      <xdr:colOff>83893</xdr:colOff>
      <xdr:row>277</xdr:row>
      <xdr:rowOff>33392</xdr:rowOff>
    </xdr:to>
    <xdr:sp macro="" textlink="">
      <xdr:nvSpPr>
        <xdr:cNvPr id="3581" name="Rectangle 218"/>
        <xdr:cNvSpPr>
          <a:spLocks noChangeArrowheads="1"/>
        </xdr:cNvSpPr>
      </xdr:nvSpPr>
      <xdr:spPr bwMode="auto">
        <a:xfrm>
          <a:off x="10951703" y="23819616"/>
          <a:ext cx="713276" cy="256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D10@100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116</xdr:col>
      <xdr:colOff>79715</xdr:colOff>
      <xdr:row>274</xdr:row>
      <xdr:rowOff>55256</xdr:rowOff>
    </xdr:from>
    <xdr:to>
      <xdr:col>125</xdr:col>
      <xdr:colOff>26799</xdr:colOff>
      <xdr:row>277</xdr:row>
      <xdr:rowOff>55257</xdr:rowOff>
    </xdr:to>
    <xdr:sp macro="" textlink="">
      <xdr:nvSpPr>
        <xdr:cNvPr id="3582" name="Rectangle 218"/>
        <xdr:cNvSpPr>
          <a:spLocks noChangeArrowheads="1"/>
        </xdr:cNvSpPr>
      </xdr:nvSpPr>
      <xdr:spPr bwMode="auto">
        <a:xfrm>
          <a:off x="6523585" y="18865060"/>
          <a:ext cx="692518" cy="248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350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129</xdr:col>
      <xdr:colOff>14542</xdr:colOff>
      <xdr:row>260</xdr:row>
      <xdr:rowOff>7270</xdr:rowOff>
    </xdr:from>
    <xdr:to>
      <xdr:col>130</xdr:col>
      <xdr:colOff>3073</xdr:colOff>
      <xdr:row>260</xdr:row>
      <xdr:rowOff>7369</xdr:rowOff>
    </xdr:to>
    <xdr:cxnSp macro="">
      <xdr:nvCxnSpPr>
        <xdr:cNvPr id="3583" name="直線コネクタ 3582"/>
        <xdr:cNvCxnSpPr/>
      </xdr:nvCxnSpPr>
      <xdr:spPr>
        <a:xfrm flipH="1" flipV="1">
          <a:off x="7535151" y="17657509"/>
          <a:ext cx="71357" cy="99"/>
        </a:xfrm>
        <a:prstGeom prst="line">
          <a:avLst/>
        </a:prstGeom>
        <a:ln w="57150">
          <a:solidFill>
            <a:srgbClr val="FFC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109</xdr:col>
      <xdr:colOff>62593</xdr:colOff>
      <xdr:row>241</xdr:row>
      <xdr:rowOff>16600</xdr:rowOff>
    </xdr:from>
    <xdr:ext cx="423193" cy="183384"/>
    <xdr:sp macro="" textlink="">
      <xdr:nvSpPr>
        <xdr:cNvPr id="3584" name="Rectangle 217"/>
        <xdr:cNvSpPr>
          <a:spLocks noChangeArrowheads="1"/>
        </xdr:cNvSpPr>
      </xdr:nvSpPr>
      <xdr:spPr bwMode="auto">
        <a:xfrm>
          <a:off x="5926680" y="16093143"/>
          <a:ext cx="423193" cy="183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参考図</a:t>
          </a:r>
        </a:p>
      </xdr:txBody>
    </xdr:sp>
    <xdr:clientData/>
  </xdr:oneCellAnchor>
  <xdr:twoCellAnchor>
    <xdr:from>
      <xdr:col>110</xdr:col>
      <xdr:colOff>19384</xdr:colOff>
      <xdr:row>251</xdr:row>
      <xdr:rowOff>3038</xdr:rowOff>
    </xdr:from>
    <xdr:to>
      <xdr:col>111</xdr:col>
      <xdr:colOff>3354</xdr:colOff>
      <xdr:row>251</xdr:row>
      <xdr:rowOff>3038</xdr:rowOff>
    </xdr:to>
    <xdr:cxnSp macro="">
      <xdr:nvCxnSpPr>
        <xdr:cNvPr id="3585" name="直線コネクタ 3584"/>
        <xdr:cNvCxnSpPr/>
      </xdr:nvCxnSpPr>
      <xdr:spPr bwMode="auto">
        <a:xfrm>
          <a:off x="5966297" y="16907842"/>
          <a:ext cx="66796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66675</xdr:colOff>
      <xdr:row>283</xdr:row>
      <xdr:rowOff>0</xdr:rowOff>
    </xdr:from>
    <xdr:to>
      <xdr:col>119</xdr:col>
      <xdr:colOff>47625</xdr:colOff>
      <xdr:row>285</xdr:row>
      <xdr:rowOff>0</xdr:rowOff>
    </xdr:to>
    <xdr:grpSp>
      <xdr:nvGrpSpPr>
        <xdr:cNvPr id="3586" name="グループ化 700"/>
        <xdr:cNvGrpSpPr>
          <a:grpSpLocks/>
        </xdr:cNvGrpSpPr>
      </xdr:nvGrpSpPr>
      <xdr:grpSpPr bwMode="auto">
        <a:xfrm>
          <a:off x="10422948" y="24868909"/>
          <a:ext cx="67541" cy="173182"/>
          <a:chOff x="3165758" y="15657662"/>
          <a:chExt cx="67219" cy="163244"/>
        </a:xfrm>
      </xdr:grpSpPr>
      <xdr:sp macro="" textlink="">
        <xdr:nvSpPr>
          <xdr:cNvPr id="3587" name="Line 223"/>
          <xdr:cNvSpPr>
            <a:spLocks noChangeShapeType="1"/>
          </xdr:cNvSpPr>
        </xdr:nvSpPr>
        <xdr:spPr bwMode="auto">
          <a:xfrm>
            <a:off x="3165758" y="15657662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88" name="Line 224"/>
          <xdr:cNvSpPr>
            <a:spLocks noChangeShapeType="1"/>
          </xdr:cNvSpPr>
        </xdr:nvSpPr>
        <xdr:spPr bwMode="auto">
          <a:xfrm>
            <a:off x="3165758" y="15820865"/>
            <a:ext cx="672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89" name="Line 225"/>
          <xdr:cNvSpPr>
            <a:spLocks noChangeShapeType="1"/>
          </xdr:cNvSpPr>
        </xdr:nvSpPr>
        <xdr:spPr bwMode="auto">
          <a:xfrm>
            <a:off x="3199367" y="15663348"/>
            <a:ext cx="0" cy="15755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120</xdr:col>
      <xdr:colOff>47625</xdr:colOff>
      <xdr:row>281</xdr:row>
      <xdr:rowOff>47625</xdr:rowOff>
    </xdr:from>
    <xdr:to>
      <xdr:col>134</xdr:col>
      <xdr:colOff>28575</xdr:colOff>
      <xdr:row>287</xdr:row>
      <xdr:rowOff>47625</xdr:rowOff>
    </xdr:to>
    <xdr:grpSp>
      <xdr:nvGrpSpPr>
        <xdr:cNvPr id="3590" name="グループ化 702"/>
        <xdr:cNvGrpSpPr>
          <a:grpSpLocks/>
        </xdr:cNvGrpSpPr>
      </xdr:nvGrpSpPr>
      <xdr:grpSpPr bwMode="auto">
        <a:xfrm>
          <a:off x="10577080" y="24743352"/>
          <a:ext cx="1193222" cy="519546"/>
          <a:chOff x="3634154" y="15404026"/>
          <a:chExt cx="1158481" cy="504350"/>
        </a:xfrm>
      </xdr:grpSpPr>
      <xdr:sp macro="" textlink="">
        <xdr:nvSpPr>
          <xdr:cNvPr id="3591" name="Rectangle 218"/>
          <xdr:cNvSpPr>
            <a:spLocks noChangeArrowheads="1"/>
          </xdr:cNvSpPr>
        </xdr:nvSpPr>
        <xdr:spPr bwMode="auto">
          <a:xfrm>
            <a:off x="3895746" y="15656201"/>
            <a:ext cx="373704" cy="252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200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592" name="Freeform 227"/>
          <xdr:cNvSpPr>
            <a:spLocks/>
          </xdr:cNvSpPr>
        </xdr:nvSpPr>
        <xdr:spPr bwMode="auto">
          <a:xfrm>
            <a:off x="4549612" y="15602077"/>
            <a:ext cx="125605" cy="65540"/>
          </a:xfrm>
          <a:custGeom>
            <a:avLst/>
            <a:gdLst>
              <a:gd name="T0" fmla="*/ 0 w 15"/>
              <a:gd name="T1" fmla="*/ 2147483646 h 8"/>
              <a:gd name="T2" fmla="*/ 2147483646 w 15"/>
              <a:gd name="T3" fmla="*/ 2147483646 h 8"/>
              <a:gd name="T4" fmla="*/ 2147483646 w 15"/>
              <a:gd name="T5" fmla="*/ 0 h 8"/>
              <a:gd name="T6" fmla="*/ 2147483646 w 15"/>
              <a:gd name="T7" fmla="*/ 2147483646 h 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" h="8">
                <a:moveTo>
                  <a:pt x="0" y="8"/>
                </a:moveTo>
                <a:cubicBezTo>
                  <a:pt x="1" y="5"/>
                  <a:pt x="2" y="3"/>
                  <a:pt x="3" y="2"/>
                </a:cubicBezTo>
                <a:cubicBezTo>
                  <a:pt x="4" y="1"/>
                  <a:pt x="6" y="0"/>
                  <a:pt x="8" y="0"/>
                </a:cubicBezTo>
                <a:cubicBezTo>
                  <a:pt x="10" y="0"/>
                  <a:pt x="12" y="1"/>
                  <a:pt x="15" y="2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93" name="Line 221"/>
          <xdr:cNvSpPr>
            <a:spLocks noChangeShapeType="1"/>
          </xdr:cNvSpPr>
        </xdr:nvSpPr>
        <xdr:spPr bwMode="auto">
          <a:xfrm>
            <a:off x="3634154" y="15684056"/>
            <a:ext cx="990642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94" name="Line 222"/>
          <xdr:cNvSpPr>
            <a:spLocks noChangeShapeType="1"/>
          </xdr:cNvSpPr>
        </xdr:nvSpPr>
        <xdr:spPr bwMode="auto">
          <a:xfrm flipV="1">
            <a:off x="4625018" y="15503657"/>
            <a:ext cx="167617" cy="17217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95" name="Rectangle 228"/>
          <xdr:cNvSpPr>
            <a:spLocks noChangeArrowheads="1"/>
          </xdr:cNvSpPr>
        </xdr:nvSpPr>
        <xdr:spPr bwMode="auto">
          <a:xfrm>
            <a:off x="4344191" y="15404026"/>
            <a:ext cx="373704" cy="27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ctr" upright="1">
            <a:noAutofit/>
          </a:bodyPr>
          <a:lstStyle/>
          <a:p>
            <a:pPr algn="ctr" rtl="0"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135°</a:t>
            </a:r>
          </a:p>
        </xdr:txBody>
      </xdr:sp>
    </xdr:grpSp>
    <xdr:clientData/>
  </xdr:twoCellAnchor>
  <xdr:twoCellAnchor>
    <xdr:from>
      <xdr:col>114</xdr:col>
      <xdr:colOff>19050</xdr:colOff>
      <xdr:row>260</xdr:row>
      <xdr:rowOff>9525</xdr:rowOff>
    </xdr:from>
    <xdr:to>
      <xdr:col>118</xdr:col>
      <xdr:colOff>9525</xdr:colOff>
      <xdr:row>267</xdr:row>
      <xdr:rowOff>19050</xdr:rowOff>
    </xdr:to>
    <xdr:grpSp>
      <xdr:nvGrpSpPr>
        <xdr:cNvPr id="3596" name="グループ化 3"/>
        <xdr:cNvGrpSpPr>
          <a:grpSpLocks/>
        </xdr:cNvGrpSpPr>
      </xdr:nvGrpSpPr>
      <xdr:grpSpPr bwMode="auto">
        <a:xfrm>
          <a:off x="10028959" y="22886843"/>
          <a:ext cx="336839" cy="615662"/>
          <a:chOff x="4956932" y="1715005"/>
          <a:chExt cx="367492" cy="648892"/>
        </a:xfrm>
      </xdr:grpSpPr>
      <xdr:grpSp>
        <xdr:nvGrpSpPr>
          <xdr:cNvPr id="3597" name="Group 852"/>
          <xdr:cNvGrpSpPr>
            <a:grpSpLocks/>
          </xdr:cNvGrpSpPr>
        </xdr:nvGrpSpPr>
        <xdr:grpSpPr bwMode="auto">
          <a:xfrm>
            <a:off x="5048250" y="1715005"/>
            <a:ext cx="190500" cy="469232"/>
            <a:chOff x="98" y="411"/>
            <a:chExt cx="21" cy="52"/>
          </a:xfrm>
        </xdr:grpSpPr>
        <xdr:sp macro="" textlink="">
          <xdr:nvSpPr>
            <xdr:cNvPr id="3599" name="Line 853"/>
            <xdr:cNvSpPr>
              <a:spLocks noChangeShapeType="1"/>
            </xdr:cNvSpPr>
          </xdr:nvSpPr>
          <xdr:spPr bwMode="auto">
            <a:xfrm rot="10800000" flipH="1">
              <a:off x="98" y="462"/>
              <a:ext cx="21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600" name="Line 854"/>
            <xdr:cNvSpPr>
              <a:spLocks noChangeShapeType="1"/>
            </xdr:cNvSpPr>
          </xdr:nvSpPr>
          <xdr:spPr bwMode="auto">
            <a:xfrm rot="10800000" flipH="1">
              <a:off x="98" y="411"/>
              <a:ext cx="0" cy="52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3598" name="Rectangle 860"/>
          <xdr:cNvSpPr>
            <a:spLocks noChangeArrowheads="1"/>
          </xdr:cNvSpPr>
        </xdr:nvSpPr>
        <xdr:spPr bwMode="auto">
          <a:xfrm>
            <a:off x="4956932" y="2181396"/>
            <a:ext cx="367492" cy="18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E6E6E6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150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116</xdr:col>
      <xdr:colOff>66675</xdr:colOff>
      <xdr:row>268</xdr:row>
      <xdr:rowOff>57172</xdr:rowOff>
    </xdr:from>
    <xdr:to>
      <xdr:col>141</xdr:col>
      <xdr:colOff>0</xdr:colOff>
      <xdr:row>276</xdr:row>
      <xdr:rowOff>28584</xdr:rowOff>
    </xdr:to>
    <xdr:grpSp>
      <xdr:nvGrpSpPr>
        <xdr:cNvPr id="3601" name="グループ化 2528"/>
        <xdr:cNvGrpSpPr>
          <a:grpSpLocks/>
        </xdr:cNvGrpSpPr>
      </xdr:nvGrpSpPr>
      <xdr:grpSpPr bwMode="auto">
        <a:xfrm>
          <a:off x="10249766" y="23627217"/>
          <a:ext cx="2098098" cy="664140"/>
          <a:chOff x="13451336" y="18108261"/>
          <a:chExt cx="2108441" cy="662505"/>
        </a:xfrm>
      </xdr:grpSpPr>
      <xdr:grpSp>
        <xdr:nvGrpSpPr>
          <xdr:cNvPr id="3602" name="グループ化 31"/>
          <xdr:cNvGrpSpPr>
            <a:grpSpLocks/>
          </xdr:cNvGrpSpPr>
        </xdr:nvGrpSpPr>
        <xdr:grpSpPr bwMode="auto">
          <a:xfrm>
            <a:off x="13996659" y="18108261"/>
            <a:ext cx="1563118" cy="481640"/>
            <a:chOff x="2929735" y="2363715"/>
            <a:chExt cx="1961566" cy="677095"/>
          </a:xfrm>
        </xdr:grpSpPr>
        <xdr:cxnSp macro="">
          <xdr:nvCxnSpPr>
            <xdr:cNvPr id="3605" name="直線コネクタ 4"/>
            <xdr:cNvCxnSpPr>
              <a:cxnSpLocks noChangeShapeType="1"/>
            </xdr:cNvCxnSpPr>
          </xdr:nvCxnSpPr>
          <xdr:spPr bwMode="auto">
            <a:xfrm>
              <a:off x="2929735" y="2546902"/>
              <a:ext cx="1742691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06" name="直線コネクタ 5"/>
            <xdr:cNvCxnSpPr>
              <a:cxnSpLocks noChangeShapeType="1"/>
            </xdr:cNvCxnSpPr>
          </xdr:nvCxnSpPr>
          <xdr:spPr bwMode="auto">
            <a:xfrm>
              <a:off x="2929736" y="2999201"/>
              <a:ext cx="1752216" cy="0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07" name="直線コネクタ 6"/>
            <xdr:cNvCxnSpPr>
              <a:cxnSpLocks noChangeShapeType="1"/>
            </xdr:cNvCxnSpPr>
          </xdr:nvCxnSpPr>
          <xdr:spPr bwMode="auto">
            <a:xfrm>
              <a:off x="4724105" y="2548488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08" name="直線コネクタ 8"/>
            <xdr:cNvCxnSpPr>
              <a:cxnSpLocks noChangeShapeType="1"/>
            </xdr:cNvCxnSpPr>
          </xdr:nvCxnSpPr>
          <xdr:spPr bwMode="auto">
            <a:xfrm>
              <a:off x="4726663" y="2998142"/>
              <a:ext cx="164638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09" name="直線コネクタ 9"/>
            <xdr:cNvCxnSpPr>
              <a:cxnSpLocks noChangeShapeType="1"/>
            </xdr:cNvCxnSpPr>
          </xdr:nvCxnSpPr>
          <xdr:spPr bwMode="auto">
            <a:xfrm>
              <a:off x="4884120" y="2557069"/>
              <a:ext cx="0" cy="43645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0" name="直線コネクタ 16"/>
            <xdr:cNvCxnSpPr>
              <a:cxnSpLocks noChangeShapeType="1"/>
            </xdr:cNvCxnSpPr>
          </xdr:nvCxnSpPr>
          <xdr:spPr bwMode="auto">
            <a:xfrm>
              <a:off x="3290383" y="2486796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1" name="直線コネクタ 18"/>
            <xdr:cNvCxnSpPr>
              <a:cxnSpLocks noChangeShapeType="1"/>
            </xdr:cNvCxnSpPr>
          </xdr:nvCxnSpPr>
          <xdr:spPr bwMode="auto">
            <a:xfrm>
              <a:off x="3438642" y="2485968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2" name="直線コネクタ 19"/>
            <xdr:cNvCxnSpPr>
              <a:cxnSpLocks noChangeShapeType="1"/>
            </xdr:cNvCxnSpPr>
          </xdr:nvCxnSpPr>
          <xdr:spPr bwMode="auto">
            <a:xfrm>
              <a:off x="3575305" y="2481826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3" name="直線コネクタ 20"/>
            <xdr:cNvCxnSpPr>
              <a:cxnSpLocks noChangeShapeType="1"/>
            </xdr:cNvCxnSpPr>
          </xdr:nvCxnSpPr>
          <xdr:spPr bwMode="auto">
            <a:xfrm>
              <a:off x="3723564" y="2480998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4" name="直線コネクタ 21"/>
            <xdr:cNvCxnSpPr>
              <a:cxnSpLocks noChangeShapeType="1"/>
            </xdr:cNvCxnSpPr>
          </xdr:nvCxnSpPr>
          <xdr:spPr bwMode="auto">
            <a:xfrm>
              <a:off x="3860225" y="2485139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5" name="直線コネクタ 22"/>
            <xdr:cNvCxnSpPr>
              <a:cxnSpLocks noChangeShapeType="1"/>
            </xdr:cNvCxnSpPr>
          </xdr:nvCxnSpPr>
          <xdr:spPr bwMode="auto">
            <a:xfrm>
              <a:off x="4008484" y="248431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6" name="直線コネクタ 23"/>
            <xdr:cNvCxnSpPr>
              <a:cxnSpLocks noChangeShapeType="1"/>
            </xdr:cNvCxnSpPr>
          </xdr:nvCxnSpPr>
          <xdr:spPr bwMode="auto">
            <a:xfrm>
              <a:off x="4161712" y="2484311"/>
              <a:ext cx="0" cy="554014"/>
            </a:xfrm>
            <a:prstGeom prst="line">
              <a:avLst/>
            </a:prstGeom>
            <a:noFill/>
            <a:ln w="1905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7" name="直線コネクタ 25"/>
            <xdr:cNvCxnSpPr>
              <a:cxnSpLocks noChangeShapeType="1"/>
            </xdr:cNvCxnSpPr>
          </xdr:nvCxnSpPr>
          <xdr:spPr bwMode="auto">
            <a:xfrm>
              <a:off x="2929736" y="2420917"/>
              <a:ext cx="1733846" cy="0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8" name="直線コネクタ 26"/>
            <xdr:cNvCxnSpPr>
              <a:cxnSpLocks noChangeShapeType="1"/>
            </xdr:cNvCxnSpPr>
          </xdr:nvCxnSpPr>
          <xdr:spPr bwMode="auto">
            <a:xfrm>
              <a:off x="2931661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3619" name="直線コネクタ 29"/>
            <xdr:cNvCxnSpPr>
              <a:cxnSpLocks noChangeShapeType="1"/>
            </xdr:cNvCxnSpPr>
          </xdr:nvCxnSpPr>
          <xdr:spPr bwMode="auto">
            <a:xfrm>
              <a:off x="4657970" y="2363715"/>
              <a:ext cx="0" cy="113702"/>
            </a:xfrm>
            <a:prstGeom prst="line">
              <a:avLst/>
            </a:prstGeom>
            <a:noFill/>
            <a:ln w="12700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cxnSp macro="">
        <xdr:nvCxnSpPr>
          <xdr:cNvPr id="3603" name="直線コネクタ 4"/>
          <xdr:cNvCxnSpPr>
            <a:cxnSpLocks noChangeShapeType="1"/>
          </xdr:cNvCxnSpPr>
        </xdr:nvCxnSpPr>
        <xdr:spPr bwMode="auto">
          <a:xfrm flipV="1">
            <a:off x="13451336" y="18242753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604" name="直線コネクタ 4"/>
          <xdr:cNvCxnSpPr>
            <a:cxnSpLocks noChangeShapeType="1"/>
          </xdr:cNvCxnSpPr>
        </xdr:nvCxnSpPr>
        <xdr:spPr bwMode="auto">
          <a:xfrm flipV="1">
            <a:off x="13454681" y="18558758"/>
            <a:ext cx="552807" cy="212008"/>
          </a:xfrm>
          <a:prstGeom prst="line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133</xdr:col>
      <xdr:colOff>0</xdr:colOff>
      <xdr:row>262</xdr:row>
      <xdr:rowOff>57150</xdr:rowOff>
    </xdr:from>
    <xdr:to>
      <xdr:col>140</xdr:col>
      <xdr:colOff>38100</xdr:colOff>
      <xdr:row>264</xdr:row>
      <xdr:rowOff>0</xdr:rowOff>
    </xdr:to>
    <xdr:grpSp>
      <xdr:nvGrpSpPr>
        <xdr:cNvPr id="3620" name="グループ化 5"/>
        <xdr:cNvGrpSpPr>
          <a:grpSpLocks/>
        </xdr:cNvGrpSpPr>
      </xdr:nvGrpSpPr>
      <xdr:grpSpPr bwMode="auto">
        <a:xfrm>
          <a:off x="11655136" y="23107650"/>
          <a:ext cx="644237" cy="116032"/>
          <a:chOff x="4791075" y="2762250"/>
          <a:chExt cx="714375" cy="142875"/>
        </a:xfrm>
      </xdr:grpSpPr>
      <xdr:sp macro="" textlink="">
        <xdr:nvSpPr>
          <xdr:cNvPr id="3621" name="Line 1348"/>
          <xdr:cNvSpPr>
            <a:spLocks noChangeShapeType="1"/>
          </xdr:cNvSpPr>
        </xdr:nvSpPr>
        <xdr:spPr bwMode="auto">
          <a:xfrm rot="-5400000">
            <a:off x="4986338" y="2709862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22" name="Line 1348"/>
          <xdr:cNvSpPr>
            <a:spLocks noChangeShapeType="1"/>
          </xdr:cNvSpPr>
        </xdr:nvSpPr>
        <xdr:spPr bwMode="auto">
          <a:xfrm rot="2700000">
            <a:off x="5310188" y="2566987"/>
            <a:ext cx="0" cy="390525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110</xdr:col>
      <xdr:colOff>19384</xdr:colOff>
      <xdr:row>251</xdr:row>
      <xdr:rowOff>3038</xdr:rowOff>
    </xdr:from>
    <xdr:to>
      <xdr:col>111</xdr:col>
      <xdr:colOff>3354</xdr:colOff>
      <xdr:row>251</xdr:row>
      <xdr:rowOff>3038</xdr:rowOff>
    </xdr:to>
    <xdr:cxnSp macro="">
      <xdr:nvCxnSpPr>
        <xdr:cNvPr id="3623" name="直線コネクタ 3622"/>
        <xdr:cNvCxnSpPr/>
      </xdr:nvCxnSpPr>
      <xdr:spPr bwMode="auto">
        <a:xfrm>
          <a:off x="5966297" y="16907842"/>
          <a:ext cx="66796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9603</xdr:colOff>
      <xdr:row>251</xdr:row>
      <xdr:rowOff>15285</xdr:rowOff>
    </xdr:from>
    <xdr:to>
      <xdr:col>121</xdr:col>
      <xdr:colOff>1781</xdr:colOff>
      <xdr:row>259</xdr:row>
      <xdr:rowOff>20533</xdr:rowOff>
    </xdr:to>
    <xdr:grpSp>
      <xdr:nvGrpSpPr>
        <xdr:cNvPr id="3635" name="グループ化 3634"/>
        <xdr:cNvGrpSpPr/>
      </xdr:nvGrpSpPr>
      <xdr:grpSpPr>
        <a:xfrm>
          <a:off x="10019512" y="22113285"/>
          <a:ext cx="598314" cy="697975"/>
          <a:chOff x="2966880" y="13360736"/>
          <a:chExt cx="601227" cy="701306"/>
        </a:xfrm>
      </xdr:grpSpPr>
      <xdr:sp macro="" textlink="">
        <xdr:nvSpPr>
          <xdr:cNvPr id="3733" name="テキスト ボックス 3732"/>
          <xdr:cNvSpPr txBox="1"/>
        </xdr:nvSpPr>
        <xdr:spPr bwMode="auto">
          <a:xfrm>
            <a:off x="3038608" y="13360736"/>
            <a:ext cx="529499" cy="146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+mn-ea"/>
                <a:ea typeface="+mn-ea"/>
              </a:rPr>
              <a:t>80</a:t>
            </a:r>
            <a:endParaRPr kumimoji="1" lang="ja-JP" altLang="en-US" sz="1050">
              <a:latin typeface="+mn-ea"/>
              <a:ea typeface="+mn-ea"/>
            </a:endParaRPr>
          </a:p>
        </xdr:txBody>
      </xdr:sp>
      <xdr:grpSp>
        <xdr:nvGrpSpPr>
          <xdr:cNvPr id="3734" name="グループ化 3733"/>
          <xdr:cNvGrpSpPr/>
        </xdr:nvGrpSpPr>
        <xdr:grpSpPr>
          <a:xfrm>
            <a:off x="2966880" y="13401816"/>
            <a:ext cx="338504" cy="660226"/>
            <a:chOff x="2966880" y="13401816"/>
            <a:chExt cx="338504" cy="660226"/>
          </a:xfrm>
        </xdr:grpSpPr>
        <xdr:grpSp>
          <xdr:nvGrpSpPr>
            <xdr:cNvPr id="3735" name="グループ化 3"/>
            <xdr:cNvGrpSpPr>
              <a:grpSpLocks/>
            </xdr:cNvGrpSpPr>
          </xdr:nvGrpSpPr>
          <xdr:grpSpPr bwMode="auto">
            <a:xfrm>
              <a:off x="2966880" y="13503887"/>
              <a:ext cx="338504" cy="558155"/>
              <a:chOff x="4956932" y="1778169"/>
              <a:chExt cx="367492" cy="585728"/>
            </a:xfrm>
          </xdr:grpSpPr>
          <xdr:grpSp>
            <xdr:nvGrpSpPr>
              <xdr:cNvPr id="3737" name="Group 852"/>
              <xdr:cNvGrpSpPr>
                <a:grpSpLocks/>
              </xdr:cNvGrpSpPr>
            </xdr:nvGrpSpPr>
            <xdr:grpSpPr bwMode="auto">
              <a:xfrm>
                <a:off x="5048250" y="1778169"/>
                <a:ext cx="190500" cy="406066"/>
                <a:chOff x="98" y="418"/>
                <a:chExt cx="21" cy="45"/>
              </a:xfrm>
            </xdr:grpSpPr>
            <xdr:sp macro="" textlink="">
              <xdr:nvSpPr>
                <xdr:cNvPr id="3739" name="Line 853"/>
                <xdr:cNvSpPr>
                  <a:spLocks noChangeShapeType="1"/>
                </xdr:cNvSpPr>
              </xdr:nvSpPr>
              <xdr:spPr bwMode="auto">
                <a:xfrm rot="10800000" flipH="1">
                  <a:off x="98" y="462"/>
                  <a:ext cx="21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  <xdr:sp macro="" textlink="">
              <xdr:nvSpPr>
                <xdr:cNvPr id="3740" name="Line 854"/>
                <xdr:cNvSpPr>
                  <a:spLocks noChangeShapeType="1"/>
                </xdr:cNvSpPr>
              </xdr:nvSpPr>
              <xdr:spPr bwMode="auto">
                <a:xfrm rot="10800000" flipH="1">
                  <a:off x="98" y="418"/>
                  <a:ext cx="0" cy="45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</xdr:sp>
          </xdr:grpSp>
          <xdr:sp macro="" textlink="">
            <xdr:nvSpPr>
              <xdr:cNvPr id="3738" name="Rectangle 860"/>
              <xdr:cNvSpPr>
                <a:spLocks noChangeArrowheads="1"/>
              </xdr:cNvSpPr>
            </xdr:nvSpPr>
            <xdr:spPr bwMode="auto">
              <a:xfrm>
                <a:off x="4956932" y="2181396"/>
                <a:ext cx="367492" cy="18250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E6E6E6" mc:Ignorable="a14" a14:legacySpreadsheetColorIndex="9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ja-JP"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150</a:t>
                </a:r>
                <a:endParaRPr lang="ja-JP" altLang="en-US" sz="105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xdr:txBody>
          </xdr:sp>
        </xdr:grpSp>
        <xdr:sp macro="" textlink="">
          <xdr:nvSpPr>
            <xdr:cNvPr id="3736" name="Freeform 146"/>
            <xdr:cNvSpPr>
              <a:spLocks/>
            </xdr:cNvSpPr>
          </xdr:nvSpPr>
          <xdr:spPr bwMode="auto">
            <a:xfrm rot="10800000" flipH="1">
              <a:off x="3052838" y="13401816"/>
              <a:ext cx="123077" cy="106504"/>
            </a:xfrm>
            <a:custGeom>
              <a:avLst/>
              <a:gdLst>
                <a:gd name="T0" fmla="*/ 0 w 10"/>
                <a:gd name="T1" fmla="*/ 0 h 9"/>
                <a:gd name="T2" fmla="*/ 1 w 10"/>
                <a:gd name="T3" fmla="*/ 7 h 9"/>
                <a:gd name="T4" fmla="*/ 5 w 10"/>
                <a:gd name="T5" fmla="*/ 9 h 9"/>
                <a:gd name="T6" fmla="*/ 9 w 10"/>
                <a:gd name="T7" fmla="*/ 7 h 9"/>
                <a:gd name="T8" fmla="*/ 10 w 10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10" h="9">
                  <a:moveTo>
                    <a:pt x="0" y="0"/>
                  </a:moveTo>
                  <a:cubicBezTo>
                    <a:pt x="0" y="1"/>
                    <a:pt x="0" y="6"/>
                    <a:pt x="1" y="7"/>
                  </a:cubicBezTo>
                  <a:cubicBezTo>
                    <a:pt x="2" y="8"/>
                    <a:pt x="4" y="9"/>
                    <a:pt x="5" y="9"/>
                  </a:cubicBezTo>
                  <a:cubicBezTo>
                    <a:pt x="6" y="9"/>
                    <a:pt x="8" y="8"/>
                    <a:pt x="9" y="7"/>
                  </a:cubicBezTo>
                  <a:cubicBezTo>
                    <a:pt x="10" y="6"/>
                    <a:pt x="10" y="1"/>
                    <a:pt x="10" y="0"/>
                  </a:cubicBezTo>
                </a:path>
              </a:pathLst>
            </a:custGeom>
            <a:noFill/>
            <a:ln w="190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E6E6E6" mc:Ignorable="a14" a14:legacySpreadsheetColorIndex="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120</xdr:col>
      <xdr:colOff>69042</xdr:colOff>
      <xdr:row>274</xdr:row>
      <xdr:rowOff>39961</xdr:rowOff>
    </xdr:from>
    <xdr:to>
      <xdr:col>129</xdr:col>
      <xdr:colOff>20027</xdr:colOff>
      <xdr:row>277</xdr:row>
      <xdr:rowOff>39961</xdr:rowOff>
    </xdr:to>
    <xdr:sp macro="" textlink="">
      <xdr:nvSpPr>
        <xdr:cNvPr id="4037" name="Rectangle 218"/>
        <xdr:cNvSpPr>
          <a:spLocks noChangeArrowheads="1"/>
        </xdr:cNvSpPr>
      </xdr:nvSpPr>
      <xdr:spPr bwMode="auto">
        <a:xfrm>
          <a:off x="10454576" y="23826185"/>
          <a:ext cx="719554" cy="256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325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117</xdr:col>
      <xdr:colOff>60511</xdr:colOff>
      <xdr:row>241</xdr:row>
      <xdr:rowOff>65400</xdr:rowOff>
    </xdr:from>
    <xdr:to>
      <xdr:col>139</xdr:col>
      <xdr:colOff>22412</xdr:colOff>
      <xdr:row>249</xdr:row>
      <xdr:rowOff>44114</xdr:rowOff>
    </xdr:to>
    <xdr:grpSp>
      <xdr:nvGrpSpPr>
        <xdr:cNvPr id="3320" name="グループ化 3319"/>
        <xdr:cNvGrpSpPr/>
      </xdr:nvGrpSpPr>
      <xdr:grpSpPr>
        <a:xfrm>
          <a:off x="10330193" y="21297491"/>
          <a:ext cx="1866901" cy="671441"/>
          <a:chOff x="3417849" y="12528399"/>
          <a:chExt cx="1878516" cy="675665"/>
        </a:xfrm>
      </xdr:grpSpPr>
      <xdr:cxnSp macro="">
        <xdr:nvCxnSpPr>
          <xdr:cNvPr id="3506" name="直線コネクタ 3505"/>
          <xdr:cNvCxnSpPr/>
        </xdr:nvCxnSpPr>
        <xdr:spPr bwMode="auto">
          <a:xfrm>
            <a:off x="3786652" y="12589382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直線コネクタ 3506"/>
          <xdr:cNvCxnSpPr/>
        </xdr:nvCxnSpPr>
        <xdr:spPr bwMode="auto">
          <a:xfrm>
            <a:off x="4823367" y="12600998"/>
            <a:ext cx="0" cy="600350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508" name="グループ化 2"/>
          <xdr:cNvGrpSpPr>
            <a:grpSpLocks/>
          </xdr:cNvGrpSpPr>
        </xdr:nvGrpSpPr>
        <xdr:grpSpPr bwMode="auto">
          <a:xfrm>
            <a:off x="3417849" y="12528399"/>
            <a:ext cx="1878516" cy="675665"/>
            <a:chOff x="3438525" y="12371840"/>
            <a:chExt cx="1847850" cy="672107"/>
          </a:xfrm>
        </xdr:grpSpPr>
        <xdr:cxnSp macro="">
          <xdr:nvCxnSpPr>
            <xdr:cNvPr id="3509" name="直線コネクタ 3508"/>
            <xdr:cNvCxnSpPr/>
          </xdr:nvCxnSpPr>
          <xdr:spPr bwMode="auto">
            <a:xfrm>
              <a:off x="3438525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直線コネクタ 3509"/>
            <xdr:cNvCxnSpPr/>
          </xdr:nvCxnSpPr>
          <xdr:spPr bwMode="auto">
            <a:xfrm>
              <a:off x="3438525" y="12767997"/>
              <a:ext cx="183832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直線コネクタ 3510"/>
            <xdr:cNvCxnSpPr/>
          </xdr:nvCxnSpPr>
          <xdr:spPr bwMode="auto">
            <a:xfrm>
              <a:off x="4686300" y="12373082"/>
              <a:ext cx="6000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41" name="直線コネクタ 3740"/>
            <xdr:cNvCxnSpPr/>
          </xdr:nvCxnSpPr>
          <xdr:spPr bwMode="auto">
            <a:xfrm>
              <a:off x="4038600" y="12371843"/>
              <a:ext cx="0" cy="658558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42" name="直線コネクタ 3741"/>
            <xdr:cNvCxnSpPr/>
          </xdr:nvCxnSpPr>
          <xdr:spPr bwMode="auto">
            <a:xfrm>
              <a:off x="4695825" y="12371840"/>
              <a:ext cx="0" cy="672107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01" name="直線コネクタ 3900"/>
            <xdr:cNvCxnSpPr/>
          </xdr:nvCxnSpPr>
          <xdr:spPr bwMode="auto">
            <a:xfrm>
              <a:off x="3700456" y="13018431"/>
              <a:ext cx="205322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02" name="直線コネクタ 3901"/>
            <xdr:cNvCxnSpPr/>
          </xdr:nvCxnSpPr>
          <xdr:spPr bwMode="auto">
            <a:xfrm flipH="1">
              <a:off x="4981575" y="12796893"/>
              <a:ext cx="219075" cy="221538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03" name="直線コネクタ 3902"/>
            <xdr:cNvCxnSpPr/>
          </xdr:nvCxnSpPr>
          <xdr:spPr bwMode="auto">
            <a:xfrm rot="5400000" flipH="1">
              <a:off x="3489675" y="12798125"/>
              <a:ext cx="221538" cy="219075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6" name="直線コネクタ 3935"/>
            <xdr:cNvCxnSpPr/>
          </xdr:nvCxnSpPr>
          <xdr:spPr bwMode="auto">
            <a:xfrm>
              <a:off x="4743450" y="1244204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37" name="直線コネクタ 3936"/>
            <xdr:cNvCxnSpPr/>
          </xdr:nvCxnSpPr>
          <xdr:spPr bwMode="auto">
            <a:xfrm>
              <a:off x="4901553" y="1243933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0" name="直線コネクタ 4009"/>
            <xdr:cNvCxnSpPr/>
          </xdr:nvCxnSpPr>
          <xdr:spPr bwMode="auto">
            <a:xfrm>
              <a:off x="4981575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1" name="直線コネクタ 4010"/>
            <xdr:cNvCxnSpPr/>
          </xdr:nvCxnSpPr>
          <xdr:spPr bwMode="auto">
            <a:xfrm>
              <a:off x="3980552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2" name="直線コネクタ 4011"/>
            <xdr:cNvCxnSpPr/>
          </xdr:nvCxnSpPr>
          <xdr:spPr bwMode="auto">
            <a:xfrm>
              <a:off x="3891360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3" name="直線コネクタ 4012"/>
            <xdr:cNvCxnSpPr/>
          </xdr:nvCxnSpPr>
          <xdr:spPr bwMode="auto">
            <a:xfrm>
              <a:off x="3716827" y="12433913"/>
              <a:ext cx="0" cy="597189"/>
            </a:xfrm>
            <a:prstGeom prst="line">
              <a:avLst/>
            </a:prstGeom>
            <a:ln w="28575">
              <a:solidFill>
                <a:srgbClr val="00B05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4" name="直線コネクタ 4013"/>
            <xdr:cNvCxnSpPr/>
          </xdr:nvCxnSpPr>
          <xdr:spPr bwMode="auto">
            <a:xfrm>
              <a:off x="3733800" y="12739101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5" name="直線コネクタ 4014"/>
            <xdr:cNvCxnSpPr/>
          </xdr:nvCxnSpPr>
          <xdr:spPr bwMode="auto">
            <a:xfrm>
              <a:off x="43624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6" name="直線コネクタ 4015"/>
            <xdr:cNvCxnSpPr/>
          </xdr:nvCxnSpPr>
          <xdr:spPr bwMode="auto">
            <a:xfrm>
              <a:off x="44577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7" name="直線コネクタ 4016"/>
            <xdr:cNvCxnSpPr/>
          </xdr:nvCxnSpPr>
          <xdr:spPr bwMode="auto">
            <a:xfrm>
              <a:off x="4552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8" name="直線コネクタ 4017"/>
            <xdr:cNvCxnSpPr/>
          </xdr:nvCxnSpPr>
          <xdr:spPr bwMode="auto">
            <a:xfrm>
              <a:off x="46291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19" name="直線コネクタ 4018"/>
            <xdr:cNvCxnSpPr/>
          </xdr:nvCxnSpPr>
          <xdr:spPr bwMode="auto">
            <a:xfrm>
              <a:off x="426720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0" name="直線コネクタ 4019"/>
            <xdr:cNvCxnSpPr/>
          </xdr:nvCxnSpPr>
          <xdr:spPr bwMode="auto">
            <a:xfrm>
              <a:off x="41719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1" name="直線コネクタ 4020"/>
            <xdr:cNvCxnSpPr/>
          </xdr:nvCxnSpPr>
          <xdr:spPr bwMode="auto">
            <a:xfrm>
              <a:off x="4095750" y="12719837"/>
              <a:ext cx="0" cy="269698"/>
            </a:xfrm>
            <a:prstGeom prst="line">
              <a:avLst/>
            </a:prstGeom>
            <a:ln w="12700">
              <a:solidFill>
                <a:schemeClr val="accent2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2" name="直線コネクタ 4021"/>
            <xdr:cNvCxnSpPr/>
          </xdr:nvCxnSpPr>
          <xdr:spPr bwMode="auto">
            <a:xfrm>
              <a:off x="4393406" y="12941377"/>
              <a:ext cx="169069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3" name="直線コネクタ 4022"/>
            <xdr:cNvCxnSpPr/>
          </xdr:nvCxnSpPr>
          <xdr:spPr bwMode="auto">
            <a:xfrm flipV="1">
              <a:off x="4543425" y="12517564"/>
              <a:ext cx="409575" cy="42428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4" name="直線コネクタ 4023"/>
            <xdr:cNvCxnSpPr/>
          </xdr:nvCxnSpPr>
          <xdr:spPr bwMode="auto">
            <a:xfrm>
              <a:off x="4181475" y="12941374"/>
              <a:ext cx="157163" cy="0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5" name="直線コネクタ 4024"/>
            <xdr:cNvCxnSpPr/>
          </xdr:nvCxnSpPr>
          <xdr:spPr bwMode="auto">
            <a:xfrm flipH="1" flipV="1">
              <a:off x="3771900" y="12546459"/>
              <a:ext cx="419100" cy="394915"/>
            </a:xfrm>
            <a:prstGeom prst="line">
              <a:avLst/>
            </a:prstGeom>
            <a:ln w="28575">
              <a:solidFill>
                <a:srgbClr val="FFC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6" name="直線コネクタ 4025"/>
            <xdr:cNvCxnSpPr/>
          </xdr:nvCxnSpPr>
          <xdr:spPr bwMode="auto">
            <a:xfrm>
              <a:off x="3743325" y="12979903"/>
              <a:ext cx="1247775" cy="0"/>
            </a:xfrm>
            <a:prstGeom prst="line">
              <a:avLst/>
            </a:prstGeom>
            <a:ln w="28575">
              <a:solidFill>
                <a:srgbClr val="7030A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27" name="直線コネクタ 4026"/>
            <xdr:cNvCxnSpPr/>
          </xdr:nvCxnSpPr>
          <xdr:spPr bwMode="auto">
            <a:xfrm>
              <a:off x="4833141" y="13018431"/>
              <a:ext cx="157959" cy="0"/>
            </a:xfrm>
            <a:prstGeom prst="line">
              <a:avLst/>
            </a:prstGeom>
            <a:ln w="28575">
              <a:solidFill>
                <a:srgbClr val="00B0F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192</xdr:col>
      <xdr:colOff>11206</xdr:colOff>
      <xdr:row>717</xdr:row>
      <xdr:rowOff>22412</xdr:rowOff>
    </xdr:from>
    <xdr:to>
      <xdr:col>231</xdr:col>
      <xdr:colOff>20732</xdr:colOff>
      <xdr:row>776</xdr:row>
      <xdr:rowOff>31938</xdr:rowOff>
    </xdr:to>
    <xdr:pic>
      <xdr:nvPicPr>
        <xdr:cNvPr id="3188" name="図 318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6706" y="64702765"/>
          <a:ext cx="3505761" cy="5298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86</xdr:col>
      <xdr:colOff>44263</xdr:colOff>
      <xdr:row>215</xdr:row>
      <xdr:rowOff>12326</xdr:rowOff>
    </xdr:from>
    <xdr:to>
      <xdr:col>94</xdr:col>
      <xdr:colOff>80644</xdr:colOff>
      <xdr:row>218</xdr:row>
      <xdr:rowOff>12326</xdr:rowOff>
    </xdr:to>
    <xdr:sp macro="" textlink="">
      <xdr:nvSpPr>
        <xdr:cNvPr id="4030" name="Rectangle 218"/>
        <xdr:cNvSpPr>
          <a:spLocks noChangeArrowheads="1"/>
        </xdr:cNvSpPr>
      </xdr:nvSpPr>
      <xdr:spPr bwMode="auto">
        <a:xfrm>
          <a:off x="7877175" y="19611414"/>
          <a:ext cx="753557" cy="268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E6E6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1275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10"/>
  </sheetPr>
  <dimension ref="A1:BV62"/>
  <sheetViews>
    <sheetView zoomScale="95" workbookViewId="0">
      <selection activeCell="H10" sqref="H10"/>
    </sheetView>
  </sheetViews>
  <sheetFormatPr defaultRowHeight="22.5" customHeight="1" x14ac:dyDescent="0.15"/>
  <cols>
    <col min="1" max="1" width="3.125" style="7" customWidth="1"/>
    <col min="2" max="2" width="9" style="7"/>
    <col min="3" max="3" width="17.875" style="7" customWidth="1"/>
    <col min="4" max="4" width="3.375" style="7" customWidth="1"/>
    <col min="5" max="5" width="8.25" style="7" customWidth="1"/>
    <col min="6" max="7" width="11.125" style="7" customWidth="1"/>
    <col min="8" max="11" width="6.875" style="7" customWidth="1"/>
    <col min="12" max="24" width="2.5" style="7" customWidth="1"/>
    <col min="25" max="25" width="17.625" style="7" customWidth="1"/>
    <col min="26" max="26" width="12.125" style="7" customWidth="1"/>
    <col min="27" max="27" width="13" style="7" customWidth="1"/>
    <col min="28" max="29" width="3" style="47" customWidth="1"/>
    <col min="30" max="51" width="3" style="7" customWidth="1"/>
    <col min="52" max="52" width="10" style="7" customWidth="1"/>
    <col min="53" max="53" width="1.625" style="7" customWidth="1"/>
    <col min="54" max="56" width="9" style="7"/>
    <col min="57" max="57" width="9.125" style="7" customWidth="1"/>
    <col min="58" max="16384" width="9" style="7"/>
  </cols>
  <sheetData>
    <row r="1" spans="1:74" ht="18.75" customHeight="1" thickBot="1" x14ac:dyDescent="0.2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6"/>
      <c r="AC1" s="6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BF1" s="7" t="s">
        <v>2</v>
      </c>
      <c r="BG1" s="7" t="s">
        <v>3</v>
      </c>
      <c r="BH1" s="7" t="s">
        <v>4</v>
      </c>
      <c r="BK1" s="7" t="s">
        <v>5</v>
      </c>
      <c r="BM1" s="7" t="s">
        <v>5</v>
      </c>
      <c r="BO1" s="7" t="s">
        <v>2</v>
      </c>
      <c r="BP1" s="7" t="s">
        <v>3</v>
      </c>
      <c r="BQ1" s="7" t="s">
        <v>4</v>
      </c>
      <c r="BU1" s="7" t="s">
        <v>5</v>
      </c>
    </row>
    <row r="2" spans="1:74" ht="22.5" customHeight="1" thickTop="1" x14ac:dyDescent="0.15">
      <c r="A2" s="59"/>
      <c r="B2" s="8" t="s">
        <v>6</v>
      </c>
      <c r="C2" s="76">
        <v>337212</v>
      </c>
      <c r="D2" s="59"/>
      <c r="E2" s="64"/>
      <c r="F2" s="65"/>
      <c r="G2" s="66"/>
      <c r="H2" s="60"/>
      <c r="I2" s="60"/>
      <c r="J2" s="60"/>
      <c r="K2" s="60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9" t="s">
        <v>7</v>
      </c>
      <c r="Z2" s="10" t="s">
        <v>8</v>
      </c>
      <c r="AA2" s="11" t="s">
        <v>9</v>
      </c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Z2" s="12" t="s">
        <v>10</v>
      </c>
      <c r="BB2" s="12" t="s">
        <v>0</v>
      </c>
      <c r="BC2" s="12" t="s">
        <v>1</v>
      </c>
      <c r="BD2" s="12" t="s">
        <v>11</v>
      </c>
      <c r="BF2" s="13" t="e">
        <f>#REF!</f>
        <v>#REF!</v>
      </c>
      <c r="BG2" s="10" t="e">
        <f>VLOOKUP(BF2,$BB$3:$BD$7,2,TRUE)</f>
        <v>#REF!</v>
      </c>
      <c r="BH2" s="10" t="e">
        <f>#REF!</f>
        <v>#REF!</v>
      </c>
      <c r="BI2" s="14"/>
      <c r="BJ2" s="15"/>
      <c r="BK2" s="11" t="e">
        <f>VLOOKUP(BF2,$BB$3:$BD$7,3,TRUE)</f>
        <v>#REF!</v>
      </c>
      <c r="BL2" s="16"/>
      <c r="BM2" s="11" t="e">
        <f>VLOOKUP(BF2,$BB$3:$BD$7,3,TRUE)</f>
        <v>#REF!</v>
      </c>
      <c r="BO2" s="13" t="e">
        <f>#REF!</f>
        <v>#REF!</v>
      </c>
      <c r="BP2" s="10" t="e">
        <f>VLOOKUP(BO2,$BB$3:$BD$7,2,TRUE)</f>
        <v>#REF!</v>
      </c>
      <c r="BQ2" s="10" t="e">
        <f>#REF!</f>
        <v>#REF!</v>
      </c>
      <c r="BR2" s="14"/>
      <c r="BS2" s="15"/>
      <c r="BT2" s="11" t="e">
        <f>VLOOKUP(BO2,$BB$3:$BD$7,3,TRUE)</f>
        <v>#REF!</v>
      </c>
      <c r="BU2" s="16"/>
      <c r="BV2" s="11" t="e">
        <f>VLOOKUP(BO2,$BB$3:$BD$7,3,TRUE)</f>
        <v>#REF!</v>
      </c>
    </row>
    <row r="3" spans="1:74" ht="22.5" customHeight="1" x14ac:dyDescent="0.15">
      <c r="A3" s="59"/>
      <c r="B3" s="17" t="s">
        <v>12</v>
      </c>
      <c r="C3" s="74" t="s">
        <v>53</v>
      </c>
      <c r="D3" s="59"/>
      <c r="E3" s="64"/>
      <c r="F3" s="67"/>
      <c r="G3" s="68"/>
      <c r="H3" s="61"/>
      <c r="I3" s="62"/>
      <c r="J3" s="62"/>
      <c r="K3" s="62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19"/>
      <c r="Z3" s="20" t="s">
        <v>22</v>
      </c>
      <c r="AA3" s="21" t="s">
        <v>23</v>
      </c>
      <c r="AB3" s="6"/>
      <c r="AC3" s="6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Z3" s="22"/>
      <c r="BB3" s="23">
        <v>10</v>
      </c>
      <c r="BC3" s="23">
        <v>20</v>
      </c>
      <c r="BD3" s="23">
        <v>0.56000000000000005</v>
      </c>
      <c r="BF3" s="24" t="s">
        <v>0</v>
      </c>
      <c r="BG3" s="12" t="s">
        <v>13</v>
      </c>
      <c r="BH3" s="12" t="e">
        <f>BH2&amp;"曲げ時"</f>
        <v>#REF!</v>
      </c>
      <c r="BI3" s="25" t="s">
        <v>14</v>
      </c>
      <c r="BJ3" s="24" t="s">
        <v>15</v>
      </c>
      <c r="BK3" s="26" t="s">
        <v>16</v>
      </c>
      <c r="BL3" s="12" t="s">
        <v>17</v>
      </c>
      <c r="BM3" s="26" t="s">
        <v>18</v>
      </c>
      <c r="BO3" s="24" t="s">
        <v>0</v>
      </c>
      <c r="BP3" s="12" t="s">
        <v>13</v>
      </c>
      <c r="BQ3" s="12" t="e">
        <f>BQ2&amp;"曲げ時"</f>
        <v>#REF!</v>
      </c>
      <c r="BR3" s="25" t="s">
        <v>14</v>
      </c>
      <c r="BS3" s="24" t="s">
        <v>15</v>
      </c>
      <c r="BT3" s="26" t="s">
        <v>16</v>
      </c>
      <c r="BU3" s="12" t="s">
        <v>17</v>
      </c>
      <c r="BV3" s="26" t="s">
        <v>18</v>
      </c>
    </row>
    <row r="4" spans="1:74" ht="22.5" customHeight="1" x14ac:dyDescent="0.15">
      <c r="A4" s="59"/>
      <c r="B4" s="17" t="s">
        <v>10</v>
      </c>
      <c r="C4" s="77"/>
      <c r="D4" s="59"/>
      <c r="E4" s="64"/>
      <c r="F4" s="67"/>
      <c r="G4" s="68"/>
      <c r="H4" s="62"/>
      <c r="I4" s="62"/>
      <c r="J4" s="62"/>
      <c r="K4" s="62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27"/>
      <c r="Z4" s="28"/>
      <c r="AA4" s="18"/>
      <c r="AB4" s="6"/>
      <c r="AC4" s="6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Z4" s="29">
        <f ca="1">TODAY()</f>
        <v>46325</v>
      </c>
      <c r="BB4" s="30">
        <v>13</v>
      </c>
      <c r="BC4" s="30">
        <v>25</v>
      </c>
      <c r="BD4" s="30">
        <v>0.995</v>
      </c>
      <c r="BF4" s="31" t="e">
        <f t="shared" ref="BF4:BF23" si="0">IF(BG4=0,"",BF$2)</f>
        <v>#REF!</v>
      </c>
      <c r="BG4" s="32" t="e">
        <f>HLOOKUP(BF$2,#REF!,#REF!,TRUE)</f>
        <v>#REF!</v>
      </c>
      <c r="BH4" s="32" t="e">
        <f t="shared" ref="BH4:BH23" si="1">BG4-BH$2+BG$2</f>
        <v>#REF!</v>
      </c>
      <c r="BI4" s="33" t="e">
        <f t="shared" ref="BI4:BI23" si="2">IF(BG4=0,"",BH$2&amp;" x "&amp;BH4)</f>
        <v>#REF!</v>
      </c>
      <c r="BJ4" s="31" t="e">
        <f t="shared" ref="BJ4:BJ23" si="3">IF(BG4=0,"",BG4+BG$2)</f>
        <v>#REF!</v>
      </c>
      <c r="BK4" s="34" t="e">
        <f t="shared" ref="BK4:BK23" si="4">IF(BG4=0,"",ROUND(BJ4*BK$2/1000,2))</f>
        <v>#REF!</v>
      </c>
      <c r="BL4" s="32" t="e">
        <f t="shared" ref="BL4:BL23" si="5">IF(BG4=0,"",BG4)</f>
        <v>#REF!</v>
      </c>
      <c r="BM4" s="34" t="e">
        <f t="shared" ref="BM4:BM23" si="6">IF(BG4=0,"",ROUND(BL4*BM$2/1000,2))</f>
        <v>#REF!</v>
      </c>
      <c r="BO4" s="31" t="e">
        <f t="shared" ref="BO4:BO23" si="7">IF(BP4=0,"",BO$2)</f>
        <v>#REF!</v>
      </c>
      <c r="BP4" s="32" t="e">
        <f>HLOOKUP(BO$2,#REF!,#REF!,TRUE)</f>
        <v>#REF!</v>
      </c>
      <c r="BQ4" s="32" t="e">
        <f t="shared" ref="BQ4:BQ23" si="8">BP4-BQ$2+BP$2</f>
        <v>#REF!</v>
      </c>
      <c r="BR4" s="33" t="e">
        <f t="shared" ref="BR4:BR23" si="9">IF(BP4=0,"",BQ$2&amp;" x "&amp;BQ4)</f>
        <v>#REF!</v>
      </c>
      <c r="BS4" s="31" t="e">
        <f t="shared" ref="BS4:BS23" si="10">IF(BP4=0,"",BP4+BP$2)</f>
        <v>#REF!</v>
      </c>
      <c r="BT4" s="34" t="e">
        <f t="shared" ref="BT4:BT23" si="11">IF(BP4=0,"",ROUND(BS4*BT$2/1000,2))</f>
        <v>#REF!</v>
      </c>
      <c r="BU4" s="32" t="e">
        <f t="shared" ref="BU4:BU23" si="12">IF(BP4=0,"",BP4)</f>
        <v>#REF!</v>
      </c>
      <c r="BV4" s="34" t="e">
        <f t="shared" ref="BV4:BV23" si="13">IF(BP4=0,"",ROUND(BU4*BV$2/1000,2))</f>
        <v>#REF!</v>
      </c>
    </row>
    <row r="5" spans="1:74" ht="22.5" customHeight="1" x14ac:dyDescent="0.15">
      <c r="A5" s="59"/>
      <c r="B5" s="17" t="s">
        <v>8</v>
      </c>
      <c r="C5" s="78" t="s">
        <v>21</v>
      </c>
      <c r="D5" s="59"/>
      <c r="E5" s="64"/>
      <c r="F5" s="69"/>
      <c r="G5" s="70"/>
      <c r="H5" s="60"/>
      <c r="I5" s="60"/>
      <c r="J5" s="60"/>
      <c r="K5" s="60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27"/>
      <c r="Z5" s="28"/>
      <c r="AA5" s="18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Z5" s="29">
        <f t="shared" ref="AZ5:AZ28" ca="1" si="14">AZ4+1</f>
        <v>46326</v>
      </c>
      <c r="BB5" s="35">
        <v>16</v>
      </c>
      <c r="BC5" s="35">
        <v>30</v>
      </c>
      <c r="BD5" s="35">
        <v>1.56</v>
      </c>
      <c r="BF5" s="36" t="e">
        <f t="shared" si="0"/>
        <v>#REF!</v>
      </c>
      <c r="BG5" s="37" t="e">
        <f>HLOOKUP(BF$2,#REF!,#REF!,TRUE)</f>
        <v>#REF!</v>
      </c>
      <c r="BH5" s="37" t="e">
        <f t="shared" si="1"/>
        <v>#REF!</v>
      </c>
      <c r="BI5" s="38" t="e">
        <f t="shared" si="2"/>
        <v>#REF!</v>
      </c>
      <c r="BJ5" s="36" t="e">
        <f t="shared" si="3"/>
        <v>#REF!</v>
      </c>
      <c r="BK5" s="39" t="e">
        <f t="shared" si="4"/>
        <v>#REF!</v>
      </c>
      <c r="BL5" s="37" t="e">
        <f t="shared" si="5"/>
        <v>#REF!</v>
      </c>
      <c r="BM5" s="39" t="e">
        <f t="shared" si="6"/>
        <v>#REF!</v>
      </c>
      <c r="BO5" s="36" t="e">
        <f t="shared" si="7"/>
        <v>#REF!</v>
      </c>
      <c r="BP5" s="37" t="e">
        <f>HLOOKUP(BO$2,#REF!,#REF!,TRUE)</f>
        <v>#REF!</v>
      </c>
      <c r="BQ5" s="37" t="e">
        <f t="shared" si="8"/>
        <v>#REF!</v>
      </c>
      <c r="BR5" s="38" t="e">
        <f t="shared" si="9"/>
        <v>#REF!</v>
      </c>
      <c r="BS5" s="36" t="e">
        <f t="shared" si="10"/>
        <v>#REF!</v>
      </c>
      <c r="BT5" s="39" t="e">
        <f t="shared" si="11"/>
        <v>#REF!</v>
      </c>
      <c r="BU5" s="37" t="e">
        <f t="shared" si="12"/>
        <v>#REF!</v>
      </c>
      <c r="BV5" s="39" t="e">
        <f t="shared" si="13"/>
        <v>#REF!</v>
      </c>
    </row>
    <row r="6" spans="1:74" ht="22.5" customHeight="1" x14ac:dyDescent="0.15">
      <c r="A6" s="59"/>
      <c r="B6" s="17" t="s">
        <v>9</v>
      </c>
      <c r="C6" s="78" t="s">
        <v>24</v>
      </c>
      <c r="D6" s="59"/>
      <c r="E6" s="64"/>
      <c r="F6" s="67"/>
      <c r="G6" s="68"/>
      <c r="H6" s="62"/>
      <c r="I6" s="62"/>
      <c r="J6" s="62"/>
      <c r="K6" s="62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27"/>
      <c r="Z6" s="28"/>
      <c r="AA6" s="18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Z6" s="29">
        <f t="shared" ca="1" si="14"/>
        <v>46327</v>
      </c>
      <c r="BB6" s="35">
        <v>19</v>
      </c>
      <c r="BC6" s="35">
        <v>40</v>
      </c>
      <c r="BD6" s="35">
        <v>2.25</v>
      </c>
      <c r="BF6" s="36" t="e">
        <f t="shared" si="0"/>
        <v>#REF!</v>
      </c>
      <c r="BG6" s="37" t="e">
        <f>HLOOKUP(BF$2,#REF!,#REF!,TRUE)</f>
        <v>#REF!</v>
      </c>
      <c r="BH6" s="37" t="e">
        <f t="shared" si="1"/>
        <v>#REF!</v>
      </c>
      <c r="BI6" s="38" t="e">
        <f t="shared" si="2"/>
        <v>#REF!</v>
      </c>
      <c r="BJ6" s="36" t="e">
        <f t="shared" si="3"/>
        <v>#REF!</v>
      </c>
      <c r="BK6" s="39" t="e">
        <f t="shared" si="4"/>
        <v>#REF!</v>
      </c>
      <c r="BL6" s="37" t="e">
        <f t="shared" si="5"/>
        <v>#REF!</v>
      </c>
      <c r="BM6" s="39" t="e">
        <f t="shared" si="6"/>
        <v>#REF!</v>
      </c>
      <c r="BO6" s="36" t="e">
        <f t="shared" si="7"/>
        <v>#REF!</v>
      </c>
      <c r="BP6" s="37" t="e">
        <f>HLOOKUP(BO$2,#REF!,#REF!,TRUE)</f>
        <v>#REF!</v>
      </c>
      <c r="BQ6" s="37" t="e">
        <f t="shared" si="8"/>
        <v>#REF!</v>
      </c>
      <c r="BR6" s="38" t="e">
        <f t="shared" si="9"/>
        <v>#REF!</v>
      </c>
      <c r="BS6" s="36" t="e">
        <f t="shared" si="10"/>
        <v>#REF!</v>
      </c>
      <c r="BT6" s="39" t="e">
        <f t="shared" si="11"/>
        <v>#REF!</v>
      </c>
      <c r="BU6" s="37" t="e">
        <f t="shared" si="12"/>
        <v>#REF!</v>
      </c>
      <c r="BV6" s="39" t="e">
        <f t="shared" si="13"/>
        <v>#REF!</v>
      </c>
    </row>
    <row r="7" spans="1:74" ht="22.5" customHeight="1" thickBot="1" x14ac:dyDescent="0.2">
      <c r="A7" s="59"/>
      <c r="B7" s="40" t="s">
        <v>19</v>
      </c>
      <c r="C7" s="75" t="s">
        <v>54</v>
      </c>
      <c r="D7" s="59"/>
      <c r="E7" s="64"/>
      <c r="F7" s="67"/>
      <c r="G7" s="68"/>
      <c r="H7" s="62"/>
      <c r="I7" s="62"/>
      <c r="J7" s="62"/>
      <c r="K7" s="62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27"/>
      <c r="Z7" s="28"/>
      <c r="AA7" s="18"/>
      <c r="AB7" s="6"/>
      <c r="AC7" s="6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Z7" s="29">
        <f t="shared" ca="1" si="14"/>
        <v>46328</v>
      </c>
      <c r="BB7" s="41">
        <v>22</v>
      </c>
      <c r="BC7" s="41"/>
      <c r="BD7" s="41">
        <v>3.04</v>
      </c>
      <c r="BF7" s="36" t="e">
        <f t="shared" si="0"/>
        <v>#REF!</v>
      </c>
      <c r="BG7" s="37" t="e">
        <f>HLOOKUP(BF$2,#REF!,#REF!,TRUE)</f>
        <v>#REF!</v>
      </c>
      <c r="BH7" s="37" t="e">
        <f t="shared" si="1"/>
        <v>#REF!</v>
      </c>
      <c r="BI7" s="38" t="e">
        <f t="shared" si="2"/>
        <v>#REF!</v>
      </c>
      <c r="BJ7" s="36" t="e">
        <f t="shared" si="3"/>
        <v>#REF!</v>
      </c>
      <c r="BK7" s="39" t="e">
        <f t="shared" si="4"/>
        <v>#REF!</v>
      </c>
      <c r="BL7" s="37" t="e">
        <f t="shared" si="5"/>
        <v>#REF!</v>
      </c>
      <c r="BM7" s="39" t="e">
        <f t="shared" si="6"/>
        <v>#REF!</v>
      </c>
      <c r="BO7" s="36" t="e">
        <f t="shared" si="7"/>
        <v>#REF!</v>
      </c>
      <c r="BP7" s="37" t="e">
        <f>HLOOKUP(BO$2,#REF!,#REF!,TRUE)</f>
        <v>#REF!</v>
      </c>
      <c r="BQ7" s="37" t="e">
        <f t="shared" si="8"/>
        <v>#REF!</v>
      </c>
      <c r="BR7" s="38" t="e">
        <f t="shared" si="9"/>
        <v>#REF!</v>
      </c>
      <c r="BS7" s="36" t="e">
        <f t="shared" si="10"/>
        <v>#REF!</v>
      </c>
      <c r="BT7" s="39" t="e">
        <f t="shared" si="11"/>
        <v>#REF!</v>
      </c>
      <c r="BU7" s="37" t="e">
        <f t="shared" si="12"/>
        <v>#REF!</v>
      </c>
      <c r="BV7" s="39" t="e">
        <f t="shared" si="13"/>
        <v>#REF!</v>
      </c>
    </row>
    <row r="8" spans="1:74" ht="22.5" customHeight="1" thickBot="1" x14ac:dyDescent="0.2">
      <c r="A8" s="59"/>
      <c r="B8" s="59"/>
      <c r="C8" s="59"/>
      <c r="D8" s="59"/>
      <c r="E8" s="59"/>
      <c r="F8" s="67"/>
      <c r="G8" s="68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27"/>
      <c r="Z8" s="28"/>
      <c r="AA8" s="18"/>
      <c r="AB8" s="6"/>
      <c r="AC8" s="6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Z8" s="29">
        <f t="shared" ca="1" si="14"/>
        <v>46329</v>
      </c>
      <c r="BF8" s="36" t="e">
        <f t="shared" si="0"/>
        <v>#REF!</v>
      </c>
      <c r="BG8" s="37" t="e">
        <f>HLOOKUP(BF$2,#REF!,#REF!,TRUE)</f>
        <v>#REF!</v>
      </c>
      <c r="BH8" s="37" t="e">
        <f t="shared" si="1"/>
        <v>#REF!</v>
      </c>
      <c r="BI8" s="38" t="e">
        <f t="shared" si="2"/>
        <v>#REF!</v>
      </c>
      <c r="BJ8" s="36" t="e">
        <f t="shared" si="3"/>
        <v>#REF!</v>
      </c>
      <c r="BK8" s="39" t="e">
        <f t="shared" si="4"/>
        <v>#REF!</v>
      </c>
      <c r="BL8" s="37" t="e">
        <f t="shared" si="5"/>
        <v>#REF!</v>
      </c>
      <c r="BM8" s="39" t="e">
        <f t="shared" si="6"/>
        <v>#REF!</v>
      </c>
      <c r="BO8" s="36" t="e">
        <f t="shared" si="7"/>
        <v>#REF!</v>
      </c>
      <c r="BP8" s="37" t="e">
        <f>HLOOKUP(BO$2,#REF!,#REF!,TRUE)</f>
        <v>#REF!</v>
      </c>
      <c r="BQ8" s="37" t="e">
        <f t="shared" si="8"/>
        <v>#REF!</v>
      </c>
      <c r="BR8" s="38" t="e">
        <f t="shared" si="9"/>
        <v>#REF!</v>
      </c>
      <c r="BS8" s="36" t="e">
        <f t="shared" si="10"/>
        <v>#REF!</v>
      </c>
      <c r="BT8" s="39" t="e">
        <f t="shared" si="11"/>
        <v>#REF!</v>
      </c>
      <c r="BU8" s="37" t="e">
        <f t="shared" si="12"/>
        <v>#REF!</v>
      </c>
      <c r="BV8" s="39" t="e">
        <f t="shared" si="13"/>
        <v>#REF!</v>
      </c>
    </row>
    <row r="9" spans="1:74" ht="22.5" customHeight="1" thickBot="1" x14ac:dyDescent="0.2">
      <c r="A9" s="59"/>
      <c r="B9" s="54" t="s">
        <v>20</v>
      </c>
      <c r="C9" s="79"/>
      <c r="D9" s="59"/>
      <c r="E9" s="59"/>
      <c r="F9" s="67"/>
      <c r="G9" s="68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27"/>
      <c r="Z9" s="28"/>
      <c r="AA9" s="18"/>
      <c r="AB9" s="6"/>
      <c r="AC9" s="6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Z9" s="29">
        <f t="shared" ca="1" si="14"/>
        <v>46330</v>
      </c>
      <c r="BF9" s="36" t="e">
        <f t="shared" si="0"/>
        <v>#REF!</v>
      </c>
      <c r="BG9" s="37" t="e">
        <f>HLOOKUP(BF$2,#REF!,#REF!,TRUE)</f>
        <v>#REF!</v>
      </c>
      <c r="BH9" s="37" t="e">
        <f t="shared" si="1"/>
        <v>#REF!</v>
      </c>
      <c r="BI9" s="38" t="e">
        <f t="shared" si="2"/>
        <v>#REF!</v>
      </c>
      <c r="BJ9" s="36" t="e">
        <f t="shared" si="3"/>
        <v>#REF!</v>
      </c>
      <c r="BK9" s="39" t="e">
        <f t="shared" si="4"/>
        <v>#REF!</v>
      </c>
      <c r="BL9" s="37" t="e">
        <f t="shared" si="5"/>
        <v>#REF!</v>
      </c>
      <c r="BM9" s="39" t="e">
        <f t="shared" si="6"/>
        <v>#REF!</v>
      </c>
      <c r="BO9" s="36" t="e">
        <f t="shared" si="7"/>
        <v>#REF!</v>
      </c>
      <c r="BP9" s="37" t="e">
        <f>HLOOKUP(BO$2,#REF!,#REF!,TRUE)</f>
        <v>#REF!</v>
      </c>
      <c r="BQ9" s="37" t="e">
        <f t="shared" si="8"/>
        <v>#REF!</v>
      </c>
      <c r="BR9" s="38" t="e">
        <f t="shared" si="9"/>
        <v>#REF!</v>
      </c>
      <c r="BS9" s="36" t="e">
        <f t="shared" si="10"/>
        <v>#REF!</v>
      </c>
      <c r="BT9" s="39" t="e">
        <f t="shared" si="11"/>
        <v>#REF!</v>
      </c>
      <c r="BU9" s="37" t="e">
        <f t="shared" si="12"/>
        <v>#REF!</v>
      </c>
      <c r="BV9" s="39" t="e">
        <f t="shared" si="13"/>
        <v>#REF!</v>
      </c>
    </row>
    <row r="10" spans="1:74" ht="22.5" customHeight="1" x14ac:dyDescent="0.15">
      <c r="A10" s="59"/>
      <c r="B10" s="59"/>
      <c r="C10" s="59"/>
      <c r="D10" s="64"/>
      <c r="E10" s="59"/>
      <c r="F10" s="67"/>
      <c r="G10" s="68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27"/>
      <c r="Z10" s="28"/>
      <c r="AA10" s="18"/>
      <c r="AB10" s="6"/>
      <c r="AC10" s="6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Z10" s="29">
        <f t="shared" ca="1" si="14"/>
        <v>46331</v>
      </c>
      <c r="BF10" s="36" t="e">
        <f t="shared" si="0"/>
        <v>#REF!</v>
      </c>
      <c r="BG10" s="37" t="e">
        <f>HLOOKUP(BF$2,#REF!,#REF!,TRUE)</f>
        <v>#REF!</v>
      </c>
      <c r="BH10" s="37" t="e">
        <f t="shared" si="1"/>
        <v>#REF!</v>
      </c>
      <c r="BI10" s="38" t="e">
        <f t="shared" si="2"/>
        <v>#REF!</v>
      </c>
      <c r="BJ10" s="36" t="e">
        <f t="shared" si="3"/>
        <v>#REF!</v>
      </c>
      <c r="BK10" s="39" t="e">
        <f t="shared" si="4"/>
        <v>#REF!</v>
      </c>
      <c r="BL10" s="37" t="e">
        <f t="shared" si="5"/>
        <v>#REF!</v>
      </c>
      <c r="BM10" s="39" t="e">
        <f t="shared" si="6"/>
        <v>#REF!</v>
      </c>
      <c r="BO10" s="36" t="e">
        <f t="shared" si="7"/>
        <v>#REF!</v>
      </c>
      <c r="BP10" s="37" t="e">
        <f>HLOOKUP(BO$2,#REF!,#REF!,TRUE)</f>
        <v>#REF!</v>
      </c>
      <c r="BQ10" s="37" t="e">
        <f t="shared" si="8"/>
        <v>#REF!</v>
      </c>
      <c r="BR10" s="38" t="e">
        <f t="shared" si="9"/>
        <v>#REF!</v>
      </c>
      <c r="BS10" s="36" t="e">
        <f t="shared" si="10"/>
        <v>#REF!</v>
      </c>
      <c r="BT10" s="39" t="e">
        <f t="shared" si="11"/>
        <v>#REF!</v>
      </c>
      <c r="BU10" s="37" t="e">
        <f t="shared" si="12"/>
        <v>#REF!</v>
      </c>
      <c r="BV10" s="39" t="e">
        <f t="shared" si="13"/>
        <v>#REF!</v>
      </c>
    </row>
    <row r="11" spans="1:74" ht="22.5" customHeight="1" x14ac:dyDescent="0.15">
      <c r="A11" s="59"/>
      <c r="B11" s="59"/>
      <c r="C11" s="59"/>
      <c r="D11" s="64"/>
      <c r="E11" s="59"/>
      <c r="F11" s="67"/>
      <c r="G11" s="68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27"/>
      <c r="Z11" s="28"/>
      <c r="AA11" s="18"/>
      <c r="AB11" s="6"/>
      <c r="AC11" s="6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Z11" s="29">
        <f t="shared" ca="1" si="14"/>
        <v>46332</v>
      </c>
      <c r="BF11" s="36" t="e">
        <f t="shared" si="0"/>
        <v>#REF!</v>
      </c>
      <c r="BG11" s="37" t="e">
        <f>HLOOKUP(BF$2,#REF!,#REF!,TRUE)</f>
        <v>#REF!</v>
      </c>
      <c r="BH11" s="37" t="e">
        <f t="shared" si="1"/>
        <v>#REF!</v>
      </c>
      <c r="BI11" s="38" t="e">
        <f t="shared" si="2"/>
        <v>#REF!</v>
      </c>
      <c r="BJ11" s="36" t="e">
        <f t="shared" si="3"/>
        <v>#REF!</v>
      </c>
      <c r="BK11" s="39" t="e">
        <f t="shared" si="4"/>
        <v>#REF!</v>
      </c>
      <c r="BL11" s="37" t="e">
        <f t="shared" si="5"/>
        <v>#REF!</v>
      </c>
      <c r="BM11" s="39" t="e">
        <f t="shared" si="6"/>
        <v>#REF!</v>
      </c>
      <c r="BO11" s="36" t="e">
        <f t="shared" si="7"/>
        <v>#REF!</v>
      </c>
      <c r="BP11" s="37" t="e">
        <f>HLOOKUP(BO$2,#REF!,#REF!,TRUE)</f>
        <v>#REF!</v>
      </c>
      <c r="BQ11" s="37" t="e">
        <f t="shared" si="8"/>
        <v>#REF!</v>
      </c>
      <c r="BR11" s="38" t="e">
        <f t="shared" si="9"/>
        <v>#REF!</v>
      </c>
      <c r="BS11" s="36" t="e">
        <f t="shared" si="10"/>
        <v>#REF!</v>
      </c>
      <c r="BT11" s="39" t="e">
        <f t="shared" si="11"/>
        <v>#REF!</v>
      </c>
      <c r="BU11" s="37" t="e">
        <f t="shared" si="12"/>
        <v>#REF!</v>
      </c>
      <c r="BV11" s="39" t="e">
        <f t="shared" si="13"/>
        <v>#REF!</v>
      </c>
    </row>
    <row r="12" spans="1:74" ht="22.5" customHeight="1" x14ac:dyDescent="0.15">
      <c r="A12" s="59"/>
      <c r="B12" s="59"/>
      <c r="C12" s="59"/>
      <c r="D12" s="59"/>
      <c r="E12" s="59"/>
      <c r="F12" s="67"/>
      <c r="G12" s="68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27"/>
      <c r="Z12" s="28"/>
      <c r="AA12" s="18"/>
      <c r="AB12" s="6"/>
      <c r="AC12" s="6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Z12" s="29">
        <f t="shared" ca="1" si="14"/>
        <v>46333</v>
      </c>
      <c r="BF12" s="36" t="e">
        <f t="shared" si="0"/>
        <v>#REF!</v>
      </c>
      <c r="BG12" s="37" t="e">
        <f>HLOOKUP(BF$2,#REF!,#REF!,TRUE)</f>
        <v>#REF!</v>
      </c>
      <c r="BH12" s="37" t="e">
        <f t="shared" si="1"/>
        <v>#REF!</v>
      </c>
      <c r="BI12" s="38" t="e">
        <f t="shared" si="2"/>
        <v>#REF!</v>
      </c>
      <c r="BJ12" s="36" t="e">
        <f t="shared" si="3"/>
        <v>#REF!</v>
      </c>
      <c r="BK12" s="39" t="e">
        <f t="shared" si="4"/>
        <v>#REF!</v>
      </c>
      <c r="BL12" s="37" t="e">
        <f t="shared" si="5"/>
        <v>#REF!</v>
      </c>
      <c r="BM12" s="39" t="e">
        <f t="shared" si="6"/>
        <v>#REF!</v>
      </c>
      <c r="BO12" s="36" t="e">
        <f t="shared" si="7"/>
        <v>#REF!</v>
      </c>
      <c r="BP12" s="37" t="e">
        <f>HLOOKUP(BO$2,#REF!,#REF!,TRUE)</f>
        <v>#REF!</v>
      </c>
      <c r="BQ12" s="37" t="e">
        <f t="shared" si="8"/>
        <v>#REF!</v>
      </c>
      <c r="BR12" s="38" t="e">
        <f t="shared" si="9"/>
        <v>#REF!</v>
      </c>
      <c r="BS12" s="36" t="e">
        <f t="shared" si="10"/>
        <v>#REF!</v>
      </c>
      <c r="BT12" s="39" t="e">
        <f t="shared" si="11"/>
        <v>#REF!</v>
      </c>
      <c r="BU12" s="37" t="e">
        <f t="shared" si="12"/>
        <v>#REF!</v>
      </c>
      <c r="BV12" s="39" t="e">
        <f t="shared" si="13"/>
        <v>#REF!</v>
      </c>
    </row>
    <row r="13" spans="1:74" ht="22.5" customHeight="1" x14ac:dyDescent="0.15">
      <c r="A13" s="59"/>
      <c r="B13" s="63"/>
      <c r="C13" s="64"/>
      <c r="D13" s="59"/>
      <c r="E13" s="59"/>
      <c r="F13" s="67"/>
      <c r="G13" s="68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27"/>
      <c r="Z13" s="28"/>
      <c r="AA13" s="18"/>
      <c r="AB13" s="6"/>
      <c r="AC13" s="6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Z13" s="29">
        <f t="shared" ca="1" si="14"/>
        <v>46334</v>
      </c>
      <c r="BF13" s="36" t="e">
        <f t="shared" si="0"/>
        <v>#REF!</v>
      </c>
      <c r="BG13" s="37" t="e">
        <f>HLOOKUP(BF$2,#REF!,#REF!,TRUE)</f>
        <v>#REF!</v>
      </c>
      <c r="BH13" s="37" t="e">
        <f t="shared" si="1"/>
        <v>#REF!</v>
      </c>
      <c r="BI13" s="38" t="e">
        <f t="shared" si="2"/>
        <v>#REF!</v>
      </c>
      <c r="BJ13" s="36" t="e">
        <f t="shared" si="3"/>
        <v>#REF!</v>
      </c>
      <c r="BK13" s="39" t="e">
        <f t="shared" si="4"/>
        <v>#REF!</v>
      </c>
      <c r="BL13" s="37" t="e">
        <f t="shared" si="5"/>
        <v>#REF!</v>
      </c>
      <c r="BM13" s="39" t="e">
        <f t="shared" si="6"/>
        <v>#REF!</v>
      </c>
      <c r="BO13" s="36" t="e">
        <f t="shared" si="7"/>
        <v>#REF!</v>
      </c>
      <c r="BP13" s="37" t="e">
        <f>HLOOKUP(BO$2,#REF!,#REF!,TRUE)</f>
        <v>#REF!</v>
      </c>
      <c r="BQ13" s="37" t="e">
        <f t="shared" si="8"/>
        <v>#REF!</v>
      </c>
      <c r="BR13" s="38" t="e">
        <f t="shared" si="9"/>
        <v>#REF!</v>
      </c>
      <c r="BS13" s="36" t="e">
        <f t="shared" si="10"/>
        <v>#REF!</v>
      </c>
      <c r="BT13" s="39" t="e">
        <f t="shared" si="11"/>
        <v>#REF!</v>
      </c>
      <c r="BU13" s="37" t="e">
        <f t="shared" si="12"/>
        <v>#REF!</v>
      </c>
      <c r="BV13" s="39" t="e">
        <f t="shared" si="13"/>
        <v>#REF!</v>
      </c>
    </row>
    <row r="14" spans="1:74" ht="22.5" customHeight="1" thickBot="1" x14ac:dyDescent="0.2">
      <c r="A14" s="59"/>
      <c r="B14" s="63"/>
      <c r="C14" s="64"/>
      <c r="D14" s="59"/>
      <c r="E14" s="59"/>
      <c r="F14" s="71"/>
      <c r="G14" s="72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27"/>
      <c r="Z14" s="28"/>
      <c r="AA14" s="18"/>
      <c r="AB14" s="6"/>
      <c r="AC14" s="6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Z14" s="29">
        <f t="shared" ca="1" si="14"/>
        <v>46335</v>
      </c>
      <c r="BF14" s="36" t="e">
        <f t="shared" si="0"/>
        <v>#REF!</v>
      </c>
      <c r="BG14" s="37" t="e">
        <f>HLOOKUP(BF$2,#REF!,#REF!,TRUE)</f>
        <v>#REF!</v>
      </c>
      <c r="BH14" s="37" t="e">
        <f t="shared" si="1"/>
        <v>#REF!</v>
      </c>
      <c r="BI14" s="38" t="e">
        <f t="shared" si="2"/>
        <v>#REF!</v>
      </c>
      <c r="BJ14" s="36" t="e">
        <f t="shared" si="3"/>
        <v>#REF!</v>
      </c>
      <c r="BK14" s="39" t="e">
        <f t="shared" si="4"/>
        <v>#REF!</v>
      </c>
      <c r="BL14" s="37" t="e">
        <f t="shared" si="5"/>
        <v>#REF!</v>
      </c>
      <c r="BM14" s="39" t="e">
        <f t="shared" si="6"/>
        <v>#REF!</v>
      </c>
      <c r="BO14" s="36" t="e">
        <f t="shared" si="7"/>
        <v>#REF!</v>
      </c>
      <c r="BP14" s="37" t="e">
        <f>HLOOKUP(BO$2,#REF!,#REF!,TRUE)</f>
        <v>#REF!</v>
      </c>
      <c r="BQ14" s="37" t="e">
        <f t="shared" si="8"/>
        <v>#REF!</v>
      </c>
      <c r="BR14" s="38" t="e">
        <f t="shared" si="9"/>
        <v>#REF!</v>
      </c>
      <c r="BS14" s="36" t="e">
        <f t="shared" si="10"/>
        <v>#REF!</v>
      </c>
      <c r="BT14" s="39" t="e">
        <f t="shared" si="11"/>
        <v>#REF!</v>
      </c>
      <c r="BU14" s="37" t="e">
        <f t="shared" si="12"/>
        <v>#REF!</v>
      </c>
      <c r="BV14" s="39" t="e">
        <f t="shared" si="13"/>
        <v>#REF!</v>
      </c>
    </row>
    <row r="15" spans="1:74" ht="22.5" customHeight="1" thickTop="1" x14ac:dyDescent="0.15">
      <c r="A15" s="59"/>
      <c r="B15" s="63"/>
      <c r="C15" s="64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27"/>
      <c r="Z15" s="28"/>
      <c r="AA15" s="18"/>
      <c r="AB15" s="6"/>
      <c r="AC15" s="6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Z15" s="29">
        <f t="shared" ca="1" si="14"/>
        <v>46336</v>
      </c>
      <c r="BF15" s="36" t="e">
        <f t="shared" si="0"/>
        <v>#REF!</v>
      </c>
      <c r="BG15" s="37" t="e">
        <f>HLOOKUP(BF$2,#REF!,#REF!,TRUE)</f>
        <v>#REF!</v>
      </c>
      <c r="BH15" s="37" t="e">
        <f t="shared" si="1"/>
        <v>#REF!</v>
      </c>
      <c r="BI15" s="38" t="e">
        <f t="shared" si="2"/>
        <v>#REF!</v>
      </c>
      <c r="BJ15" s="36" t="e">
        <f t="shared" si="3"/>
        <v>#REF!</v>
      </c>
      <c r="BK15" s="39" t="e">
        <f t="shared" si="4"/>
        <v>#REF!</v>
      </c>
      <c r="BL15" s="37" t="e">
        <f t="shared" si="5"/>
        <v>#REF!</v>
      </c>
      <c r="BM15" s="39" t="e">
        <f t="shared" si="6"/>
        <v>#REF!</v>
      </c>
      <c r="BO15" s="36" t="e">
        <f t="shared" si="7"/>
        <v>#REF!</v>
      </c>
      <c r="BP15" s="37" t="e">
        <f>HLOOKUP(BO$2,#REF!,#REF!,TRUE)</f>
        <v>#REF!</v>
      </c>
      <c r="BQ15" s="37" t="e">
        <f t="shared" si="8"/>
        <v>#REF!</v>
      </c>
      <c r="BR15" s="38" t="e">
        <f t="shared" si="9"/>
        <v>#REF!</v>
      </c>
      <c r="BS15" s="36" t="e">
        <f t="shared" si="10"/>
        <v>#REF!</v>
      </c>
      <c r="BT15" s="39" t="e">
        <f t="shared" si="11"/>
        <v>#REF!</v>
      </c>
      <c r="BU15" s="37" t="e">
        <f t="shared" si="12"/>
        <v>#REF!</v>
      </c>
      <c r="BV15" s="39" t="e">
        <f t="shared" si="13"/>
        <v>#REF!</v>
      </c>
    </row>
    <row r="16" spans="1:74" ht="22.5" customHeight="1" x14ac:dyDescent="0.15">
      <c r="A16" s="59"/>
      <c r="B16" s="63"/>
      <c r="C16" s="64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27"/>
      <c r="Z16" s="28"/>
      <c r="AA16" s="18"/>
      <c r="AB16" s="6"/>
      <c r="AC16" s="6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Z16" s="29">
        <f t="shared" ca="1" si="14"/>
        <v>46337</v>
      </c>
      <c r="BF16" s="36" t="e">
        <f t="shared" si="0"/>
        <v>#REF!</v>
      </c>
      <c r="BG16" s="37" t="e">
        <f>HLOOKUP(BF$2,#REF!,#REF!,TRUE)</f>
        <v>#REF!</v>
      </c>
      <c r="BH16" s="37" t="e">
        <f t="shared" si="1"/>
        <v>#REF!</v>
      </c>
      <c r="BI16" s="38" t="e">
        <f t="shared" si="2"/>
        <v>#REF!</v>
      </c>
      <c r="BJ16" s="36" t="e">
        <f t="shared" si="3"/>
        <v>#REF!</v>
      </c>
      <c r="BK16" s="39" t="e">
        <f t="shared" si="4"/>
        <v>#REF!</v>
      </c>
      <c r="BL16" s="37" t="e">
        <f t="shared" si="5"/>
        <v>#REF!</v>
      </c>
      <c r="BM16" s="39" t="e">
        <f t="shared" si="6"/>
        <v>#REF!</v>
      </c>
      <c r="BO16" s="36" t="e">
        <f t="shared" si="7"/>
        <v>#REF!</v>
      </c>
      <c r="BP16" s="37" t="e">
        <f>HLOOKUP(BO$2,#REF!,#REF!,TRUE)</f>
        <v>#REF!</v>
      </c>
      <c r="BQ16" s="37" t="e">
        <f t="shared" si="8"/>
        <v>#REF!</v>
      </c>
      <c r="BR16" s="38" t="e">
        <f t="shared" si="9"/>
        <v>#REF!</v>
      </c>
      <c r="BS16" s="36" t="e">
        <f t="shared" si="10"/>
        <v>#REF!</v>
      </c>
      <c r="BT16" s="39" t="e">
        <f t="shared" si="11"/>
        <v>#REF!</v>
      </c>
      <c r="BU16" s="37" t="e">
        <f t="shared" si="12"/>
        <v>#REF!</v>
      </c>
      <c r="BV16" s="39" t="e">
        <f t="shared" si="13"/>
        <v>#REF!</v>
      </c>
    </row>
    <row r="17" spans="1:74" ht="22.5" customHeight="1" x14ac:dyDescent="0.15">
      <c r="A17" s="59"/>
      <c r="B17" s="63"/>
      <c r="C17" s="64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27"/>
      <c r="Z17" s="28"/>
      <c r="AA17" s="18"/>
      <c r="AB17" s="6"/>
      <c r="AC17" s="6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Z17" s="29">
        <f t="shared" ca="1" si="14"/>
        <v>46338</v>
      </c>
      <c r="BF17" s="36" t="e">
        <f t="shared" si="0"/>
        <v>#REF!</v>
      </c>
      <c r="BG17" s="37" t="e">
        <f>HLOOKUP(BF$2,#REF!,#REF!,TRUE)</f>
        <v>#REF!</v>
      </c>
      <c r="BH17" s="37" t="e">
        <f t="shared" si="1"/>
        <v>#REF!</v>
      </c>
      <c r="BI17" s="38" t="e">
        <f t="shared" si="2"/>
        <v>#REF!</v>
      </c>
      <c r="BJ17" s="36" t="e">
        <f t="shared" si="3"/>
        <v>#REF!</v>
      </c>
      <c r="BK17" s="39" t="e">
        <f t="shared" si="4"/>
        <v>#REF!</v>
      </c>
      <c r="BL17" s="37" t="e">
        <f t="shared" si="5"/>
        <v>#REF!</v>
      </c>
      <c r="BM17" s="39" t="e">
        <f t="shared" si="6"/>
        <v>#REF!</v>
      </c>
      <c r="BO17" s="36" t="e">
        <f t="shared" si="7"/>
        <v>#REF!</v>
      </c>
      <c r="BP17" s="37" t="e">
        <f>HLOOKUP(BO$2,#REF!,#REF!,TRUE)</f>
        <v>#REF!</v>
      </c>
      <c r="BQ17" s="37" t="e">
        <f t="shared" si="8"/>
        <v>#REF!</v>
      </c>
      <c r="BR17" s="38" t="e">
        <f t="shared" si="9"/>
        <v>#REF!</v>
      </c>
      <c r="BS17" s="36" t="e">
        <f t="shared" si="10"/>
        <v>#REF!</v>
      </c>
      <c r="BT17" s="39" t="e">
        <f t="shared" si="11"/>
        <v>#REF!</v>
      </c>
      <c r="BU17" s="37" t="e">
        <f t="shared" si="12"/>
        <v>#REF!</v>
      </c>
      <c r="BV17" s="39" t="e">
        <f t="shared" si="13"/>
        <v>#REF!</v>
      </c>
    </row>
    <row r="18" spans="1:74" ht="22.5" customHeight="1" x14ac:dyDescent="0.15">
      <c r="A18" s="59"/>
      <c r="B18" s="63"/>
      <c r="C18" s="64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27"/>
      <c r="Z18" s="28"/>
      <c r="AA18" s="18"/>
      <c r="AB18" s="6"/>
      <c r="AC18" s="6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Z18" s="29">
        <f t="shared" ca="1" si="14"/>
        <v>46339</v>
      </c>
      <c r="BF18" s="36" t="e">
        <f t="shared" si="0"/>
        <v>#REF!</v>
      </c>
      <c r="BG18" s="37" t="e">
        <f>HLOOKUP(BF$2,#REF!,#REF!,TRUE)</f>
        <v>#REF!</v>
      </c>
      <c r="BH18" s="37" t="e">
        <f t="shared" si="1"/>
        <v>#REF!</v>
      </c>
      <c r="BI18" s="38" t="e">
        <f t="shared" si="2"/>
        <v>#REF!</v>
      </c>
      <c r="BJ18" s="36" t="e">
        <f t="shared" si="3"/>
        <v>#REF!</v>
      </c>
      <c r="BK18" s="39" t="e">
        <f t="shared" si="4"/>
        <v>#REF!</v>
      </c>
      <c r="BL18" s="37" t="e">
        <f t="shared" si="5"/>
        <v>#REF!</v>
      </c>
      <c r="BM18" s="39" t="e">
        <f t="shared" si="6"/>
        <v>#REF!</v>
      </c>
      <c r="BO18" s="36" t="e">
        <f t="shared" si="7"/>
        <v>#REF!</v>
      </c>
      <c r="BP18" s="37" t="e">
        <f>HLOOKUP(BO$2,#REF!,#REF!,TRUE)</f>
        <v>#REF!</v>
      </c>
      <c r="BQ18" s="37" t="e">
        <f t="shared" si="8"/>
        <v>#REF!</v>
      </c>
      <c r="BR18" s="38" t="e">
        <f t="shared" si="9"/>
        <v>#REF!</v>
      </c>
      <c r="BS18" s="36" t="e">
        <f t="shared" si="10"/>
        <v>#REF!</v>
      </c>
      <c r="BT18" s="39" t="e">
        <f t="shared" si="11"/>
        <v>#REF!</v>
      </c>
      <c r="BU18" s="37" t="e">
        <f t="shared" si="12"/>
        <v>#REF!</v>
      </c>
      <c r="BV18" s="39" t="e">
        <f t="shared" si="13"/>
        <v>#REF!</v>
      </c>
    </row>
    <row r="19" spans="1:74" ht="22.5" customHeight="1" x14ac:dyDescent="0.15">
      <c r="A19" s="59"/>
      <c r="B19" s="63"/>
      <c r="C19" s="64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27"/>
      <c r="Z19" s="28"/>
      <c r="AA19" s="18"/>
      <c r="AB19" s="6"/>
      <c r="AC19" s="6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Z19" s="29">
        <f t="shared" ca="1" si="14"/>
        <v>46340</v>
      </c>
      <c r="BF19" s="36" t="e">
        <f t="shared" si="0"/>
        <v>#REF!</v>
      </c>
      <c r="BG19" s="37" t="e">
        <f>HLOOKUP(BF$2,#REF!,#REF!,TRUE)</f>
        <v>#REF!</v>
      </c>
      <c r="BH19" s="37" t="e">
        <f t="shared" si="1"/>
        <v>#REF!</v>
      </c>
      <c r="BI19" s="38" t="e">
        <f t="shared" si="2"/>
        <v>#REF!</v>
      </c>
      <c r="BJ19" s="36" t="e">
        <f t="shared" si="3"/>
        <v>#REF!</v>
      </c>
      <c r="BK19" s="39" t="e">
        <f t="shared" si="4"/>
        <v>#REF!</v>
      </c>
      <c r="BL19" s="37" t="e">
        <f t="shared" si="5"/>
        <v>#REF!</v>
      </c>
      <c r="BM19" s="39" t="e">
        <f t="shared" si="6"/>
        <v>#REF!</v>
      </c>
      <c r="BO19" s="36" t="e">
        <f t="shared" si="7"/>
        <v>#REF!</v>
      </c>
      <c r="BP19" s="37" t="e">
        <f>HLOOKUP(BO$2,#REF!,#REF!,TRUE)</f>
        <v>#REF!</v>
      </c>
      <c r="BQ19" s="37" t="e">
        <f t="shared" si="8"/>
        <v>#REF!</v>
      </c>
      <c r="BR19" s="38" t="e">
        <f t="shared" si="9"/>
        <v>#REF!</v>
      </c>
      <c r="BS19" s="36" t="e">
        <f t="shared" si="10"/>
        <v>#REF!</v>
      </c>
      <c r="BT19" s="39" t="e">
        <f t="shared" si="11"/>
        <v>#REF!</v>
      </c>
      <c r="BU19" s="37" t="e">
        <f t="shared" si="12"/>
        <v>#REF!</v>
      </c>
      <c r="BV19" s="39" t="e">
        <f t="shared" si="13"/>
        <v>#REF!</v>
      </c>
    </row>
    <row r="20" spans="1:74" ht="22.5" customHeight="1" x14ac:dyDescent="0.15">
      <c r="A20" s="59"/>
      <c r="B20" s="63"/>
      <c r="C20" s="64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27"/>
      <c r="Z20" s="28"/>
      <c r="AA20" s="18"/>
      <c r="AB20" s="6"/>
      <c r="AC20" s="6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Z20" s="29">
        <f t="shared" ca="1" si="14"/>
        <v>46341</v>
      </c>
      <c r="BF20" s="36" t="e">
        <f t="shared" si="0"/>
        <v>#REF!</v>
      </c>
      <c r="BG20" s="37" t="e">
        <f>HLOOKUP(BF$2,#REF!,#REF!,TRUE)</f>
        <v>#REF!</v>
      </c>
      <c r="BH20" s="37" t="e">
        <f t="shared" si="1"/>
        <v>#REF!</v>
      </c>
      <c r="BI20" s="38" t="e">
        <f t="shared" si="2"/>
        <v>#REF!</v>
      </c>
      <c r="BJ20" s="36" t="e">
        <f t="shared" si="3"/>
        <v>#REF!</v>
      </c>
      <c r="BK20" s="39" t="e">
        <f t="shared" si="4"/>
        <v>#REF!</v>
      </c>
      <c r="BL20" s="37" t="e">
        <f t="shared" si="5"/>
        <v>#REF!</v>
      </c>
      <c r="BM20" s="39" t="e">
        <f t="shared" si="6"/>
        <v>#REF!</v>
      </c>
      <c r="BO20" s="36" t="e">
        <f t="shared" si="7"/>
        <v>#REF!</v>
      </c>
      <c r="BP20" s="37" t="e">
        <f>HLOOKUP(BO$2,#REF!,#REF!,TRUE)</f>
        <v>#REF!</v>
      </c>
      <c r="BQ20" s="37" t="e">
        <f t="shared" si="8"/>
        <v>#REF!</v>
      </c>
      <c r="BR20" s="38" t="e">
        <f t="shared" si="9"/>
        <v>#REF!</v>
      </c>
      <c r="BS20" s="36" t="e">
        <f t="shared" si="10"/>
        <v>#REF!</v>
      </c>
      <c r="BT20" s="39" t="e">
        <f t="shared" si="11"/>
        <v>#REF!</v>
      </c>
      <c r="BU20" s="37" t="e">
        <f t="shared" si="12"/>
        <v>#REF!</v>
      </c>
      <c r="BV20" s="39" t="e">
        <f t="shared" si="13"/>
        <v>#REF!</v>
      </c>
    </row>
    <row r="21" spans="1:74" ht="22.5" customHeight="1" x14ac:dyDescent="0.15">
      <c r="A21" s="59"/>
      <c r="B21" s="62"/>
      <c r="C21" s="64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27"/>
      <c r="Z21" s="28"/>
      <c r="AA21" s="18"/>
      <c r="AB21" s="6"/>
      <c r="AC21" s="6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Z21" s="29">
        <f t="shared" ca="1" si="14"/>
        <v>46342</v>
      </c>
      <c r="BF21" s="36" t="e">
        <f t="shared" si="0"/>
        <v>#REF!</v>
      </c>
      <c r="BG21" s="37" t="e">
        <f>HLOOKUP(BF$2,#REF!,#REF!,TRUE)</f>
        <v>#REF!</v>
      </c>
      <c r="BH21" s="37" t="e">
        <f t="shared" si="1"/>
        <v>#REF!</v>
      </c>
      <c r="BI21" s="38" t="e">
        <f t="shared" si="2"/>
        <v>#REF!</v>
      </c>
      <c r="BJ21" s="36" t="e">
        <f t="shared" si="3"/>
        <v>#REF!</v>
      </c>
      <c r="BK21" s="39" t="e">
        <f t="shared" si="4"/>
        <v>#REF!</v>
      </c>
      <c r="BL21" s="37" t="e">
        <f t="shared" si="5"/>
        <v>#REF!</v>
      </c>
      <c r="BM21" s="39" t="e">
        <f t="shared" si="6"/>
        <v>#REF!</v>
      </c>
      <c r="BO21" s="36" t="e">
        <f t="shared" si="7"/>
        <v>#REF!</v>
      </c>
      <c r="BP21" s="37" t="e">
        <f>HLOOKUP(BO$2,#REF!,#REF!,TRUE)</f>
        <v>#REF!</v>
      </c>
      <c r="BQ21" s="37" t="e">
        <f t="shared" si="8"/>
        <v>#REF!</v>
      </c>
      <c r="BR21" s="38" t="e">
        <f t="shared" si="9"/>
        <v>#REF!</v>
      </c>
      <c r="BS21" s="36" t="e">
        <f t="shared" si="10"/>
        <v>#REF!</v>
      </c>
      <c r="BT21" s="39" t="e">
        <f t="shared" si="11"/>
        <v>#REF!</v>
      </c>
      <c r="BU21" s="37" t="e">
        <f t="shared" si="12"/>
        <v>#REF!</v>
      </c>
      <c r="BV21" s="39" t="e">
        <f t="shared" si="13"/>
        <v>#REF!</v>
      </c>
    </row>
    <row r="22" spans="1:74" ht="22.5" customHeight="1" x14ac:dyDescent="0.1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27"/>
      <c r="Z22" s="28"/>
      <c r="AA22" s="18"/>
      <c r="AB22" s="6"/>
      <c r="AC22" s="6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Z22" s="29">
        <f t="shared" ca="1" si="14"/>
        <v>46343</v>
      </c>
      <c r="BF22" s="36" t="e">
        <f t="shared" si="0"/>
        <v>#REF!</v>
      </c>
      <c r="BG22" s="37" t="e">
        <f>HLOOKUP(BF$2,#REF!,#REF!,TRUE)</f>
        <v>#REF!</v>
      </c>
      <c r="BH22" s="37" t="e">
        <f t="shared" si="1"/>
        <v>#REF!</v>
      </c>
      <c r="BI22" s="38" t="e">
        <f t="shared" si="2"/>
        <v>#REF!</v>
      </c>
      <c r="BJ22" s="36" t="e">
        <f t="shared" si="3"/>
        <v>#REF!</v>
      </c>
      <c r="BK22" s="39" t="e">
        <f t="shared" si="4"/>
        <v>#REF!</v>
      </c>
      <c r="BL22" s="37" t="e">
        <f t="shared" si="5"/>
        <v>#REF!</v>
      </c>
      <c r="BM22" s="39" t="e">
        <f t="shared" si="6"/>
        <v>#REF!</v>
      </c>
      <c r="BO22" s="36" t="e">
        <f t="shared" si="7"/>
        <v>#REF!</v>
      </c>
      <c r="BP22" s="37" t="e">
        <f>HLOOKUP(BO$2,#REF!,#REF!,TRUE)</f>
        <v>#REF!</v>
      </c>
      <c r="BQ22" s="37" t="e">
        <f t="shared" si="8"/>
        <v>#REF!</v>
      </c>
      <c r="BR22" s="38" t="e">
        <f t="shared" si="9"/>
        <v>#REF!</v>
      </c>
      <c r="BS22" s="36" t="e">
        <f t="shared" si="10"/>
        <v>#REF!</v>
      </c>
      <c r="BT22" s="39" t="e">
        <f t="shared" si="11"/>
        <v>#REF!</v>
      </c>
      <c r="BU22" s="37" t="e">
        <f t="shared" si="12"/>
        <v>#REF!</v>
      </c>
      <c r="BV22" s="39" t="e">
        <f t="shared" si="13"/>
        <v>#REF!</v>
      </c>
    </row>
    <row r="23" spans="1:74" ht="22.5" customHeight="1" thickBot="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27"/>
      <c r="Z23" s="28"/>
      <c r="AA23" s="18"/>
      <c r="AB23" s="6"/>
      <c r="AC23" s="6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Z23" s="29">
        <f t="shared" ca="1" si="14"/>
        <v>46344</v>
      </c>
      <c r="BF23" s="42" t="e">
        <f t="shared" si="0"/>
        <v>#REF!</v>
      </c>
      <c r="BG23" s="43" t="e">
        <f>HLOOKUP(BF$2,#REF!,#REF!,TRUE)</f>
        <v>#REF!</v>
      </c>
      <c r="BH23" s="43" t="e">
        <f t="shared" si="1"/>
        <v>#REF!</v>
      </c>
      <c r="BI23" s="44" t="e">
        <f t="shared" si="2"/>
        <v>#REF!</v>
      </c>
      <c r="BJ23" s="42" t="e">
        <f t="shared" si="3"/>
        <v>#REF!</v>
      </c>
      <c r="BK23" s="45" t="e">
        <f t="shared" si="4"/>
        <v>#REF!</v>
      </c>
      <c r="BL23" s="43" t="e">
        <f t="shared" si="5"/>
        <v>#REF!</v>
      </c>
      <c r="BM23" s="45" t="e">
        <f t="shared" si="6"/>
        <v>#REF!</v>
      </c>
      <c r="BO23" s="42" t="e">
        <f t="shared" si="7"/>
        <v>#REF!</v>
      </c>
      <c r="BP23" s="43" t="e">
        <f>HLOOKUP(BO$2,#REF!,#REF!,TRUE)</f>
        <v>#REF!</v>
      </c>
      <c r="BQ23" s="43" t="e">
        <f t="shared" si="8"/>
        <v>#REF!</v>
      </c>
      <c r="BR23" s="44" t="e">
        <f t="shared" si="9"/>
        <v>#REF!</v>
      </c>
      <c r="BS23" s="42" t="e">
        <f t="shared" si="10"/>
        <v>#REF!</v>
      </c>
      <c r="BT23" s="45" t="e">
        <f t="shared" si="11"/>
        <v>#REF!</v>
      </c>
      <c r="BU23" s="43" t="e">
        <f t="shared" si="12"/>
        <v>#REF!</v>
      </c>
      <c r="BV23" s="45" t="e">
        <f t="shared" si="13"/>
        <v>#REF!</v>
      </c>
    </row>
    <row r="24" spans="1:74" ht="22.5" customHeight="1" x14ac:dyDescent="0.1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27"/>
      <c r="Z24" s="28"/>
      <c r="AA24" s="18"/>
      <c r="AB24" s="6"/>
      <c r="AC24" s="6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Z24" s="29">
        <f t="shared" ca="1" si="14"/>
        <v>46345</v>
      </c>
    </row>
    <row r="25" spans="1:74" ht="22.5" customHeight="1" x14ac:dyDescent="0.1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27"/>
      <c r="Z25" s="28"/>
      <c r="AA25" s="18"/>
      <c r="AB25" s="6"/>
      <c r="AC25" s="6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Z25" s="29">
        <f t="shared" ca="1" si="14"/>
        <v>46346</v>
      </c>
    </row>
    <row r="26" spans="1:74" ht="22.5" customHeight="1" x14ac:dyDescent="0.1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27"/>
      <c r="Z26" s="28"/>
      <c r="AA26" s="18"/>
      <c r="AB26" s="6"/>
      <c r="AC26" s="6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Z26" s="29">
        <f t="shared" ca="1" si="14"/>
        <v>46347</v>
      </c>
    </row>
    <row r="27" spans="1:74" ht="22.5" customHeight="1" x14ac:dyDescent="0.1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27"/>
      <c r="Z27" s="28"/>
      <c r="AA27" s="18"/>
      <c r="AB27" s="6"/>
      <c r="AC27" s="6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Z27" s="29">
        <f t="shared" ca="1" si="14"/>
        <v>46348</v>
      </c>
    </row>
    <row r="28" spans="1:74" ht="22.5" customHeight="1" x14ac:dyDescent="0.1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27"/>
      <c r="Z28" s="28"/>
      <c r="AA28" s="18"/>
      <c r="AB28" s="6"/>
      <c r="AC28" s="6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Z28" s="46">
        <f t="shared" ca="1" si="14"/>
        <v>46349</v>
      </c>
    </row>
    <row r="29" spans="1:74" ht="22.5" customHeight="1" x14ac:dyDescent="0.1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27"/>
      <c r="Z29" s="28"/>
      <c r="AA29" s="18"/>
      <c r="AB29" s="6"/>
      <c r="AC29" s="6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74" ht="22.5" customHeight="1" x14ac:dyDescent="0.1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27"/>
      <c r="Z30" s="28"/>
      <c r="AA30" s="18"/>
      <c r="AB30" s="6"/>
      <c r="AC30" s="6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74" ht="22.5" customHeight="1" x14ac:dyDescent="0.1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27"/>
      <c r="Z31" s="28"/>
      <c r="AA31" s="18"/>
      <c r="AB31" s="6"/>
      <c r="AC31" s="6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74" ht="22.5" customHeight="1" x14ac:dyDescent="0.1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27"/>
      <c r="Z32" s="28"/>
      <c r="AA32" s="18"/>
      <c r="AB32" s="6"/>
      <c r="AC32" s="6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27" ht="22.5" customHeight="1" x14ac:dyDescent="0.1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27"/>
      <c r="Z33" s="28"/>
      <c r="AA33" s="18"/>
    </row>
    <row r="34" spans="1:27" ht="22.5" customHeight="1" x14ac:dyDescent="0.15">
      <c r="Y34" s="27"/>
      <c r="Z34" s="28"/>
      <c r="AA34" s="18"/>
    </row>
    <row r="35" spans="1:27" ht="22.5" customHeight="1" x14ac:dyDescent="0.15">
      <c r="Y35" s="27"/>
      <c r="Z35" s="28"/>
      <c r="AA35" s="18"/>
    </row>
    <row r="36" spans="1:27" ht="22.5" customHeight="1" x14ac:dyDescent="0.15">
      <c r="Y36" s="27"/>
      <c r="Z36" s="28"/>
      <c r="AA36" s="18"/>
    </row>
    <row r="37" spans="1:27" ht="22.5" customHeight="1" x14ac:dyDescent="0.15">
      <c r="Y37" s="27"/>
      <c r="Z37" s="28"/>
      <c r="AA37" s="18"/>
    </row>
    <row r="38" spans="1:27" ht="22.5" customHeight="1" x14ac:dyDescent="0.15">
      <c r="Y38" s="27"/>
      <c r="Z38" s="28"/>
      <c r="AA38" s="18"/>
    </row>
    <row r="39" spans="1:27" ht="22.5" customHeight="1" x14ac:dyDescent="0.15">
      <c r="Y39" s="27"/>
      <c r="Z39" s="28"/>
      <c r="AA39" s="18"/>
    </row>
    <row r="40" spans="1:27" ht="22.5" customHeight="1" x14ac:dyDescent="0.15">
      <c r="Y40" s="27"/>
      <c r="Z40" s="28"/>
      <c r="AA40" s="18"/>
    </row>
    <row r="41" spans="1:27" ht="22.5" customHeight="1" x14ac:dyDescent="0.15">
      <c r="Y41" s="27"/>
      <c r="Z41" s="28"/>
      <c r="AA41" s="18"/>
    </row>
    <row r="42" spans="1:27" ht="22.5" customHeight="1" x14ac:dyDescent="0.15">
      <c r="Y42" s="27"/>
      <c r="Z42" s="28"/>
      <c r="AA42" s="18"/>
    </row>
    <row r="43" spans="1:27" ht="22.5" customHeight="1" x14ac:dyDescent="0.15">
      <c r="Y43" s="27"/>
      <c r="Z43" s="28"/>
      <c r="AA43" s="18"/>
    </row>
    <row r="44" spans="1:27" ht="22.5" customHeight="1" x14ac:dyDescent="0.15">
      <c r="Y44" s="27"/>
      <c r="Z44" s="28"/>
      <c r="AA44" s="18"/>
    </row>
    <row r="45" spans="1:27" ht="22.5" customHeight="1" x14ac:dyDescent="0.15">
      <c r="Y45" s="27"/>
      <c r="Z45" s="28"/>
      <c r="AA45" s="18"/>
    </row>
    <row r="46" spans="1:27" ht="22.5" customHeight="1" x14ac:dyDescent="0.15">
      <c r="Y46" s="27"/>
      <c r="Z46" s="28"/>
      <c r="AA46" s="18"/>
    </row>
    <row r="47" spans="1:27" ht="22.5" customHeight="1" x14ac:dyDescent="0.15">
      <c r="Y47" s="27"/>
      <c r="Z47" s="28"/>
      <c r="AA47" s="18"/>
    </row>
    <row r="48" spans="1:27" ht="22.5" customHeight="1" x14ac:dyDescent="0.15">
      <c r="Y48" s="27"/>
      <c r="Z48" s="28"/>
      <c r="AA48" s="18"/>
    </row>
    <row r="49" spans="25:27" ht="22.5" customHeight="1" x14ac:dyDescent="0.15">
      <c r="Y49" s="27"/>
      <c r="Z49" s="28"/>
      <c r="AA49" s="18"/>
    </row>
    <row r="50" spans="25:27" ht="22.5" customHeight="1" x14ac:dyDescent="0.15">
      <c r="Y50" s="27"/>
      <c r="Z50" s="28"/>
      <c r="AA50" s="18"/>
    </row>
    <row r="51" spans="25:27" ht="22.5" customHeight="1" x14ac:dyDescent="0.15">
      <c r="Y51" s="27"/>
      <c r="Z51" s="28"/>
      <c r="AA51" s="18"/>
    </row>
    <row r="52" spans="25:27" ht="22.5" customHeight="1" x14ac:dyDescent="0.15">
      <c r="Y52" s="27"/>
      <c r="Z52" s="28"/>
      <c r="AA52" s="18"/>
    </row>
    <row r="53" spans="25:27" ht="22.5" customHeight="1" x14ac:dyDescent="0.15">
      <c r="Y53" s="27"/>
      <c r="Z53" s="28"/>
      <c r="AA53" s="18"/>
    </row>
    <row r="54" spans="25:27" ht="22.5" customHeight="1" x14ac:dyDescent="0.15">
      <c r="Y54" s="27"/>
      <c r="Z54" s="28"/>
      <c r="AA54" s="18"/>
    </row>
    <row r="55" spans="25:27" ht="22.5" customHeight="1" x14ac:dyDescent="0.15">
      <c r="Y55" s="27"/>
      <c r="Z55" s="28"/>
      <c r="AA55" s="18"/>
    </row>
    <row r="56" spans="25:27" ht="22.5" customHeight="1" x14ac:dyDescent="0.15">
      <c r="Y56" s="27"/>
      <c r="Z56" s="28"/>
      <c r="AA56" s="18"/>
    </row>
    <row r="57" spans="25:27" ht="22.5" customHeight="1" x14ac:dyDescent="0.15">
      <c r="Y57" s="27"/>
      <c r="Z57" s="28"/>
      <c r="AA57" s="18"/>
    </row>
    <row r="58" spans="25:27" ht="22.5" customHeight="1" x14ac:dyDescent="0.15">
      <c r="Y58" s="27"/>
      <c r="Z58" s="28"/>
      <c r="AA58" s="18"/>
    </row>
    <row r="59" spans="25:27" ht="22.5" customHeight="1" x14ac:dyDescent="0.15">
      <c r="Y59" s="27"/>
      <c r="Z59" s="28"/>
      <c r="AA59" s="18"/>
    </row>
    <row r="60" spans="25:27" ht="22.5" customHeight="1" x14ac:dyDescent="0.15">
      <c r="Y60" s="27"/>
      <c r="Z60" s="28"/>
      <c r="AA60" s="18"/>
    </row>
    <row r="61" spans="25:27" ht="22.5" customHeight="1" thickBot="1" x14ac:dyDescent="0.2">
      <c r="Y61" s="48"/>
      <c r="Z61" s="49"/>
      <c r="AA61" s="50"/>
    </row>
    <row r="62" spans="25:27" ht="22.5" customHeight="1" x14ac:dyDescent="0.15">
      <c r="Y62" s="73"/>
    </row>
  </sheetData>
  <phoneticPr fontId="8"/>
  <dataValidations count="14">
    <dataValidation type="list" imeMode="off" allowBlank="1" showInputMessage="1" sqref="I6:J6">
      <formula1>"1510"</formula1>
    </dataValidation>
    <dataValidation type="list" imeMode="off" allowBlank="1" showInputMessage="1" sqref="I4:J4 I7:J7">
      <formula1>"1820,1910"</formula1>
    </dataValidation>
    <dataValidation imeMode="off" allowBlank="1" showInputMessage="1" showErrorMessage="1" sqref="BB3:BD7 C2"/>
    <dataValidation type="list" allowBlank="1" showInputMessage="1" showErrorMessage="1" sqref="B20">
      <formula1>"0,1,2,3,4,5,6,7,8,9,10"</formula1>
    </dataValidation>
    <dataValidation type="list" allowBlank="1" showInputMessage="1" showErrorMessage="1" sqref="B13:B19">
      <formula1>",○,×"</formula1>
    </dataValidation>
    <dataValidation imeMode="hiragana" allowBlank="1" showInputMessage="1" showErrorMessage="1" sqref="C3"/>
    <dataValidation type="list" allowBlank="1" showInputMessage="1" sqref="D10:D11">
      <formula1>"0,1,2,3,4,5,6,7,8,9,10"</formula1>
    </dataValidation>
    <dataValidation type="list" imeMode="off" allowBlank="1" showInputMessage="1" showErrorMessage="1" sqref="H3">
      <formula1>"13,16"</formula1>
    </dataValidation>
    <dataValidation type="list" allowBlank="1" showInputMessage="1" showErrorMessage="1" sqref="I3">
      <formula1>"Ｍ,尺"</formula1>
    </dataValidation>
    <dataValidation type="list" imeMode="hiragana" allowBlank="1" showInputMessage="1" sqref="C7">
      <formula1>$K$3:$K$500</formula1>
    </dataValidation>
    <dataValidation type="list" allowBlank="1" showInputMessage="1" sqref="C6">
      <formula1>$M$3:$M$61</formula1>
    </dataValidation>
    <dataValidation type="list" imeMode="hiragana" allowBlank="1" showInputMessage="1" sqref="C5">
      <formula1>$L$3:$L$61</formula1>
    </dataValidation>
    <dataValidation type="list" allowBlank="1" showInputMessage="1" sqref="C4">
      <formula1>$AZ$3:$AZ$28</formula1>
    </dataValidation>
    <dataValidation type="list" allowBlank="1" showInputMessage="1" sqref="C9">
      <formula1>$AZ$4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00" r:id="rId4" name="CommandButton21">
          <controlPr defaultSize="0" autoLine="0" r:id="rId5">
            <anchor moveWithCells="1">
              <from>
                <xdr:col>1</xdr:col>
                <xdr:colOff>95250</xdr:colOff>
                <xdr:row>13</xdr:row>
                <xdr:rowOff>104775</xdr:rowOff>
              </from>
              <to>
                <xdr:col>2</xdr:col>
                <xdr:colOff>923925</xdr:colOff>
                <xdr:row>14</xdr:row>
                <xdr:rowOff>104775</xdr:rowOff>
              </to>
            </anchor>
          </controlPr>
        </control>
      </mc:Choice>
      <mc:Fallback>
        <control shapeId="11300" r:id="rId4" name="CommandButton21"/>
      </mc:Fallback>
    </mc:AlternateContent>
    <mc:AlternateContent xmlns:mc="http://schemas.openxmlformats.org/markup-compatibility/2006">
      <mc:Choice Requires="x14">
        <control shapeId="11290" r:id="rId6" name="CommandButton1">
          <controlPr defaultSize="0" autoLine="0" r:id="rId7">
            <anchor moveWithCells="1">
              <from>
                <xdr:col>1</xdr:col>
                <xdr:colOff>66675</xdr:colOff>
                <xdr:row>15</xdr:row>
                <xdr:rowOff>228600</xdr:rowOff>
              </from>
              <to>
                <xdr:col>2</xdr:col>
                <xdr:colOff>895350</xdr:colOff>
                <xdr:row>16</xdr:row>
                <xdr:rowOff>228600</xdr:rowOff>
              </to>
            </anchor>
          </controlPr>
        </control>
      </mc:Choice>
      <mc:Fallback>
        <control shapeId="11290" r:id="rId6" name="CommandButton1"/>
      </mc:Fallback>
    </mc:AlternateContent>
    <mc:AlternateContent xmlns:mc="http://schemas.openxmlformats.org/markup-compatibility/2006">
      <mc:Choice Requires="x14">
        <control shapeId="11280" r:id="rId8" name="prt_7">
          <controlPr defaultSize="0" autoLine="0" r:id="rId9">
            <anchor moveWithCells="1">
              <from>
                <xdr:col>1</xdr:col>
                <xdr:colOff>76200</xdr:colOff>
                <xdr:row>18</xdr:row>
                <xdr:rowOff>66675</xdr:rowOff>
              </from>
              <to>
                <xdr:col>2</xdr:col>
                <xdr:colOff>904875</xdr:colOff>
                <xdr:row>19</xdr:row>
                <xdr:rowOff>66675</xdr:rowOff>
              </to>
            </anchor>
          </controlPr>
        </control>
      </mc:Choice>
      <mc:Fallback>
        <control shapeId="11280" r:id="rId8" name="prt_7"/>
      </mc:Fallback>
    </mc:AlternateContent>
    <mc:AlternateContent xmlns:mc="http://schemas.openxmlformats.org/markup-compatibility/2006">
      <mc:Choice Requires="x14">
        <control shapeId="11279" r:id="rId10" name="prt_6">
          <controlPr defaultSize="0" autoLine="0" r:id="rId11">
            <anchor moveWithCells="1">
              <from>
                <xdr:col>1</xdr:col>
                <xdr:colOff>76200</xdr:colOff>
                <xdr:row>17</xdr:row>
                <xdr:rowOff>38100</xdr:rowOff>
              </from>
              <to>
                <xdr:col>2</xdr:col>
                <xdr:colOff>904875</xdr:colOff>
                <xdr:row>18</xdr:row>
                <xdr:rowOff>38100</xdr:rowOff>
              </to>
            </anchor>
          </controlPr>
        </control>
      </mc:Choice>
      <mc:Fallback>
        <control shapeId="11279" r:id="rId10" name="prt_6"/>
      </mc:Fallback>
    </mc:AlternateContent>
    <mc:AlternateContent xmlns:mc="http://schemas.openxmlformats.org/markup-compatibility/2006">
      <mc:Choice Requires="x14">
        <control shapeId="11278" r:id="rId12" name="prt_5">
          <controlPr defaultSize="0" autoLine="0" r:id="rId13">
            <anchor moveWithCells="1">
              <from>
                <xdr:col>1</xdr:col>
                <xdr:colOff>85725</xdr:colOff>
                <xdr:row>12</xdr:row>
                <xdr:rowOff>38100</xdr:rowOff>
              </from>
              <to>
                <xdr:col>2</xdr:col>
                <xdr:colOff>914400</xdr:colOff>
                <xdr:row>13</xdr:row>
                <xdr:rowOff>38100</xdr:rowOff>
              </to>
            </anchor>
          </controlPr>
        </control>
      </mc:Choice>
      <mc:Fallback>
        <control shapeId="11278" r:id="rId12" name="prt_5"/>
      </mc:Fallback>
    </mc:AlternateContent>
    <mc:AlternateContent xmlns:mc="http://schemas.openxmlformats.org/markup-compatibility/2006">
      <mc:Choice Requires="x14">
        <control shapeId="11277" r:id="rId14" name="prt_4">
          <controlPr defaultSize="0" autoLine="0" r:id="rId15">
            <anchor moveWithCells="1">
              <from>
                <xdr:col>5</xdr:col>
                <xdr:colOff>85725</xdr:colOff>
                <xdr:row>4</xdr:row>
                <xdr:rowOff>114300</xdr:rowOff>
              </from>
              <to>
                <xdr:col>6</xdr:col>
                <xdr:colOff>742950</xdr:colOff>
                <xdr:row>5</xdr:row>
                <xdr:rowOff>114300</xdr:rowOff>
              </to>
            </anchor>
          </controlPr>
        </control>
      </mc:Choice>
      <mc:Fallback>
        <control shapeId="11277" r:id="rId14" name="prt_4"/>
      </mc:Fallback>
    </mc:AlternateContent>
    <mc:AlternateContent xmlns:mc="http://schemas.openxmlformats.org/markup-compatibility/2006">
      <mc:Choice Requires="x14">
        <control shapeId="11276" r:id="rId16" name="prt_3">
          <controlPr defaultSize="0" autoLine="0" r:id="rId17">
            <anchor moveWithCells="1">
              <from>
                <xdr:col>5</xdr:col>
                <xdr:colOff>85725</xdr:colOff>
                <xdr:row>3</xdr:row>
                <xdr:rowOff>95250</xdr:rowOff>
              </from>
              <to>
                <xdr:col>6</xdr:col>
                <xdr:colOff>742950</xdr:colOff>
                <xdr:row>4</xdr:row>
                <xdr:rowOff>95250</xdr:rowOff>
              </to>
            </anchor>
          </controlPr>
        </control>
      </mc:Choice>
      <mc:Fallback>
        <control shapeId="11276" r:id="rId16" name="prt_3"/>
      </mc:Fallback>
    </mc:AlternateContent>
    <mc:AlternateContent xmlns:mc="http://schemas.openxmlformats.org/markup-compatibility/2006">
      <mc:Choice Requires="x14">
        <control shapeId="11270" r:id="rId18" name="prt_2">
          <controlPr defaultSize="0" autoLine="0" r:id="rId19">
            <anchor moveWithCells="1">
              <from>
                <xdr:col>1</xdr:col>
                <xdr:colOff>104775</xdr:colOff>
                <xdr:row>10</xdr:row>
                <xdr:rowOff>209550</xdr:rowOff>
              </from>
              <to>
                <xdr:col>2</xdr:col>
                <xdr:colOff>933450</xdr:colOff>
                <xdr:row>11</xdr:row>
                <xdr:rowOff>209550</xdr:rowOff>
              </to>
            </anchor>
          </controlPr>
        </control>
      </mc:Choice>
      <mc:Fallback>
        <control shapeId="11270" r:id="rId18" name="prt_2"/>
      </mc:Fallback>
    </mc:AlternateContent>
    <mc:AlternateContent xmlns:mc="http://schemas.openxmlformats.org/markup-compatibility/2006">
      <mc:Choice Requires="x14">
        <control shapeId="11265" r:id="rId20" name="prt_1">
          <controlPr defaultSize="0" autoLine="0" r:id="rId21">
            <anchor moveWithCells="1">
              <from>
                <xdr:col>5</xdr:col>
                <xdr:colOff>104775</xdr:colOff>
                <xdr:row>1</xdr:row>
                <xdr:rowOff>180975</xdr:rowOff>
              </from>
              <to>
                <xdr:col>6</xdr:col>
                <xdr:colOff>762000</xdr:colOff>
                <xdr:row>2</xdr:row>
                <xdr:rowOff>180975</xdr:rowOff>
              </to>
            </anchor>
          </controlPr>
        </control>
      </mc:Choice>
      <mc:Fallback>
        <control shapeId="11265" r:id="rId20" name="prt_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1199"/>
  <sheetViews>
    <sheetView showGridLines="0" tabSelected="1" topLeftCell="A50" zoomScale="55" zoomScaleNormal="55" workbookViewId="0">
      <selection activeCell="GU175" sqref="GU175"/>
    </sheetView>
  </sheetViews>
  <sheetFormatPr defaultColWidth="1.125" defaultRowHeight="6.95" customHeight="1" x14ac:dyDescent="0.15"/>
  <cols>
    <col min="22" max="22" width="0.625" customWidth="1"/>
    <col min="28" max="28" width="1.25" customWidth="1"/>
    <col min="29" max="29" width="3.25" customWidth="1"/>
  </cols>
  <sheetData>
    <row r="1" spans="1:195" ht="6.95" customHeight="1" x14ac:dyDescent="0.15">
      <c r="A1" s="222" t="s">
        <v>31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4" t="str">
        <f>入力!C7</f>
        <v>神戸市須磨区</v>
      </c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6" t="str">
        <f>入力!C3&amp;" 様邸"</f>
        <v>FP須磨鷹取Ⅴ番館 様邸</v>
      </c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226"/>
      <c r="BH1" s="226"/>
      <c r="BI1" s="226"/>
      <c r="BJ1" s="226"/>
      <c r="BK1" s="226"/>
      <c r="BL1" s="226"/>
      <c r="BM1" s="226"/>
      <c r="BN1" s="226"/>
      <c r="BO1" s="226"/>
      <c r="BP1" s="226"/>
      <c r="BQ1" s="226"/>
      <c r="BR1" s="226"/>
      <c r="BS1" s="226"/>
      <c r="BT1" s="226"/>
    </row>
    <row r="2" spans="1:195" ht="6.95" customHeight="1" x14ac:dyDescent="0.15">
      <c r="A2" s="222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6"/>
      <c r="BN2" s="226"/>
      <c r="BO2" s="226"/>
      <c r="BP2" s="226"/>
      <c r="BQ2" s="226"/>
      <c r="BR2" s="226"/>
      <c r="BS2" s="226"/>
      <c r="BT2" s="226"/>
    </row>
    <row r="3" spans="1:195" ht="6.95" customHeight="1" x14ac:dyDescent="0.15">
      <c r="A3" s="223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</row>
    <row r="5" spans="1:195" ht="6.95" customHeight="1" x14ac:dyDescent="0.15">
      <c r="A5" s="1"/>
      <c r="B5" s="1"/>
      <c r="C5" s="1"/>
      <c r="D5" s="1"/>
      <c r="E5" s="1"/>
      <c r="F5" s="112"/>
      <c r="G5" s="112"/>
      <c r="H5" s="112"/>
      <c r="I5" s="112"/>
      <c r="J5" s="112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220">
        <f>F5*Y5</f>
        <v>0</v>
      </c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  <c r="CB5" s="221"/>
      <c r="CC5" s="221"/>
      <c r="CD5" s="221"/>
      <c r="CE5" s="221"/>
      <c r="CF5" s="221"/>
      <c r="CG5" s="221"/>
      <c r="CH5" s="221"/>
      <c r="CI5" s="221"/>
      <c r="CJ5" s="221"/>
      <c r="CK5" s="221"/>
      <c r="CL5" s="221"/>
      <c r="CM5" s="221"/>
      <c r="CN5" s="221"/>
      <c r="CO5" s="221"/>
      <c r="CP5" s="221"/>
      <c r="CQ5" s="221"/>
      <c r="CR5" s="221"/>
      <c r="CS5" s="221"/>
      <c r="CT5" s="221"/>
      <c r="CU5" s="221"/>
      <c r="CV5" s="221"/>
      <c r="CW5" s="221"/>
      <c r="CX5" s="221"/>
      <c r="CY5" s="221"/>
      <c r="CZ5" s="221"/>
      <c r="DA5" s="221"/>
      <c r="DB5" s="221"/>
      <c r="DC5" s="221"/>
      <c r="DD5" s="221"/>
      <c r="DE5" s="221"/>
      <c r="DF5" s="221"/>
      <c r="DG5" s="221"/>
      <c r="DH5" s="221"/>
      <c r="DI5" s="221"/>
      <c r="DJ5" s="221"/>
      <c r="DK5" s="221"/>
      <c r="DL5" s="221"/>
      <c r="DM5" s="221"/>
      <c r="DN5" s="221"/>
      <c r="DO5" s="221"/>
      <c r="DP5" s="221"/>
      <c r="DQ5" s="221"/>
      <c r="DR5" s="221"/>
      <c r="DS5" s="221"/>
      <c r="DT5" s="221"/>
      <c r="DU5" s="221"/>
      <c r="DV5" s="221"/>
      <c r="DW5" s="221"/>
      <c r="DX5" s="221"/>
      <c r="DY5" s="221"/>
      <c r="DZ5" s="221"/>
      <c r="EA5" s="221"/>
      <c r="EB5" s="221"/>
      <c r="EC5" s="221"/>
      <c r="ED5" s="221"/>
      <c r="EE5" s="221"/>
      <c r="EF5" s="221"/>
      <c r="EG5" s="221"/>
      <c r="EH5" s="221"/>
      <c r="EI5" s="221"/>
      <c r="EJ5" s="221"/>
      <c r="EK5" s="221"/>
      <c r="EL5" s="221"/>
      <c r="EM5" s="221"/>
      <c r="EN5" s="221"/>
      <c r="EO5" s="221"/>
      <c r="EP5" s="221"/>
      <c r="EQ5" s="221"/>
      <c r="ER5" s="221"/>
      <c r="ES5" s="221"/>
      <c r="ET5" s="221"/>
      <c r="EU5" s="221"/>
      <c r="EV5" s="221"/>
      <c r="EW5" s="221"/>
      <c r="EX5" s="221"/>
      <c r="EY5" s="221"/>
      <c r="EZ5" s="221"/>
      <c r="FA5" s="221"/>
      <c r="FB5" s="221"/>
      <c r="FC5" s="221"/>
      <c r="FD5" s="221"/>
      <c r="FE5" s="221"/>
      <c r="FF5" s="221"/>
      <c r="FG5" s="221"/>
      <c r="FH5" s="221"/>
      <c r="FI5" s="221"/>
      <c r="FJ5" s="221"/>
      <c r="FK5" s="221"/>
      <c r="FL5" s="221"/>
      <c r="FM5" s="221"/>
      <c r="FN5" s="221"/>
      <c r="FO5" s="221"/>
      <c r="FP5" s="221"/>
      <c r="FQ5" s="221"/>
      <c r="FR5" s="221"/>
      <c r="FS5" s="221"/>
      <c r="FT5" s="221"/>
      <c r="FU5" s="221"/>
      <c r="FV5" s="221"/>
      <c r="FW5" s="221"/>
      <c r="FX5" s="221"/>
      <c r="FY5" s="221"/>
      <c r="FZ5" s="221"/>
      <c r="GA5" s="221"/>
      <c r="GB5" s="111"/>
      <c r="GC5" s="111"/>
      <c r="GD5" s="221"/>
      <c r="GE5" s="221"/>
      <c r="GF5" s="221"/>
      <c r="GG5" s="221"/>
      <c r="GH5" s="221"/>
      <c r="GI5" s="221"/>
      <c r="GJ5" s="221"/>
      <c r="GK5" s="221"/>
      <c r="GL5" s="221"/>
      <c r="GM5" s="221"/>
    </row>
    <row r="6" spans="1:195" ht="6.95" customHeight="1" x14ac:dyDescent="0.15">
      <c r="A6" s="1"/>
      <c r="B6" s="1"/>
      <c r="C6" s="1"/>
      <c r="D6" s="1"/>
      <c r="E6" s="1"/>
      <c r="F6" s="112"/>
      <c r="G6" s="112"/>
      <c r="H6" s="112"/>
      <c r="I6" s="112"/>
      <c r="J6" s="112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220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9"/>
      <c r="BU6" s="219"/>
      <c r="BV6" s="219"/>
      <c r="BW6" s="219"/>
      <c r="BX6" s="219"/>
      <c r="BY6" s="219"/>
      <c r="BZ6" s="219"/>
      <c r="CA6" s="219"/>
      <c r="CB6" s="219"/>
      <c r="CC6" s="219"/>
      <c r="CD6" s="219"/>
      <c r="CE6" s="219"/>
      <c r="CF6" s="219"/>
      <c r="CG6" s="219"/>
      <c r="CH6" s="219"/>
      <c r="CI6" s="219"/>
      <c r="CJ6" s="219"/>
      <c r="CK6" s="219"/>
      <c r="CL6" s="219"/>
      <c r="CM6" s="219"/>
      <c r="CN6" s="219"/>
      <c r="CO6" s="219"/>
      <c r="CP6" s="219"/>
      <c r="CQ6" s="219"/>
      <c r="CR6" s="219"/>
      <c r="CS6" s="219"/>
      <c r="CT6" s="219"/>
      <c r="CU6" s="219"/>
      <c r="CV6" s="219"/>
      <c r="CW6" s="219"/>
      <c r="CX6" s="219"/>
      <c r="CY6" s="219"/>
      <c r="CZ6" s="219"/>
      <c r="DA6" s="219"/>
      <c r="DB6" s="219"/>
      <c r="DC6" s="219"/>
      <c r="DD6" s="219"/>
      <c r="DE6" s="219"/>
      <c r="DF6" s="219"/>
      <c r="DG6" s="219"/>
      <c r="DH6" s="219"/>
      <c r="DI6" s="219"/>
      <c r="DJ6" s="219"/>
      <c r="DK6" s="219"/>
      <c r="DL6" s="219"/>
      <c r="DM6" s="219"/>
      <c r="DN6" s="219"/>
      <c r="DO6" s="219"/>
      <c r="DP6" s="219"/>
      <c r="DQ6" s="219"/>
      <c r="DR6" s="219"/>
      <c r="DS6" s="219"/>
      <c r="DT6" s="219"/>
      <c r="DU6" s="219"/>
      <c r="DV6" s="219"/>
      <c r="DW6" s="219"/>
      <c r="DX6" s="219"/>
      <c r="DY6" s="219"/>
      <c r="DZ6" s="219"/>
      <c r="EA6" s="219"/>
      <c r="EB6" s="219"/>
      <c r="EC6" s="219"/>
      <c r="ED6" s="219"/>
      <c r="EE6" s="219"/>
      <c r="EF6" s="219"/>
      <c r="EG6" s="219"/>
      <c r="EH6" s="219"/>
      <c r="EI6" s="219"/>
      <c r="EJ6" s="219"/>
      <c r="EK6" s="219"/>
      <c r="EL6" s="219"/>
      <c r="EM6" s="219"/>
      <c r="EN6" s="219"/>
      <c r="EO6" s="219"/>
      <c r="EP6" s="219"/>
      <c r="EQ6" s="219"/>
      <c r="ER6" s="219"/>
      <c r="ES6" s="219"/>
      <c r="ET6" s="219"/>
      <c r="EU6" s="219"/>
      <c r="EV6" s="219"/>
      <c r="EW6" s="219"/>
      <c r="EX6" s="219"/>
      <c r="EY6" s="219"/>
      <c r="EZ6" s="219"/>
      <c r="FA6" s="219"/>
      <c r="FB6" s="219"/>
      <c r="FC6" s="219"/>
      <c r="FD6" s="219"/>
      <c r="FE6" s="219"/>
      <c r="FF6" s="219"/>
      <c r="FG6" s="219"/>
      <c r="FH6" s="219"/>
      <c r="FI6" s="219"/>
      <c r="FJ6" s="219"/>
      <c r="FK6" s="219"/>
      <c r="FL6" s="219"/>
      <c r="FM6" s="219"/>
      <c r="FN6" s="219"/>
      <c r="FO6" s="219"/>
      <c r="FP6" s="219"/>
      <c r="FQ6" s="219"/>
      <c r="FR6" s="219"/>
      <c r="FS6" s="219"/>
      <c r="FT6" s="219"/>
      <c r="FU6" s="219"/>
      <c r="FV6" s="219"/>
      <c r="FW6" s="219"/>
      <c r="FX6" s="219"/>
      <c r="FY6" s="219"/>
      <c r="FZ6" s="219"/>
      <c r="GA6" s="219"/>
      <c r="GB6" s="2"/>
      <c r="GC6" s="2"/>
      <c r="GD6" s="219"/>
      <c r="GE6" s="219"/>
      <c r="GF6" s="219"/>
      <c r="GG6" s="219"/>
      <c r="GH6" s="219"/>
      <c r="GI6" s="219"/>
      <c r="GJ6" s="219"/>
      <c r="GK6" s="219"/>
      <c r="GL6" s="219"/>
      <c r="GM6" s="219"/>
    </row>
    <row r="7" spans="1:195" ht="6.95" customHeight="1" x14ac:dyDescent="0.15">
      <c r="A7" s="1"/>
      <c r="B7" s="1"/>
      <c r="C7" s="1"/>
      <c r="D7" s="1"/>
      <c r="E7" s="1"/>
      <c r="F7" s="112"/>
      <c r="G7" s="112"/>
      <c r="H7" s="112"/>
      <c r="I7" s="112"/>
      <c r="J7" s="112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220">
        <f>F5*Y7</f>
        <v>0</v>
      </c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9"/>
      <c r="BU7" s="219"/>
      <c r="BV7" s="219"/>
      <c r="BW7" s="219"/>
      <c r="BX7" s="219"/>
      <c r="BY7" s="219"/>
      <c r="BZ7" s="219"/>
      <c r="CA7" s="219"/>
      <c r="CB7" s="219"/>
      <c r="CC7" s="219"/>
      <c r="CD7" s="219"/>
      <c r="CE7" s="219"/>
      <c r="CF7" s="219"/>
      <c r="CG7" s="219"/>
      <c r="CH7" s="219"/>
      <c r="CI7" s="219"/>
      <c r="CJ7" s="219"/>
      <c r="CK7" s="219"/>
      <c r="CL7" s="219"/>
      <c r="CM7" s="219"/>
      <c r="CN7" s="219"/>
      <c r="CO7" s="219"/>
      <c r="CP7" s="219"/>
      <c r="CQ7" s="219"/>
      <c r="CR7" s="219"/>
      <c r="CS7" s="219"/>
      <c r="CT7" s="219"/>
      <c r="CU7" s="219"/>
      <c r="CV7" s="219"/>
      <c r="CW7" s="219"/>
      <c r="CX7" s="219"/>
      <c r="CY7" s="219"/>
      <c r="CZ7" s="219"/>
      <c r="DA7" s="219"/>
      <c r="DB7" s="219"/>
      <c r="DC7" s="219"/>
      <c r="DD7" s="219"/>
      <c r="DE7" s="219"/>
      <c r="DF7" s="219"/>
      <c r="DG7" s="219"/>
      <c r="DH7" s="219"/>
      <c r="DI7" s="219"/>
      <c r="DJ7" s="219"/>
      <c r="DK7" s="219"/>
      <c r="DL7" s="219"/>
      <c r="DM7" s="219"/>
      <c r="DN7" s="219"/>
      <c r="DO7" s="219"/>
      <c r="DP7" s="219"/>
      <c r="DQ7" s="219"/>
      <c r="DR7" s="219"/>
      <c r="DS7" s="219"/>
      <c r="DT7" s="219"/>
      <c r="DU7" s="219"/>
      <c r="DV7" s="219"/>
      <c r="DW7" s="219"/>
      <c r="DX7" s="219"/>
      <c r="DY7" s="219"/>
      <c r="DZ7" s="219"/>
      <c r="EA7" s="219"/>
      <c r="EB7" s="219"/>
      <c r="EC7" s="219"/>
      <c r="ED7" s="219"/>
      <c r="EE7" s="219"/>
      <c r="EF7" s="219"/>
      <c r="EG7" s="219"/>
      <c r="EH7" s="219"/>
      <c r="EI7" s="219"/>
      <c r="EJ7" s="219"/>
      <c r="EK7" s="219"/>
      <c r="EL7" s="219"/>
      <c r="EM7" s="219"/>
      <c r="EN7" s="219"/>
      <c r="EO7" s="219"/>
      <c r="EP7" s="219"/>
      <c r="EQ7" s="219"/>
      <c r="ER7" s="219"/>
      <c r="ES7" s="219"/>
      <c r="ET7" s="219"/>
      <c r="EU7" s="219"/>
      <c r="EV7" s="219"/>
      <c r="EW7" s="219"/>
      <c r="EX7" s="219"/>
      <c r="EY7" s="219"/>
      <c r="EZ7" s="219"/>
      <c r="FA7" s="219"/>
      <c r="FB7" s="219"/>
      <c r="FC7" s="219"/>
      <c r="FD7" s="219"/>
      <c r="FE7" s="219"/>
      <c r="FF7" s="219"/>
      <c r="FG7" s="219"/>
      <c r="FH7" s="219"/>
      <c r="FI7" s="219"/>
      <c r="FJ7" s="219"/>
      <c r="FK7" s="219"/>
      <c r="FL7" s="219"/>
      <c r="FM7" s="219"/>
      <c r="FN7" s="219"/>
      <c r="FO7" s="219"/>
      <c r="FP7" s="219"/>
      <c r="FQ7" s="219"/>
      <c r="FR7" s="219"/>
      <c r="FS7" s="219"/>
      <c r="FT7" s="219"/>
      <c r="FU7" s="219"/>
      <c r="FV7" s="219"/>
      <c r="FW7" s="219"/>
      <c r="FX7" s="219"/>
      <c r="FY7" s="219"/>
      <c r="FZ7" s="219"/>
      <c r="GA7" s="219"/>
      <c r="GB7" s="2"/>
      <c r="GC7" s="2"/>
      <c r="GD7" s="219"/>
      <c r="GE7" s="219"/>
      <c r="GF7" s="219"/>
      <c r="GG7" s="219"/>
      <c r="GH7" s="219"/>
      <c r="GI7" s="219"/>
      <c r="GJ7" s="219"/>
      <c r="GK7" s="219"/>
      <c r="GL7" s="219"/>
      <c r="GM7" s="219"/>
    </row>
    <row r="8" spans="1:195" ht="6.95" customHeight="1" x14ac:dyDescent="0.15">
      <c r="A8" s="1"/>
      <c r="B8" s="1"/>
      <c r="C8" s="1"/>
      <c r="D8" s="1"/>
      <c r="E8" s="1"/>
      <c r="F8" s="112"/>
      <c r="G8" s="112"/>
      <c r="H8" s="112"/>
      <c r="I8" s="112"/>
      <c r="J8" s="112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220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219"/>
      <c r="BG8" s="219"/>
      <c r="BH8" s="219"/>
      <c r="BI8" s="219"/>
      <c r="BJ8" s="219"/>
      <c r="BK8" s="219"/>
      <c r="BL8" s="219"/>
      <c r="BM8" s="219"/>
      <c r="BN8" s="219"/>
      <c r="BO8" s="219"/>
      <c r="BP8" s="219"/>
      <c r="BQ8" s="219"/>
      <c r="BR8" s="219"/>
      <c r="BS8" s="219"/>
      <c r="BT8" s="219"/>
      <c r="BU8" s="219"/>
      <c r="BV8" s="219"/>
      <c r="BW8" s="219"/>
      <c r="BX8" s="219"/>
      <c r="BY8" s="219"/>
      <c r="BZ8" s="219"/>
      <c r="CA8" s="219"/>
      <c r="CB8" s="219"/>
      <c r="CC8" s="219"/>
      <c r="CD8" s="219"/>
      <c r="CE8" s="219"/>
      <c r="CF8" s="219"/>
      <c r="CG8" s="219"/>
      <c r="CH8" s="219"/>
      <c r="CI8" s="219"/>
      <c r="CJ8" s="219"/>
      <c r="CK8" s="219"/>
      <c r="CL8" s="219"/>
      <c r="CM8" s="219"/>
      <c r="CN8" s="219"/>
      <c r="CO8" s="219"/>
      <c r="CP8" s="219"/>
      <c r="CQ8" s="219"/>
      <c r="CR8" s="219"/>
      <c r="CS8" s="219"/>
      <c r="CT8" s="219"/>
      <c r="CU8" s="219"/>
      <c r="CV8" s="219"/>
      <c r="CW8" s="219"/>
      <c r="CX8" s="219"/>
      <c r="CY8" s="219"/>
      <c r="CZ8" s="219"/>
      <c r="DA8" s="219"/>
      <c r="DB8" s="219"/>
      <c r="DC8" s="219"/>
      <c r="DD8" s="219"/>
      <c r="DE8" s="219"/>
      <c r="DF8" s="219"/>
      <c r="DG8" s="219"/>
      <c r="DH8" s="219"/>
      <c r="DI8" s="219"/>
      <c r="DJ8" s="219"/>
      <c r="DK8" s="219"/>
      <c r="DL8" s="219"/>
      <c r="DM8" s="219"/>
      <c r="DN8" s="219"/>
      <c r="DO8" s="219"/>
      <c r="DP8" s="219"/>
      <c r="DQ8" s="219"/>
      <c r="DR8" s="219"/>
      <c r="DS8" s="219"/>
      <c r="DT8" s="219"/>
      <c r="DU8" s="219"/>
      <c r="DV8" s="219"/>
      <c r="DW8" s="219"/>
      <c r="DX8" s="219"/>
      <c r="DY8" s="219"/>
      <c r="DZ8" s="219"/>
      <c r="EA8" s="219"/>
      <c r="EB8" s="219"/>
      <c r="EC8" s="219"/>
      <c r="ED8" s="219"/>
      <c r="EE8" s="219"/>
      <c r="EF8" s="219"/>
      <c r="EG8" s="219"/>
      <c r="EH8" s="219"/>
      <c r="EI8" s="219"/>
      <c r="EJ8" s="219"/>
      <c r="EK8" s="219"/>
      <c r="EL8" s="219"/>
      <c r="EM8" s="219"/>
      <c r="EN8" s="219"/>
      <c r="EO8" s="219"/>
      <c r="EP8" s="219"/>
      <c r="EQ8" s="219"/>
      <c r="ER8" s="219"/>
      <c r="ES8" s="219"/>
      <c r="ET8" s="219"/>
      <c r="EU8" s="219"/>
      <c r="EV8" s="219"/>
      <c r="EW8" s="219"/>
      <c r="EX8" s="219"/>
      <c r="EY8" s="219"/>
      <c r="EZ8" s="219"/>
      <c r="FA8" s="219"/>
      <c r="FB8" s="219"/>
      <c r="FC8" s="219"/>
      <c r="FD8" s="219"/>
      <c r="FE8" s="219"/>
      <c r="FF8" s="219"/>
      <c r="FG8" s="219"/>
      <c r="FH8" s="219"/>
      <c r="FI8" s="219"/>
      <c r="FJ8" s="219"/>
      <c r="FK8" s="219"/>
      <c r="FL8" s="219"/>
      <c r="FM8" s="219"/>
      <c r="FN8" s="219"/>
      <c r="FO8" s="219"/>
      <c r="FP8" s="219"/>
      <c r="FQ8" s="219"/>
      <c r="FR8" s="219"/>
      <c r="FS8" s="219"/>
      <c r="FT8" s="219"/>
      <c r="FU8" s="219"/>
      <c r="FV8" s="219"/>
      <c r="FW8" s="219"/>
      <c r="FX8" s="219"/>
      <c r="FY8" s="219"/>
      <c r="FZ8" s="219"/>
      <c r="GA8" s="219"/>
      <c r="GB8" s="2"/>
      <c r="GC8" s="2"/>
      <c r="GD8" s="219"/>
      <c r="GE8" s="219"/>
      <c r="GF8" s="219"/>
      <c r="GG8" s="219"/>
      <c r="GH8" s="219"/>
      <c r="GI8" s="219"/>
      <c r="GJ8" s="219"/>
      <c r="GK8" s="219"/>
      <c r="GL8" s="219"/>
      <c r="GM8" s="219"/>
    </row>
    <row r="9" spans="1:195" ht="6.95" customHeight="1" x14ac:dyDescent="0.15">
      <c r="A9" s="1"/>
      <c r="B9" s="1"/>
      <c r="C9" s="1"/>
      <c r="D9" s="1"/>
      <c r="E9" s="1"/>
      <c r="F9" s="113"/>
      <c r="G9" s="113"/>
      <c r="H9" s="113"/>
      <c r="I9" s="113"/>
      <c r="J9" s="113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220">
        <f>F5*Y9</f>
        <v>0</v>
      </c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219"/>
      <c r="BG9" s="219"/>
      <c r="BH9" s="219"/>
      <c r="BI9" s="219"/>
      <c r="BJ9" s="219"/>
      <c r="BK9" s="219"/>
      <c r="BL9" s="219"/>
      <c r="BM9" s="219"/>
      <c r="BN9" s="219"/>
      <c r="BO9" s="219"/>
      <c r="BP9" s="219"/>
      <c r="BQ9" s="219"/>
      <c r="BR9" s="219"/>
      <c r="BS9" s="219"/>
      <c r="BT9" s="219"/>
      <c r="BU9" s="219"/>
      <c r="BV9" s="219"/>
      <c r="BW9" s="219"/>
      <c r="BX9" s="219"/>
      <c r="BY9" s="219"/>
      <c r="BZ9" s="219"/>
      <c r="CA9" s="219"/>
      <c r="CB9" s="219"/>
      <c r="CC9" s="219"/>
      <c r="CD9" s="219"/>
      <c r="CE9" s="219"/>
      <c r="CF9" s="219"/>
      <c r="CG9" s="219"/>
      <c r="CH9" s="219"/>
      <c r="CI9" s="219"/>
      <c r="CJ9" s="219"/>
      <c r="CK9" s="219"/>
      <c r="CL9" s="219"/>
      <c r="CM9" s="219"/>
      <c r="CN9" s="219"/>
      <c r="CO9" s="219"/>
      <c r="CP9" s="219"/>
      <c r="CQ9" s="219"/>
      <c r="CR9" s="219"/>
      <c r="CS9" s="219"/>
      <c r="CT9" s="219"/>
      <c r="CU9" s="219"/>
      <c r="CV9" s="219"/>
      <c r="CW9" s="219"/>
      <c r="CX9" s="219"/>
      <c r="CY9" s="219"/>
      <c r="CZ9" s="219"/>
      <c r="DA9" s="219"/>
      <c r="DB9" s="219"/>
      <c r="DC9" s="219"/>
      <c r="DD9" s="219"/>
      <c r="DE9" s="219"/>
      <c r="DF9" s="219"/>
      <c r="DG9" s="219"/>
      <c r="DH9" s="219"/>
      <c r="DI9" s="219"/>
      <c r="DJ9" s="219"/>
      <c r="DK9" s="219"/>
      <c r="DL9" s="219"/>
      <c r="DM9" s="219"/>
      <c r="DN9" s="219"/>
      <c r="DO9" s="219"/>
      <c r="DP9" s="219"/>
      <c r="DQ9" s="219"/>
      <c r="DR9" s="219"/>
      <c r="DS9" s="219"/>
      <c r="DT9" s="219"/>
      <c r="DU9" s="219"/>
      <c r="DV9" s="219"/>
      <c r="DW9" s="219"/>
      <c r="DX9" s="219"/>
      <c r="DY9" s="219"/>
      <c r="DZ9" s="219"/>
      <c r="EA9" s="219"/>
      <c r="EB9" s="219"/>
      <c r="EC9" s="219"/>
      <c r="ED9" s="219"/>
      <c r="EE9" s="219"/>
      <c r="EF9" s="219"/>
      <c r="EG9" s="219"/>
      <c r="EH9" s="219"/>
      <c r="EI9" s="219"/>
      <c r="EJ9" s="219"/>
      <c r="EK9" s="219"/>
      <c r="EL9" s="219"/>
      <c r="EM9" s="219"/>
      <c r="EN9" s="219"/>
      <c r="EO9" s="219"/>
      <c r="EP9" s="219"/>
      <c r="EQ9" s="219"/>
      <c r="ER9" s="219"/>
      <c r="ES9" s="219"/>
      <c r="ET9" s="219"/>
      <c r="EU9" s="219"/>
      <c r="EV9" s="219"/>
      <c r="EW9" s="219"/>
      <c r="EX9" s="219"/>
      <c r="EY9" s="219"/>
      <c r="EZ9" s="219"/>
      <c r="FA9" s="219"/>
      <c r="FB9" s="219"/>
      <c r="FC9" s="219"/>
      <c r="FD9" s="219"/>
      <c r="FE9" s="219"/>
      <c r="FF9" s="219"/>
      <c r="FG9" s="219"/>
      <c r="FH9" s="219"/>
      <c r="FI9" s="219"/>
      <c r="FJ9" s="219"/>
      <c r="FK9" s="219"/>
      <c r="FL9" s="219"/>
      <c r="FM9" s="219"/>
      <c r="FN9" s="219"/>
      <c r="FO9" s="219"/>
      <c r="FP9" s="219"/>
      <c r="FQ9" s="219"/>
      <c r="FR9" s="219"/>
      <c r="FS9" s="219"/>
      <c r="FT9" s="219"/>
      <c r="FU9" s="219"/>
      <c r="FV9" s="219"/>
      <c r="FW9" s="219"/>
      <c r="FX9" s="219"/>
      <c r="FY9" s="219"/>
      <c r="FZ9" s="219"/>
      <c r="GA9" s="219"/>
      <c r="GB9" s="2"/>
      <c r="GC9" s="2"/>
      <c r="GD9" s="219"/>
      <c r="GE9" s="219"/>
      <c r="GF9" s="219"/>
      <c r="GG9" s="219"/>
      <c r="GH9" s="219"/>
      <c r="GI9" s="219"/>
      <c r="GJ9" s="219"/>
      <c r="GK9" s="219"/>
      <c r="GL9" s="219"/>
      <c r="GM9" s="219"/>
    </row>
    <row r="10" spans="1:195" ht="6.95" customHeight="1" x14ac:dyDescent="0.15">
      <c r="A10" s="1"/>
      <c r="B10" s="1"/>
      <c r="C10" s="1"/>
      <c r="D10" s="1"/>
      <c r="E10" s="1"/>
      <c r="F10" s="113"/>
      <c r="G10" s="113"/>
      <c r="H10" s="113"/>
      <c r="I10" s="113"/>
      <c r="J10" s="113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220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219"/>
      <c r="BG10" s="219"/>
      <c r="BH10" s="219"/>
      <c r="BI10" s="219"/>
      <c r="BJ10" s="219"/>
      <c r="BK10" s="219"/>
      <c r="BL10" s="219"/>
      <c r="BM10" s="219"/>
      <c r="BN10" s="219"/>
      <c r="BO10" s="219"/>
      <c r="BP10" s="219"/>
      <c r="BQ10" s="219"/>
      <c r="BR10" s="219"/>
      <c r="BS10" s="219"/>
      <c r="BT10" s="219"/>
      <c r="BU10" s="219"/>
      <c r="BV10" s="219"/>
      <c r="BW10" s="219"/>
      <c r="BX10" s="219"/>
      <c r="BY10" s="219"/>
      <c r="BZ10" s="219"/>
      <c r="CA10" s="219"/>
      <c r="CB10" s="219"/>
      <c r="CC10" s="219"/>
      <c r="CD10" s="219"/>
      <c r="CE10" s="219"/>
      <c r="CF10" s="219"/>
      <c r="CG10" s="219"/>
      <c r="CH10" s="219"/>
      <c r="CI10" s="219"/>
      <c r="CJ10" s="219"/>
      <c r="CK10" s="219"/>
      <c r="CL10" s="219"/>
      <c r="CM10" s="219"/>
      <c r="CN10" s="219"/>
      <c r="CO10" s="219"/>
      <c r="CP10" s="219"/>
      <c r="CQ10" s="219"/>
      <c r="CR10" s="219"/>
      <c r="CS10" s="219"/>
      <c r="CT10" s="219"/>
      <c r="CU10" s="219"/>
      <c r="CV10" s="219"/>
      <c r="CW10" s="219"/>
      <c r="CX10" s="219"/>
      <c r="CY10" s="219"/>
      <c r="CZ10" s="219"/>
      <c r="DA10" s="219"/>
      <c r="DB10" s="219"/>
      <c r="DC10" s="219"/>
      <c r="DD10" s="219"/>
      <c r="DE10" s="219"/>
      <c r="DF10" s="219"/>
      <c r="DG10" s="219"/>
      <c r="DH10" s="219"/>
      <c r="DI10" s="219"/>
      <c r="DJ10" s="219"/>
      <c r="DK10" s="219"/>
      <c r="DL10" s="219"/>
      <c r="DM10" s="219"/>
      <c r="DN10" s="219"/>
      <c r="DO10" s="219"/>
      <c r="DP10" s="219"/>
      <c r="DQ10" s="219"/>
      <c r="DR10" s="219"/>
      <c r="DS10" s="219"/>
      <c r="DT10" s="219"/>
      <c r="DU10" s="219"/>
      <c r="DV10" s="219"/>
      <c r="DW10" s="219"/>
      <c r="DX10" s="219"/>
      <c r="DY10" s="219"/>
      <c r="DZ10" s="219"/>
      <c r="EA10" s="219"/>
      <c r="EB10" s="219"/>
      <c r="EC10" s="219"/>
      <c r="ED10" s="219"/>
      <c r="EE10" s="219"/>
      <c r="EF10" s="219"/>
      <c r="EG10" s="219"/>
      <c r="EH10" s="219"/>
      <c r="EI10" s="219"/>
      <c r="EJ10" s="219"/>
      <c r="EK10" s="219"/>
      <c r="EL10" s="219"/>
      <c r="EM10" s="219"/>
      <c r="EN10" s="219"/>
      <c r="EO10" s="219"/>
      <c r="EP10" s="219"/>
      <c r="EQ10" s="219"/>
      <c r="ER10" s="219"/>
      <c r="ES10" s="219"/>
      <c r="ET10" s="219"/>
      <c r="EU10" s="219"/>
      <c r="EV10" s="219"/>
      <c r="EW10" s="219"/>
      <c r="EX10" s="219"/>
      <c r="EY10" s="219"/>
      <c r="EZ10" s="219"/>
      <c r="FA10" s="219"/>
      <c r="FB10" s="219"/>
      <c r="FC10" s="219"/>
      <c r="FD10" s="219"/>
      <c r="FE10" s="219"/>
      <c r="FF10" s="219"/>
      <c r="FG10" s="219"/>
      <c r="FH10" s="219"/>
      <c r="FI10" s="219"/>
      <c r="FJ10" s="219"/>
      <c r="FK10" s="219"/>
      <c r="FL10" s="219"/>
      <c r="FM10" s="219"/>
      <c r="FN10" s="219"/>
      <c r="FO10" s="219"/>
      <c r="FP10" s="219"/>
      <c r="FQ10" s="219"/>
      <c r="FR10" s="219"/>
      <c r="FS10" s="219"/>
      <c r="FT10" s="219"/>
      <c r="FU10" s="219"/>
      <c r="FV10" s="219"/>
      <c r="FW10" s="219"/>
      <c r="FX10" s="219"/>
      <c r="FY10" s="219"/>
      <c r="FZ10" s="219"/>
      <c r="GA10" s="219"/>
      <c r="GB10" s="2"/>
      <c r="GC10" s="2"/>
      <c r="GD10" s="219"/>
      <c r="GE10" s="219"/>
      <c r="GF10" s="219"/>
      <c r="GG10" s="219"/>
      <c r="GH10" s="219"/>
      <c r="GI10" s="219"/>
      <c r="GJ10" s="219"/>
      <c r="GK10" s="219"/>
      <c r="GL10" s="219"/>
      <c r="GM10" s="219"/>
    </row>
    <row r="11" spans="1:195" ht="6.95" customHeight="1" x14ac:dyDescent="0.1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219"/>
      <c r="BG11" s="219"/>
      <c r="BH11" s="219"/>
      <c r="BI11" s="219"/>
      <c r="BJ11" s="219"/>
      <c r="BK11" s="219"/>
      <c r="BL11" s="219"/>
      <c r="BM11" s="219"/>
      <c r="BN11" s="219"/>
      <c r="BO11" s="219"/>
      <c r="BP11" s="219"/>
      <c r="BQ11" s="219"/>
      <c r="BR11" s="219"/>
      <c r="BS11" s="219"/>
      <c r="BT11" s="219"/>
      <c r="BU11" s="219"/>
      <c r="BV11" s="219"/>
      <c r="BW11" s="219"/>
      <c r="BX11" s="219"/>
      <c r="BY11" s="219"/>
      <c r="BZ11" s="219"/>
      <c r="CA11" s="219"/>
      <c r="CB11" s="219"/>
      <c r="CC11" s="219"/>
      <c r="CD11" s="219"/>
      <c r="CE11" s="219"/>
      <c r="CF11" s="219"/>
      <c r="CG11" s="219"/>
      <c r="CH11" s="219"/>
      <c r="CI11" s="219"/>
      <c r="CJ11" s="219"/>
      <c r="CK11" s="219"/>
      <c r="CL11" s="219"/>
      <c r="CM11" s="219"/>
      <c r="CN11" s="219"/>
      <c r="CO11" s="219"/>
      <c r="CP11" s="219"/>
      <c r="CQ11" s="219"/>
      <c r="CR11" s="219"/>
      <c r="CS11" s="219"/>
      <c r="CT11" s="219"/>
      <c r="CU11" s="219"/>
      <c r="CV11" s="219"/>
      <c r="CW11" s="219"/>
      <c r="CX11" s="219"/>
      <c r="CY11" s="219"/>
      <c r="CZ11" s="219"/>
      <c r="DA11" s="219"/>
      <c r="DB11" s="219"/>
      <c r="DC11" s="219"/>
      <c r="DD11" s="219"/>
      <c r="DE11" s="219"/>
      <c r="DF11" s="219"/>
      <c r="DG11" s="219"/>
      <c r="DH11" s="219"/>
      <c r="DI11" s="219"/>
      <c r="DJ11" s="219"/>
      <c r="DK11" s="219"/>
      <c r="DL11" s="219"/>
      <c r="DM11" s="219"/>
      <c r="DN11" s="219"/>
      <c r="DO11" s="219"/>
      <c r="DP11" s="219"/>
      <c r="DQ11" s="219"/>
      <c r="DR11" s="219"/>
      <c r="DS11" s="219"/>
      <c r="DT11" s="219"/>
      <c r="DU11" s="219"/>
      <c r="DV11" s="219"/>
      <c r="DW11" s="219"/>
      <c r="DX11" s="219"/>
      <c r="DY11" s="219"/>
      <c r="DZ11" s="219"/>
      <c r="EA11" s="219"/>
      <c r="EB11" s="219"/>
      <c r="EC11" s="219"/>
      <c r="ED11" s="219"/>
      <c r="EE11" s="219"/>
      <c r="EF11" s="219"/>
      <c r="EG11" s="219"/>
      <c r="EH11" s="219"/>
      <c r="EI11" s="219"/>
      <c r="EJ11" s="219"/>
      <c r="EK11" s="219"/>
      <c r="EL11" s="219"/>
      <c r="EM11" s="219"/>
      <c r="EN11" s="219"/>
      <c r="EO11" s="219"/>
      <c r="EP11" s="219"/>
      <c r="EQ11" s="219"/>
      <c r="ER11" s="219"/>
      <c r="ES11" s="219"/>
      <c r="ET11" s="219"/>
      <c r="EU11" s="219"/>
      <c r="EV11" s="219"/>
      <c r="EW11" s="219"/>
      <c r="EX11" s="219"/>
      <c r="EY11" s="219"/>
      <c r="EZ11" s="219"/>
      <c r="FA11" s="219"/>
      <c r="FB11" s="219"/>
      <c r="FC11" s="219"/>
      <c r="FD11" s="219"/>
      <c r="FE11" s="219"/>
      <c r="FF11" s="219"/>
      <c r="FG11" s="219"/>
      <c r="FH11" s="219"/>
      <c r="FI11" s="219"/>
      <c r="FJ11" s="219"/>
      <c r="FK11" s="219"/>
      <c r="FL11" s="219"/>
      <c r="FM11" s="219"/>
      <c r="FN11" s="219"/>
      <c r="FO11" s="219"/>
      <c r="FP11" s="219"/>
      <c r="FQ11" s="219"/>
      <c r="FR11" s="219"/>
      <c r="FS11" s="219"/>
      <c r="FT11" s="219"/>
      <c r="FU11" s="219"/>
      <c r="FV11" s="219"/>
      <c r="FW11" s="219"/>
      <c r="FX11" s="219"/>
      <c r="FY11" s="219"/>
      <c r="FZ11" s="219"/>
      <c r="GA11" s="219"/>
      <c r="GB11" s="2"/>
      <c r="GC11" s="2"/>
      <c r="GD11" s="219"/>
      <c r="GE11" s="219"/>
      <c r="GF11" s="219"/>
      <c r="GG11" s="219"/>
      <c r="GH11" s="219"/>
      <c r="GI11" s="219"/>
      <c r="GJ11" s="219"/>
      <c r="GK11" s="219"/>
      <c r="GL11" s="219"/>
      <c r="GM11" s="219"/>
    </row>
    <row r="12" spans="1:195" ht="6.95" customHeight="1" x14ac:dyDescent="0.15">
      <c r="A12" s="1"/>
      <c r="B12" s="1"/>
      <c r="C12" s="1"/>
      <c r="D12" s="1"/>
      <c r="E12" s="1"/>
      <c r="F12" s="112"/>
      <c r="G12" s="112"/>
      <c r="H12" s="112"/>
      <c r="I12" s="112"/>
      <c r="J12" s="112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220">
        <f>F12*Y12</f>
        <v>0</v>
      </c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219"/>
      <c r="BG12" s="219"/>
      <c r="BH12" s="219"/>
      <c r="BI12" s="219"/>
      <c r="BJ12" s="219"/>
      <c r="BK12" s="219"/>
      <c r="BL12" s="219"/>
      <c r="BM12" s="219"/>
      <c r="BN12" s="219"/>
      <c r="BO12" s="219"/>
      <c r="BP12" s="219"/>
      <c r="BQ12" s="219"/>
      <c r="BR12" s="219"/>
      <c r="BS12" s="219"/>
      <c r="BT12" s="219"/>
      <c r="BU12" s="219"/>
      <c r="BV12" s="219"/>
      <c r="BW12" s="219"/>
      <c r="BX12" s="219"/>
      <c r="BY12" s="219"/>
      <c r="BZ12" s="219"/>
      <c r="CA12" s="219"/>
      <c r="CB12" s="219"/>
      <c r="CC12" s="219"/>
      <c r="CD12" s="219"/>
      <c r="CE12" s="219"/>
      <c r="CF12" s="219"/>
      <c r="CG12" s="219"/>
      <c r="CH12" s="219"/>
      <c r="CI12" s="219"/>
      <c r="CJ12" s="219"/>
      <c r="CK12" s="219"/>
      <c r="CL12" s="219"/>
      <c r="CM12" s="219"/>
      <c r="CN12" s="219"/>
      <c r="CO12" s="219"/>
      <c r="CP12" s="219"/>
      <c r="CQ12" s="219"/>
      <c r="CR12" s="219"/>
      <c r="CS12" s="219"/>
      <c r="CT12" s="219"/>
      <c r="CU12" s="219"/>
      <c r="CV12" s="219"/>
      <c r="CW12" s="219"/>
      <c r="CX12" s="219"/>
      <c r="CY12" s="219"/>
      <c r="CZ12" s="219"/>
      <c r="DA12" s="219"/>
      <c r="DB12" s="219"/>
      <c r="DC12" s="219"/>
      <c r="DD12" s="219"/>
      <c r="DE12" s="219"/>
      <c r="DF12" s="219"/>
      <c r="DG12" s="219"/>
      <c r="DH12" s="219"/>
      <c r="DI12" s="219"/>
      <c r="DJ12" s="219"/>
      <c r="DK12" s="219"/>
      <c r="DL12" s="219"/>
      <c r="DM12" s="219"/>
      <c r="DN12" s="219"/>
      <c r="DO12" s="219"/>
      <c r="DP12" s="219"/>
      <c r="DQ12" s="219"/>
      <c r="DR12" s="219"/>
      <c r="DS12" s="219"/>
      <c r="DT12" s="219"/>
      <c r="DU12" s="219"/>
      <c r="DV12" s="219"/>
      <c r="DW12" s="219"/>
      <c r="DX12" s="219"/>
      <c r="DY12" s="219"/>
      <c r="DZ12" s="219"/>
      <c r="EA12" s="219"/>
      <c r="EB12" s="219"/>
      <c r="EC12" s="219"/>
      <c r="ED12" s="219"/>
      <c r="EE12" s="219"/>
      <c r="EF12" s="219"/>
      <c r="EG12" s="219"/>
      <c r="EH12" s="219"/>
      <c r="EI12" s="219"/>
      <c r="EJ12" s="219"/>
      <c r="EK12" s="219"/>
      <c r="EL12" s="219"/>
      <c r="EM12" s="219"/>
      <c r="EN12" s="219"/>
      <c r="EO12" s="219"/>
      <c r="EP12" s="219"/>
      <c r="EQ12" s="219"/>
      <c r="ER12" s="219"/>
      <c r="ES12" s="219"/>
      <c r="ET12" s="219"/>
      <c r="EU12" s="219"/>
      <c r="EV12" s="219"/>
      <c r="EW12" s="219"/>
      <c r="EX12" s="219"/>
      <c r="EY12" s="219"/>
      <c r="EZ12" s="219"/>
      <c r="FA12" s="219"/>
      <c r="FB12" s="219"/>
      <c r="FC12" s="219"/>
      <c r="FD12" s="219"/>
      <c r="FE12" s="219"/>
      <c r="FF12" s="219"/>
      <c r="FG12" s="219"/>
      <c r="FH12" s="219"/>
      <c r="FI12" s="219"/>
      <c r="FJ12" s="219"/>
      <c r="FK12" s="219"/>
      <c r="FL12" s="219"/>
      <c r="FM12" s="219"/>
      <c r="FN12" s="219"/>
      <c r="FO12" s="219"/>
      <c r="FP12" s="219"/>
      <c r="FQ12" s="219"/>
      <c r="FR12" s="219"/>
      <c r="FS12" s="219"/>
      <c r="FT12" s="219"/>
      <c r="FU12" s="219"/>
      <c r="FV12" s="219"/>
      <c r="FW12" s="219"/>
      <c r="FX12" s="219"/>
      <c r="FY12" s="219"/>
      <c r="FZ12" s="219"/>
      <c r="GA12" s="219"/>
      <c r="GB12" s="2"/>
      <c r="GC12" s="2"/>
      <c r="GD12" s="219"/>
      <c r="GE12" s="219"/>
      <c r="GF12" s="219"/>
      <c r="GG12" s="219"/>
      <c r="GH12" s="219"/>
      <c r="GI12" s="219"/>
      <c r="GJ12" s="219"/>
      <c r="GK12" s="219"/>
      <c r="GL12" s="219"/>
      <c r="GM12" s="219"/>
    </row>
    <row r="13" spans="1:195" ht="6.95" customHeight="1" x14ac:dyDescent="0.15">
      <c r="A13" s="1"/>
      <c r="B13" s="1"/>
      <c r="C13" s="1"/>
      <c r="D13" s="1"/>
      <c r="E13" s="1"/>
      <c r="F13" s="112"/>
      <c r="G13" s="112"/>
      <c r="H13" s="112"/>
      <c r="I13" s="112"/>
      <c r="J13" s="112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220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219"/>
      <c r="BG13" s="219"/>
      <c r="BH13" s="219"/>
      <c r="BI13" s="219"/>
      <c r="BJ13" s="219"/>
      <c r="BK13" s="219"/>
      <c r="BL13" s="219"/>
      <c r="BM13" s="219"/>
      <c r="BN13" s="219"/>
      <c r="BO13" s="219"/>
      <c r="BP13" s="219"/>
      <c r="BQ13" s="219"/>
      <c r="BR13" s="219"/>
      <c r="BS13" s="219"/>
      <c r="BT13" s="219"/>
      <c r="BU13" s="219"/>
      <c r="BV13" s="219"/>
      <c r="BW13" s="219"/>
      <c r="BX13" s="219"/>
      <c r="BY13" s="219"/>
      <c r="BZ13" s="219"/>
      <c r="CA13" s="219"/>
      <c r="CB13" s="219"/>
      <c r="CC13" s="219"/>
      <c r="CD13" s="219"/>
      <c r="CE13" s="219"/>
      <c r="CF13" s="219"/>
      <c r="CG13" s="219"/>
      <c r="CH13" s="219"/>
      <c r="CI13" s="219"/>
      <c r="CJ13" s="219"/>
      <c r="CK13" s="219"/>
      <c r="CL13" s="219"/>
      <c r="CM13" s="219"/>
      <c r="CN13" s="219"/>
      <c r="CO13" s="219"/>
      <c r="CP13" s="219"/>
      <c r="CQ13" s="219"/>
      <c r="CR13" s="219"/>
      <c r="CS13" s="219"/>
      <c r="CT13" s="219"/>
      <c r="CU13" s="219"/>
      <c r="CV13" s="219"/>
      <c r="CW13" s="219"/>
      <c r="CX13" s="219"/>
      <c r="CY13" s="219"/>
      <c r="CZ13" s="219"/>
      <c r="DA13" s="219"/>
      <c r="DB13" s="219"/>
      <c r="DC13" s="219"/>
      <c r="DD13" s="219"/>
      <c r="DE13" s="219"/>
      <c r="DF13" s="219"/>
      <c r="DG13" s="219"/>
      <c r="DH13" s="219"/>
      <c r="DI13" s="219"/>
      <c r="DJ13" s="219"/>
      <c r="DK13" s="219"/>
      <c r="DL13" s="219"/>
      <c r="DM13" s="219"/>
      <c r="DN13" s="219"/>
      <c r="DO13" s="219"/>
      <c r="DP13" s="219"/>
      <c r="DQ13" s="219"/>
      <c r="DR13" s="219"/>
      <c r="DS13" s="219"/>
      <c r="DT13" s="219"/>
      <c r="DU13" s="219"/>
      <c r="DV13" s="219"/>
      <c r="DW13" s="219"/>
      <c r="DX13" s="219"/>
      <c r="DY13" s="219"/>
      <c r="DZ13" s="219"/>
      <c r="EA13" s="219"/>
      <c r="EB13" s="219"/>
      <c r="EC13" s="219"/>
      <c r="ED13" s="219"/>
      <c r="EE13" s="219"/>
      <c r="EF13" s="219"/>
      <c r="EG13" s="219"/>
      <c r="EH13" s="219"/>
      <c r="EI13" s="219"/>
      <c r="EJ13" s="219"/>
      <c r="EK13" s="219"/>
      <c r="EL13" s="219"/>
      <c r="EM13" s="219"/>
      <c r="EN13" s="219"/>
      <c r="EO13" s="219"/>
      <c r="EP13" s="219"/>
      <c r="EQ13" s="219"/>
      <c r="ER13" s="219"/>
      <c r="ES13" s="219"/>
      <c r="ET13" s="219"/>
      <c r="EU13" s="219"/>
      <c r="EV13" s="219"/>
      <c r="EW13" s="219"/>
      <c r="EX13" s="219"/>
      <c r="EY13" s="219"/>
      <c r="EZ13" s="219"/>
      <c r="FA13" s="219"/>
      <c r="FB13" s="219"/>
      <c r="FC13" s="219"/>
      <c r="FD13" s="219"/>
      <c r="FE13" s="219"/>
      <c r="FF13" s="219"/>
      <c r="FG13" s="219"/>
      <c r="FH13" s="219"/>
      <c r="FI13" s="219"/>
      <c r="FJ13" s="219"/>
      <c r="FK13" s="219"/>
      <c r="FL13" s="219"/>
      <c r="FM13" s="219"/>
      <c r="FN13" s="219"/>
      <c r="FO13" s="219"/>
      <c r="FP13" s="219"/>
      <c r="FQ13" s="219"/>
      <c r="FR13" s="219"/>
      <c r="FS13" s="219"/>
      <c r="FT13" s="219"/>
      <c r="FU13" s="219"/>
      <c r="FV13" s="219"/>
      <c r="FW13" s="219"/>
      <c r="FX13" s="219"/>
      <c r="FY13" s="219"/>
      <c r="FZ13" s="219"/>
      <c r="GA13" s="219"/>
      <c r="GB13" s="2"/>
      <c r="GC13" s="2"/>
      <c r="GD13" s="219"/>
      <c r="GE13" s="219"/>
      <c r="GF13" s="219"/>
      <c r="GG13" s="219"/>
      <c r="GH13" s="219"/>
      <c r="GI13" s="219"/>
      <c r="GJ13" s="219"/>
      <c r="GK13" s="219"/>
      <c r="GL13" s="219"/>
      <c r="GM13" s="219"/>
    </row>
    <row r="14" spans="1:195" ht="6.95" customHeight="1" x14ac:dyDescent="0.15">
      <c r="A14" s="1"/>
      <c r="B14" s="1"/>
      <c r="C14" s="1"/>
      <c r="D14" s="1"/>
      <c r="E14" s="1"/>
      <c r="F14" s="112"/>
      <c r="G14" s="112"/>
      <c r="H14" s="112"/>
      <c r="I14" s="112"/>
      <c r="J14" s="112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220">
        <f>F12*Y14</f>
        <v>0</v>
      </c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219"/>
      <c r="BG14" s="219"/>
      <c r="BH14" s="219"/>
      <c r="BI14" s="219"/>
      <c r="BJ14" s="219"/>
      <c r="BK14" s="219"/>
      <c r="BL14" s="219"/>
      <c r="BM14" s="219"/>
      <c r="BN14" s="219"/>
      <c r="BO14" s="219"/>
      <c r="BP14" s="219"/>
      <c r="BQ14" s="219"/>
      <c r="BR14" s="219"/>
      <c r="BS14" s="219"/>
      <c r="BT14" s="219"/>
      <c r="BU14" s="219"/>
      <c r="BV14" s="219"/>
      <c r="BW14" s="219"/>
      <c r="BX14" s="219"/>
      <c r="BY14" s="219"/>
      <c r="BZ14" s="219"/>
      <c r="CA14" s="219"/>
      <c r="CB14" s="219"/>
      <c r="CC14" s="219"/>
      <c r="CD14" s="219"/>
      <c r="CE14" s="219"/>
      <c r="CF14" s="219"/>
      <c r="CG14" s="219"/>
      <c r="CH14" s="219"/>
      <c r="CI14" s="219"/>
      <c r="CJ14" s="219"/>
      <c r="CK14" s="219"/>
      <c r="CL14" s="219"/>
      <c r="CM14" s="219"/>
      <c r="CN14" s="219"/>
      <c r="CO14" s="219"/>
      <c r="CP14" s="219"/>
      <c r="CQ14" s="219"/>
      <c r="CR14" s="219"/>
      <c r="CS14" s="219"/>
      <c r="CT14" s="219"/>
      <c r="CU14" s="219"/>
      <c r="CV14" s="219"/>
      <c r="CW14" s="219"/>
      <c r="CX14" s="219"/>
      <c r="CY14" s="219"/>
      <c r="CZ14" s="219"/>
      <c r="DA14" s="219"/>
      <c r="DB14" s="219"/>
      <c r="DC14" s="219"/>
      <c r="DD14" s="219"/>
      <c r="DE14" s="219"/>
      <c r="DF14" s="219"/>
      <c r="DG14" s="219"/>
      <c r="DH14" s="219"/>
      <c r="DI14" s="219"/>
      <c r="DJ14" s="219"/>
      <c r="DK14" s="219"/>
      <c r="DL14" s="219"/>
      <c r="DM14" s="219"/>
      <c r="DN14" s="219"/>
      <c r="DO14" s="219"/>
      <c r="DP14" s="219"/>
      <c r="DQ14" s="219"/>
      <c r="DR14" s="219"/>
      <c r="DS14" s="219"/>
      <c r="DT14" s="219"/>
      <c r="DU14" s="219"/>
      <c r="DV14" s="219"/>
      <c r="DW14" s="219"/>
      <c r="DX14" s="219"/>
      <c r="DY14" s="219"/>
      <c r="DZ14" s="219"/>
      <c r="EA14" s="219"/>
      <c r="EB14" s="219"/>
      <c r="EC14" s="219"/>
      <c r="ED14" s="219"/>
      <c r="EE14" s="219"/>
      <c r="EF14" s="219"/>
      <c r="EG14" s="219"/>
      <c r="EH14" s="219"/>
      <c r="EI14" s="219"/>
      <c r="EJ14" s="219"/>
      <c r="EK14" s="219"/>
      <c r="EL14" s="219"/>
      <c r="EM14" s="219"/>
      <c r="EN14" s="219"/>
      <c r="EO14" s="219"/>
      <c r="EP14" s="219"/>
      <c r="EQ14" s="219"/>
      <c r="ER14" s="219"/>
      <c r="ES14" s="219"/>
      <c r="ET14" s="219"/>
      <c r="EU14" s="219"/>
      <c r="EV14" s="219"/>
      <c r="EW14" s="219"/>
      <c r="EX14" s="219"/>
      <c r="EY14" s="219"/>
      <c r="EZ14" s="219"/>
      <c r="FA14" s="219"/>
      <c r="FB14" s="219"/>
      <c r="FC14" s="219"/>
      <c r="FD14" s="219"/>
      <c r="FE14" s="219"/>
      <c r="FF14" s="219"/>
      <c r="FG14" s="219"/>
      <c r="FH14" s="219"/>
      <c r="FI14" s="219"/>
      <c r="FJ14" s="219"/>
      <c r="FK14" s="219"/>
      <c r="FL14" s="219"/>
      <c r="FM14" s="219"/>
      <c r="FN14" s="219"/>
      <c r="FO14" s="219"/>
      <c r="FP14" s="219"/>
      <c r="FQ14" s="219"/>
      <c r="FR14" s="219"/>
      <c r="FS14" s="219"/>
      <c r="FT14" s="219"/>
      <c r="FU14" s="219"/>
      <c r="FV14" s="219"/>
      <c r="FW14" s="219"/>
      <c r="FX14" s="219"/>
      <c r="FY14" s="219"/>
      <c r="FZ14" s="219"/>
      <c r="GA14" s="219"/>
      <c r="GB14" s="2"/>
      <c r="GC14" s="2"/>
      <c r="GD14" s="219"/>
      <c r="GE14" s="219"/>
      <c r="GF14" s="219"/>
      <c r="GG14" s="219"/>
      <c r="GH14" s="219"/>
      <c r="GI14" s="219"/>
      <c r="GJ14" s="219"/>
      <c r="GK14" s="219"/>
      <c r="GL14" s="219"/>
      <c r="GM14" s="219"/>
    </row>
    <row r="15" spans="1:195" ht="6.95" customHeight="1" x14ac:dyDescent="0.15">
      <c r="A15" s="1"/>
      <c r="B15" s="1"/>
      <c r="C15" s="1"/>
      <c r="D15" s="1"/>
      <c r="E15" s="1"/>
      <c r="F15" s="112"/>
      <c r="G15" s="112"/>
      <c r="H15" s="112"/>
      <c r="I15" s="112"/>
      <c r="J15" s="112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220"/>
      <c r="AD15" s="91"/>
      <c r="AE15" s="91"/>
      <c r="AF15" s="91"/>
      <c r="AG15" s="91"/>
      <c r="AH15" s="93"/>
      <c r="AI15" s="93"/>
      <c r="AJ15" s="93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219"/>
      <c r="BG15" s="219"/>
      <c r="BH15" s="219"/>
      <c r="BI15" s="219"/>
      <c r="BJ15" s="219"/>
      <c r="BK15" s="219"/>
      <c r="BL15" s="219"/>
      <c r="BM15" s="219"/>
      <c r="BN15" s="219"/>
      <c r="BO15" s="219"/>
      <c r="BP15" s="219"/>
      <c r="BQ15" s="219"/>
      <c r="BR15" s="219"/>
      <c r="BS15" s="219"/>
      <c r="BT15" s="219"/>
      <c r="BU15" s="219"/>
      <c r="BV15" s="219"/>
      <c r="BW15" s="219"/>
      <c r="BX15" s="219"/>
      <c r="BY15" s="219"/>
      <c r="BZ15" s="219"/>
      <c r="CA15" s="219"/>
      <c r="CB15" s="219"/>
      <c r="CC15" s="219"/>
      <c r="CD15" s="219"/>
      <c r="CE15" s="219"/>
      <c r="CF15" s="219"/>
      <c r="CG15" s="219"/>
      <c r="CH15" s="219"/>
      <c r="CI15" s="219"/>
      <c r="CJ15" s="219"/>
      <c r="CK15" s="219"/>
      <c r="CL15" s="219"/>
      <c r="CM15" s="219"/>
      <c r="CN15" s="219"/>
      <c r="CO15" s="219"/>
      <c r="CP15" s="219"/>
      <c r="CQ15" s="219"/>
      <c r="CR15" s="219"/>
      <c r="CS15" s="219"/>
      <c r="CT15" s="219"/>
      <c r="CU15" s="219"/>
      <c r="CV15" s="219"/>
      <c r="CW15" s="219"/>
      <c r="CX15" s="219"/>
      <c r="CY15" s="219"/>
      <c r="CZ15" s="219"/>
      <c r="DA15" s="219"/>
      <c r="DB15" s="219"/>
      <c r="DC15" s="219"/>
      <c r="DD15" s="219"/>
      <c r="DE15" s="219"/>
      <c r="DF15" s="219"/>
      <c r="DG15" s="219"/>
      <c r="DH15" s="219"/>
      <c r="DI15" s="219"/>
      <c r="DJ15" s="219"/>
      <c r="DK15" s="219"/>
      <c r="DL15" s="219"/>
      <c r="DM15" s="219"/>
      <c r="DN15" s="219"/>
      <c r="DO15" s="219"/>
      <c r="DP15" s="219"/>
      <c r="DQ15" s="219"/>
      <c r="DR15" s="219"/>
      <c r="DS15" s="219"/>
      <c r="DT15" s="219"/>
      <c r="DU15" s="219"/>
      <c r="DV15" s="219"/>
      <c r="DW15" s="219"/>
      <c r="DX15" s="219"/>
      <c r="DY15" s="219"/>
      <c r="DZ15" s="219"/>
      <c r="EA15" s="219"/>
      <c r="EB15" s="219"/>
      <c r="EC15" s="219"/>
      <c r="ED15" s="219"/>
      <c r="EE15" s="219"/>
      <c r="EF15" s="219"/>
      <c r="EG15" s="219"/>
      <c r="EH15" s="219"/>
      <c r="EI15" s="219"/>
      <c r="EJ15" s="219"/>
      <c r="EK15" s="219"/>
      <c r="EL15" s="219"/>
      <c r="EM15" s="219"/>
      <c r="EN15" s="219"/>
      <c r="EO15" s="219"/>
      <c r="EP15" s="219"/>
      <c r="EQ15" s="219"/>
      <c r="ER15" s="219"/>
      <c r="ES15" s="219"/>
      <c r="ET15" s="219"/>
      <c r="EU15" s="219"/>
      <c r="EV15" s="219"/>
      <c r="EW15" s="219"/>
      <c r="EX15" s="219"/>
      <c r="EY15" s="219"/>
      <c r="EZ15" s="219"/>
      <c r="FA15" s="219"/>
      <c r="FB15" s="219"/>
      <c r="FC15" s="219"/>
      <c r="FD15" s="219"/>
      <c r="FE15" s="219"/>
      <c r="FF15" s="219"/>
      <c r="FG15" s="219"/>
      <c r="FH15" s="219"/>
      <c r="FI15" s="219"/>
      <c r="FJ15" s="219"/>
      <c r="FK15" s="219"/>
      <c r="FL15" s="219"/>
      <c r="FM15" s="219"/>
      <c r="FN15" s="219"/>
      <c r="FO15" s="219"/>
      <c r="FP15" s="219"/>
      <c r="FQ15" s="219"/>
      <c r="FR15" s="219"/>
      <c r="FS15" s="219"/>
      <c r="FT15" s="219"/>
      <c r="FU15" s="219"/>
      <c r="FV15" s="219"/>
      <c r="FW15" s="219"/>
      <c r="FX15" s="219"/>
      <c r="FY15" s="219"/>
      <c r="FZ15" s="219"/>
      <c r="GA15" s="219"/>
      <c r="GB15" s="2"/>
      <c r="GC15" s="2"/>
      <c r="GD15" s="219"/>
      <c r="GE15" s="219"/>
      <c r="GF15" s="219"/>
      <c r="GG15" s="219"/>
      <c r="GH15" s="219"/>
      <c r="GI15" s="219"/>
      <c r="GJ15" s="219"/>
      <c r="GK15" s="219"/>
      <c r="GL15" s="219"/>
      <c r="GM15" s="219"/>
    </row>
    <row r="16" spans="1:195" ht="6.95" customHeight="1" x14ac:dyDescent="0.15">
      <c r="A16" s="1"/>
      <c r="B16" s="1"/>
      <c r="C16" s="1"/>
      <c r="D16" s="1"/>
      <c r="E16" s="1"/>
      <c r="F16" s="113"/>
      <c r="G16" s="113"/>
      <c r="H16" s="113"/>
      <c r="I16" s="113"/>
      <c r="J16" s="113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220">
        <f>F12*Y16</f>
        <v>0</v>
      </c>
      <c r="AD16" s="91"/>
      <c r="AE16" s="91"/>
      <c r="AF16" s="91"/>
      <c r="AG16" s="91"/>
      <c r="AH16" s="93"/>
      <c r="AI16" s="93"/>
      <c r="AJ16" s="93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219"/>
      <c r="BG16" s="219"/>
      <c r="BH16" s="219"/>
      <c r="BI16" s="219"/>
      <c r="BJ16" s="219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19"/>
      <c r="CD16" s="219"/>
      <c r="CE16" s="219"/>
      <c r="CF16" s="219"/>
      <c r="CG16" s="219"/>
      <c r="CH16" s="219"/>
      <c r="CI16" s="219"/>
      <c r="CJ16" s="219"/>
      <c r="CK16" s="219"/>
      <c r="CL16" s="219"/>
      <c r="CM16" s="219"/>
      <c r="CN16" s="219"/>
      <c r="CO16" s="219"/>
      <c r="CP16" s="219"/>
      <c r="CQ16" s="219"/>
      <c r="CR16" s="219"/>
      <c r="CS16" s="219"/>
      <c r="CT16" s="219"/>
      <c r="CU16" s="219"/>
      <c r="CV16" s="219"/>
      <c r="CW16" s="219"/>
      <c r="CX16" s="219"/>
      <c r="CY16" s="219"/>
      <c r="CZ16" s="219"/>
      <c r="DA16" s="219"/>
      <c r="DB16" s="219"/>
      <c r="DC16" s="219"/>
      <c r="DD16" s="219"/>
      <c r="DE16" s="219"/>
      <c r="DF16" s="219"/>
      <c r="DG16" s="219"/>
      <c r="DH16" s="219"/>
      <c r="DI16" s="219"/>
      <c r="DJ16" s="219"/>
      <c r="DK16" s="219"/>
      <c r="DL16" s="219"/>
      <c r="DM16" s="219"/>
      <c r="DN16" s="219"/>
      <c r="DO16" s="219"/>
      <c r="DP16" s="219"/>
      <c r="DQ16" s="219"/>
      <c r="DR16" s="219"/>
      <c r="DS16" s="219"/>
      <c r="DT16" s="219"/>
      <c r="DU16" s="219"/>
      <c r="DV16" s="219"/>
      <c r="DW16" s="219"/>
      <c r="DX16" s="219"/>
      <c r="DY16" s="219"/>
      <c r="DZ16" s="219"/>
      <c r="EA16" s="219"/>
      <c r="EB16" s="219"/>
      <c r="EC16" s="219"/>
      <c r="ED16" s="219"/>
      <c r="EE16" s="219"/>
      <c r="EF16" s="219"/>
      <c r="EG16" s="219"/>
      <c r="EH16" s="219"/>
      <c r="EI16" s="219"/>
      <c r="EJ16" s="219"/>
      <c r="EK16" s="219"/>
      <c r="EL16" s="219"/>
      <c r="EM16" s="219"/>
      <c r="EN16" s="219"/>
      <c r="EO16" s="219"/>
      <c r="EP16" s="219"/>
      <c r="EQ16" s="219"/>
      <c r="ER16" s="219"/>
      <c r="ES16" s="219"/>
      <c r="ET16" s="219"/>
      <c r="EU16" s="219"/>
      <c r="EV16" s="219"/>
      <c r="EW16" s="219"/>
      <c r="EX16" s="219"/>
      <c r="EY16" s="219"/>
      <c r="EZ16" s="219"/>
      <c r="FA16" s="219"/>
      <c r="FB16" s="219"/>
      <c r="FC16" s="219"/>
      <c r="FD16" s="219"/>
      <c r="FE16" s="219"/>
      <c r="FF16" s="219"/>
      <c r="FG16" s="219"/>
      <c r="FH16" s="219"/>
      <c r="FI16" s="219"/>
      <c r="FJ16" s="219"/>
      <c r="FK16" s="219"/>
      <c r="FL16" s="219"/>
      <c r="FM16" s="219"/>
      <c r="FN16" s="219"/>
      <c r="FO16" s="219"/>
      <c r="FP16" s="219"/>
      <c r="FQ16" s="219"/>
      <c r="FR16" s="219"/>
      <c r="FS16" s="219"/>
      <c r="FT16" s="219"/>
      <c r="FU16" s="219"/>
      <c r="FV16" s="219"/>
      <c r="FW16" s="219"/>
      <c r="FX16" s="219"/>
      <c r="FY16" s="219"/>
      <c r="FZ16" s="219"/>
      <c r="GA16" s="219"/>
      <c r="GB16" s="2"/>
      <c r="GC16" s="2"/>
      <c r="GD16" s="219"/>
      <c r="GE16" s="219"/>
      <c r="GF16" s="219"/>
      <c r="GG16" s="219"/>
      <c r="GH16" s="219"/>
      <c r="GI16" s="219"/>
      <c r="GJ16" s="219"/>
      <c r="GK16" s="219"/>
      <c r="GL16" s="219"/>
      <c r="GM16" s="219"/>
    </row>
    <row r="17" spans="1:195" ht="6.95" customHeight="1" x14ac:dyDescent="0.15">
      <c r="A17" s="1"/>
      <c r="B17" s="1"/>
      <c r="C17" s="1"/>
      <c r="D17" s="1"/>
      <c r="E17" s="1"/>
      <c r="F17" s="113"/>
      <c r="G17" s="113"/>
      <c r="H17" s="113"/>
      <c r="I17" s="113"/>
      <c r="J17" s="113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220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219"/>
      <c r="BG17" s="219"/>
      <c r="BH17" s="219"/>
      <c r="BI17" s="219"/>
      <c r="BJ17" s="219"/>
      <c r="BK17" s="219"/>
      <c r="BL17" s="219"/>
      <c r="BM17" s="219"/>
      <c r="BN17" s="219"/>
      <c r="BO17" s="219"/>
      <c r="BP17" s="219"/>
      <c r="BQ17" s="219"/>
      <c r="BR17" s="219"/>
      <c r="BS17" s="219"/>
      <c r="BT17" s="219"/>
      <c r="BU17" s="219"/>
      <c r="BV17" s="219"/>
      <c r="BW17" s="219"/>
      <c r="BX17" s="219"/>
      <c r="BY17" s="219"/>
      <c r="BZ17" s="219"/>
      <c r="CA17" s="219"/>
      <c r="CB17" s="219"/>
      <c r="CC17" s="219"/>
      <c r="CD17" s="219"/>
      <c r="CE17" s="219"/>
      <c r="CF17" s="219"/>
      <c r="CG17" s="219"/>
      <c r="CH17" s="219"/>
      <c r="CI17" s="219"/>
      <c r="CJ17" s="219"/>
      <c r="CK17" s="219"/>
      <c r="CL17" s="219"/>
      <c r="CM17" s="219"/>
      <c r="CN17" s="219"/>
      <c r="CO17" s="219"/>
      <c r="CP17" s="219"/>
      <c r="CQ17" s="219"/>
      <c r="CR17" s="219"/>
      <c r="CS17" s="219"/>
      <c r="CT17" s="219"/>
      <c r="CU17" s="219"/>
      <c r="CV17" s="219"/>
      <c r="CW17" s="219"/>
      <c r="CX17" s="219"/>
      <c r="CY17" s="219"/>
      <c r="CZ17" s="219"/>
      <c r="DA17" s="219"/>
      <c r="DB17" s="219"/>
      <c r="DC17" s="219"/>
      <c r="DD17" s="219"/>
      <c r="DE17" s="219"/>
      <c r="DF17" s="219"/>
      <c r="DG17" s="219"/>
      <c r="DH17" s="219"/>
      <c r="DI17" s="219"/>
      <c r="DJ17" s="219"/>
      <c r="DK17" s="219"/>
      <c r="DL17" s="219"/>
      <c r="DM17" s="219"/>
      <c r="DN17" s="219"/>
      <c r="DO17" s="219"/>
      <c r="DP17" s="219"/>
      <c r="DQ17" s="219"/>
      <c r="DR17" s="219"/>
      <c r="DS17" s="219"/>
      <c r="DT17" s="219"/>
      <c r="DU17" s="219"/>
      <c r="DV17" s="219"/>
      <c r="DW17" s="219"/>
      <c r="DX17" s="219"/>
      <c r="DY17" s="219"/>
      <c r="DZ17" s="219"/>
      <c r="EA17" s="219"/>
      <c r="EB17" s="219"/>
      <c r="EC17" s="219"/>
      <c r="ED17" s="219"/>
      <c r="EE17" s="219"/>
      <c r="EF17" s="219"/>
      <c r="EG17" s="219"/>
      <c r="EH17" s="219"/>
      <c r="EI17" s="219"/>
      <c r="EJ17" s="219"/>
      <c r="EK17" s="219"/>
      <c r="EL17" s="219"/>
      <c r="EM17" s="219"/>
      <c r="EN17" s="219"/>
      <c r="EO17" s="219"/>
      <c r="EP17" s="219"/>
      <c r="EQ17" s="219"/>
      <c r="ER17" s="219"/>
      <c r="ES17" s="219"/>
      <c r="ET17" s="219"/>
      <c r="EU17" s="219"/>
      <c r="EV17" s="219"/>
      <c r="EW17" s="219"/>
      <c r="EX17" s="219"/>
      <c r="EY17" s="219"/>
      <c r="EZ17" s="219"/>
      <c r="FA17" s="219"/>
      <c r="FB17" s="219"/>
      <c r="FC17" s="219"/>
      <c r="FD17" s="219"/>
      <c r="FE17" s="219"/>
      <c r="FF17" s="219"/>
      <c r="FG17" s="219"/>
      <c r="FH17" s="219"/>
      <c r="FI17" s="219"/>
      <c r="FJ17" s="219"/>
      <c r="FK17" s="219"/>
      <c r="FL17" s="219"/>
      <c r="FM17" s="219"/>
      <c r="FN17" s="219"/>
      <c r="FO17" s="219"/>
      <c r="FP17" s="219"/>
      <c r="FQ17" s="219"/>
      <c r="FR17" s="219"/>
      <c r="FS17" s="219"/>
      <c r="FT17" s="219"/>
      <c r="FU17" s="219"/>
      <c r="FV17" s="219"/>
      <c r="FW17" s="219"/>
      <c r="FX17" s="219"/>
      <c r="FY17" s="219"/>
      <c r="FZ17" s="219"/>
      <c r="GA17" s="219"/>
      <c r="GB17" s="2"/>
      <c r="GC17" s="2"/>
      <c r="GD17" s="219"/>
      <c r="GE17" s="219"/>
      <c r="GF17" s="219"/>
      <c r="GG17" s="219"/>
      <c r="GH17" s="219"/>
      <c r="GI17" s="219"/>
      <c r="GJ17" s="219"/>
      <c r="GK17" s="219"/>
      <c r="GL17" s="219"/>
      <c r="GM17" s="219"/>
    </row>
    <row r="18" spans="1:195" ht="6.95" customHeight="1" x14ac:dyDescent="0.1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219"/>
      <c r="BG18" s="219"/>
      <c r="BH18" s="219"/>
      <c r="BI18" s="219"/>
      <c r="BJ18" s="219"/>
      <c r="BK18" s="219"/>
      <c r="BL18" s="219"/>
      <c r="BM18" s="219"/>
      <c r="BN18" s="219"/>
      <c r="BO18" s="219"/>
      <c r="BP18" s="219"/>
      <c r="BQ18" s="219"/>
      <c r="BR18" s="219"/>
      <c r="BS18" s="219"/>
      <c r="BT18" s="219"/>
      <c r="BU18" s="219"/>
      <c r="BV18" s="219"/>
      <c r="BW18" s="219"/>
      <c r="BX18" s="219"/>
      <c r="BY18" s="219"/>
      <c r="BZ18" s="219"/>
      <c r="CA18" s="219"/>
      <c r="CB18" s="219"/>
      <c r="CC18" s="219"/>
      <c r="CD18" s="219"/>
      <c r="CE18" s="219"/>
      <c r="CF18" s="219"/>
      <c r="CG18" s="219"/>
      <c r="CH18" s="219"/>
      <c r="CI18" s="219"/>
      <c r="CJ18" s="219"/>
      <c r="CK18" s="219"/>
      <c r="CL18" s="219"/>
      <c r="CM18" s="219"/>
      <c r="CN18" s="219"/>
      <c r="CO18" s="219"/>
      <c r="CP18" s="219"/>
      <c r="CQ18" s="219"/>
      <c r="CR18" s="219"/>
      <c r="CS18" s="219"/>
      <c r="CT18" s="219"/>
      <c r="CU18" s="219"/>
      <c r="CV18" s="219"/>
      <c r="CW18" s="219"/>
      <c r="CX18" s="219"/>
      <c r="CY18" s="219"/>
      <c r="CZ18" s="219"/>
      <c r="DA18" s="219"/>
      <c r="DB18" s="219"/>
      <c r="DC18" s="219"/>
      <c r="DD18" s="219"/>
      <c r="DE18" s="219"/>
      <c r="DF18" s="219"/>
      <c r="DG18" s="219"/>
      <c r="DH18" s="219"/>
      <c r="DI18" s="219"/>
      <c r="DJ18" s="219"/>
      <c r="DK18" s="219"/>
      <c r="DL18" s="219"/>
      <c r="DM18" s="219"/>
      <c r="DN18" s="219"/>
      <c r="DO18" s="219"/>
      <c r="DP18" s="219"/>
      <c r="DQ18" s="219"/>
      <c r="DR18" s="219"/>
      <c r="DS18" s="219"/>
      <c r="DT18" s="219"/>
      <c r="DU18" s="219"/>
      <c r="DV18" s="219"/>
      <c r="DW18" s="219"/>
      <c r="DX18" s="219"/>
      <c r="DY18" s="219"/>
      <c r="DZ18" s="219"/>
      <c r="EA18" s="219"/>
      <c r="EB18" s="219"/>
      <c r="EC18" s="219"/>
      <c r="ED18" s="219"/>
      <c r="EE18" s="219"/>
      <c r="EF18" s="219"/>
      <c r="EG18" s="219"/>
      <c r="EH18" s="219"/>
      <c r="EI18" s="219"/>
      <c r="EJ18" s="219"/>
      <c r="EK18" s="219"/>
      <c r="EL18" s="219"/>
      <c r="EM18" s="219"/>
      <c r="EN18" s="219"/>
      <c r="EO18" s="219"/>
      <c r="EP18" s="219"/>
      <c r="EQ18" s="219"/>
      <c r="ER18" s="219"/>
      <c r="ES18" s="219"/>
      <c r="ET18" s="219"/>
      <c r="EU18" s="219"/>
      <c r="EV18" s="219"/>
      <c r="EW18" s="219"/>
      <c r="EX18" s="219"/>
      <c r="EY18" s="219"/>
      <c r="EZ18" s="219"/>
      <c r="FA18" s="219"/>
      <c r="FB18" s="219"/>
      <c r="FC18" s="219"/>
      <c r="FD18" s="219"/>
      <c r="FE18" s="219"/>
      <c r="FF18" s="219"/>
      <c r="FG18" s="219"/>
      <c r="FH18" s="219"/>
      <c r="FI18" s="219"/>
      <c r="FJ18" s="219"/>
      <c r="FK18" s="219"/>
      <c r="FL18" s="219"/>
      <c r="FM18" s="219"/>
      <c r="FN18" s="219"/>
      <c r="FO18" s="219"/>
      <c r="FP18" s="219"/>
      <c r="FQ18" s="219"/>
      <c r="FR18" s="219"/>
      <c r="FS18" s="219"/>
      <c r="FT18" s="219"/>
      <c r="FU18" s="219"/>
      <c r="FV18" s="219"/>
      <c r="FW18" s="219"/>
      <c r="FX18" s="219"/>
      <c r="FY18" s="219"/>
      <c r="FZ18" s="219"/>
      <c r="GA18" s="219"/>
      <c r="GB18" s="2"/>
      <c r="GC18" s="2"/>
      <c r="GD18" s="219"/>
      <c r="GE18" s="219"/>
      <c r="GF18" s="219"/>
      <c r="GG18" s="219"/>
      <c r="GH18" s="219"/>
      <c r="GI18" s="219"/>
      <c r="GJ18" s="219"/>
      <c r="GK18" s="219"/>
      <c r="GL18" s="219"/>
      <c r="GM18" s="219"/>
    </row>
    <row r="19" spans="1:195" ht="6.95" customHeight="1" x14ac:dyDescent="0.15">
      <c r="A19" s="1"/>
      <c r="B19" s="1"/>
      <c r="C19" s="1"/>
      <c r="D19" s="1"/>
      <c r="E19" s="1"/>
      <c r="F19" s="112"/>
      <c r="G19" s="112"/>
      <c r="H19" s="112"/>
      <c r="I19" s="112"/>
      <c r="J19" s="112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220">
        <f>F19*Y19</f>
        <v>0</v>
      </c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219"/>
      <c r="BG19" s="219"/>
      <c r="BH19" s="219"/>
      <c r="BI19" s="219"/>
      <c r="BJ19" s="219"/>
      <c r="BK19" s="219"/>
      <c r="BL19" s="219"/>
      <c r="BM19" s="219"/>
      <c r="BN19" s="219"/>
      <c r="BO19" s="219"/>
      <c r="BP19" s="219"/>
      <c r="BQ19" s="219"/>
      <c r="BR19" s="219"/>
      <c r="BS19" s="219"/>
      <c r="BT19" s="219"/>
      <c r="BU19" s="219"/>
      <c r="BV19" s="219"/>
      <c r="BW19" s="219"/>
      <c r="BX19" s="219"/>
      <c r="BY19" s="219"/>
      <c r="BZ19" s="219"/>
      <c r="CA19" s="219"/>
      <c r="CB19" s="219"/>
      <c r="CC19" s="219"/>
      <c r="CD19" s="219"/>
      <c r="CE19" s="219"/>
      <c r="CF19" s="219"/>
      <c r="CG19" s="219"/>
      <c r="CH19" s="219"/>
      <c r="CI19" s="219"/>
      <c r="CJ19" s="219"/>
      <c r="CK19" s="219"/>
      <c r="CL19" s="219"/>
      <c r="CM19" s="219"/>
      <c r="CN19" s="219"/>
      <c r="CO19" s="219"/>
      <c r="CP19" s="219"/>
      <c r="CQ19" s="219"/>
      <c r="CR19" s="219"/>
      <c r="CS19" s="219"/>
      <c r="CT19" s="219"/>
      <c r="CU19" s="219"/>
      <c r="CV19" s="219"/>
      <c r="CW19" s="219"/>
      <c r="CX19" s="219"/>
      <c r="CY19" s="219"/>
      <c r="CZ19" s="219"/>
      <c r="DA19" s="219"/>
      <c r="DB19" s="219"/>
      <c r="DC19" s="219"/>
      <c r="DD19" s="219"/>
      <c r="DE19" s="219"/>
      <c r="DF19" s="219"/>
      <c r="DG19" s="219"/>
      <c r="DH19" s="219"/>
      <c r="DI19" s="219"/>
      <c r="DJ19" s="219"/>
      <c r="DK19" s="219"/>
      <c r="DL19" s="219"/>
      <c r="DM19" s="219"/>
      <c r="DN19" s="219"/>
      <c r="DO19" s="219"/>
      <c r="DP19" s="219"/>
      <c r="DQ19" s="219"/>
      <c r="DR19" s="219"/>
      <c r="DS19" s="219"/>
      <c r="DT19" s="219"/>
      <c r="DU19" s="219"/>
      <c r="DV19" s="219"/>
      <c r="DW19" s="219"/>
      <c r="DX19" s="219"/>
      <c r="DY19" s="219"/>
      <c r="DZ19" s="219"/>
      <c r="EA19" s="219"/>
      <c r="EB19" s="219"/>
      <c r="EC19" s="219"/>
      <c r="ED19" s="219"/>
      <c r="EE19" s="219"/>
      <c r="EF19" s="219"/>
      <c r="EG19" s="219"/>
      <c r="EH19" s="219"/>
      <c r="EI19" s="219"/>
      <c r="EJ19" s="219"/>
      <c r="EK19" s="219"/>
      <c r="EL19" s="219"/>
      <c r="EM19" s="219"/>
      <c r="EN19" s="219"/>
      <c r="EO19" s="219"/>
      <c r="EP19" s="219"/>
      <c r="EQ19" s="219"/>
      <c r="ER19" s="219"/>
      <c r="ES19" s="219"/>
      <c r="ET19" s="219"/>
      <c r="EU19" s="219"/>
      <c r="EV19" s="219"/>
      <c r="EW19" s="219"/>
      <c r="EX19" s="219"/>
      <c r="EY19" s="219"/>
      <c r="EZ19" s="219"/>
      <c r="FA19" s="219"/>
      <c r="FB19" s="219"/>
      <c r="FC19" s="219"/>
      <c r="FD19" s="219"/>
      <c r="FE19" s="219"/>
      <c r="FF19" s="219"/>
      <c r="FG19" s="219"/>
      <c r="FH19" s="219"/>
      <c r="FI19" s="219"/>
      <c r="FJ19" s="219"/>
      <c r="FK19" s="219"/>
      <c r="FL19" s="219"/>
      <c r="FM19" s="219"/>
      <c r="FN19" s="219"/>
      <c r="FO19" s="219"/>
      <c r="FP19" s="219"/>
      <c r="FQ19" s="219"/>
      <c r="FR19" s="219"/>
      <c r="FS19" s="219"/>
      <c r="FT19" s="219"/>
      <c r="FU19" s="219"/>
      <c r="FV19" s="219"/>
      <c r="FW19" s="219"/>
      <c r="FX19" s="219"/>
      <c r="FY19" s="219"/>
      <c r="FZ19" s="219"/>
      <c r="GA19" s="219"/>
      <c r="GB19" s="2"/>
      <c r="GC19" s="2"/>
      <c r="GD19" s="219"/>
      <c r="GE19" s="219"/>
      <c r="GF19" s="219"/>
      <c r="GG19" s="219"/>
      <c r="GH19" s="219"/>
      <c r="GI19" s="219"/>
      <c r="GJ19" s="219"/>
      <c r="GK19" s="219"/>
      <c r="GL19" s="219"/>
      <c r="GM19" s="219"/>
    </row>
    <row r="20" spans="1:195" ht="6.95" customHeight="1" x14ac:dyDescent="0.15">
      <c r="A20" s="1"/>
      <c r="B20" s="1"/>
      <c r="C20" s="1"/>
      <c r="D20" s="1"/>
      <c r="E20" s="1"/>
      <c r="F20" s="112"/>
      <c r="G20" s="112"/>
      <c r="H20" s="112"/>
      <c r="I20" s="112"/>
      <c r="J20" s="112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220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219"/>
      <c r="BG20" s="219"/>
      <c r="BH20" s="219"/>
      <c r="BI20" s="219"/>
      <c r="BJ20" s="219"/>
      <c r="BK20" s="219"/>
      <c r="BL20" s="219"/>
      <c r="BM20" s="219"/>
      <c r="BN20" s="219"/>
      <c r="BO20" s="219"/>
      <c r="BP20" s="219"/>
      <c r="BQ20" s="219"/>
      <c r="BR20" s="219"/>
      <c r="BS20" s="219"/>
      <c r="BT20" s="219"/>
      <c r="BU20" s="219"/>
      <c r="BV20" s="219"/>
      <c r="BW20" s="219"/>
      <c r="BX20" s="219"/>
      <c r="BY20" s="219"/>
      <c r="BZ20" s="219"/>
      <c r="CA20" s="219"/>
      <c r="CB20" s="219"/>
      <c r="CC20" s="219"/>
      <c r="CD20" s="219"/>
      <c r="CE20" s="219"/>
      <c r="CF20" s="219"/>
      <c r="CG20" s="219"/>
      <c r="CH20" s="219"/>
      <c r="CI20" s="219"/>
      <c r="CJ20" s="219"/>
      <c r="CK20" s="219"/>
      <c r="CL20" s="219"/>
      <c r="CM20" s="219"/>
      <c r="CN20" s="219"/>
      <c r="CO20" s="219"/>
      <c r="CP20" s="219"/>
      <c r="CQ20" s="219"/>
      <c r="CR20" s="219"/>
      <c r="CS20" s="219"/>
      <c r="CT20" s="219"/>
      <c r="CU20" s="219"/>
      <c r="CV20" s="219"/>
      <c r="CW20" s="219"/>
      <c r="CX20" s="219"/>
      <c r="CY20" s="219"/>
      <c r="CZ20" s="219"/>
      <c r="DA20" s="219"/>
      <c r="DB20" s="219"/>
      <c r="DC20" s="219"/>
      <c r="DD20" s="219"/>
      <c r="DE20" s="219"/>
      <c r="DF20" s="219"/>
      <c r="DG20" s="219"/>
      <c r="DH20" s="219"/>
      <c r="DI20" s="219"/>
      <c r="DJ20" s="219"/>
      <c r="DK20" s="219"/>
      <c r="DL20" s="219"/>
      <c r="DM20" s="219"/>
      <c r="DN20" s="219"/>
      <c r="DO20" s="219"/>
      <c r="DP20" s="219"/>
      <c r="DQ20" s="219"/>
      <c r="DR20" s="219"/>
      <c r="DS20" s="219"/>
      <c r="DT20" s="219"/>
      <c r="DU20" s="219"/>
      <c r="DV20" s="219"/>
      <c r="DW20" s="219"/>
      <c r="DX20" s="219"/>
      <c r="DY20" s="219"/>
      <c r="DZ20" s="219"/>
      <c r="EA20" s="219"/>
      <c r="EB20" s="219"/>
      <c r="EC20" s="219"/>
      <c r="ED20" s="219"/>
      <c r="EE20" s="219"/>
      <c r="EF20" s="219"/>
      <c r="EG20" s="219"/>
      <c r="EH20" s="219"/>
      <c r="EI20" s="219"/>
      <c r="EJ20" s="219"/>
      <c r="EK20" s="219"/>
      <c r="EL20" s="219"/>
      <c r="EM20" s="219"/>
      <c r="EN20" s="219"/>
      <c r="EO20" s="219"/>
      <c r="EP20" s="219"/>
      <c r="EQ20" s="219"/>
      <c r="ER20" s="219"/>
      <c r="ES20" s="219"/>
      <c r="ET20" s="219"/>
      <c r="EU20" s="219"/>
      <c r="EV20" s="219"/>
      <c r="EW20" s="219"/>
      <c r="EX20" s="219"/>
      <c r="EY20" s="219"/>
      <c r="EZ20" s="219"/>
      <c r="FA20" s="219"/>
      <c r="FB20" s="219"/>
      <c r="FC20" s="219"/>
      <c r="FD20" s="219"/>
      <c r="FE20" s="219"/>
      <c r="FF20" s="219"/>
      <c r="FG20" s="219"/>
      <c r="FH20" s="219"/>
      <c r="FI20" s="219"/>
      <c r="FJ20" s="219"/>
      <c r="FK20" s="219"/>
      <c r="FL20" s="219"/>
      <c r="FM20" s="219"/>
      <c r="FN20" s="219"/>
      <c r="FO20" s="219"/>
      <c r="FP20" s="219"/>
      <c r="FQ20" s="219"/>
      <c r="FR20" s="219"/>
      <c r="FS20" s="219"/>
      <c r="FT20" s="219"/>
      <c r="FU20" s="219"/>
      <c r="FV20" s="219"/>
      <c r="FW20" s="219"/>
      <c r="FX20" s="219"/>
      <c r="FY20" s="219"/>
      <c r="FZ20" s="219"/>
      <c r="GA20" s="219"/>
      <c r="GB20" s="2"/>
      <c r="GC20" s="2"/>
      <c r="GD20" s="219"/>
      <c r="GE20" s="219"/>
      <c r="GF20" s="219"/>
      <c r="GG20" s="219"/>
      <c r="GH20" s="219"/>
      <c r="GI20" s="219"/>
      <c r="GJ20" s="219"/>
      <c r="GK20" s="219"/>
      <c r="GL20" s="219"/>
      <c r="GM20" s="219"/>
    </row>
    <row r="21" spans="1:195" ht="6.95" customHeight="1" x14ac:dyDescent="0.15">
      <c r="A21" s="1"/>
      <c r="B21" s="1"/>
      <c r="C21" s="1"/>
      <c r="D21" s="1"/>
      <c r="E21" s="1"/>
      <c r="F21" s="112"/>
      <c r="G21" s="112"/>
      <c r="H21" s="112"/>
      <c r="I21" s="112"/>
      <c r="J21" s="112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220">
        <f>F19*Y21</f>
        <v>0</v>
      </c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219"/>
      <c r="BG21" s="219"/>
      <c r="BH21" s="219"/>
      <c r="BI21" s="219"/>
      <c r="BJ21" s="219"/>
      <c r="BK21" s="219"/>
      <c r="BL21" s="219"/>
      <c r="BM21" s="219"/>
      <c r="BN21" s="219"/>
      <c r="BO21" s="219"/>
      <c r="BP21" s="219"/>
      <c r="BQ21" s="219"/>
      <c r="BR21" s="219"/>
      <c r="BS21" s="219"/>
      <c r="BT21" s="219"/>
      <c r="BU21" s="219"/>
      <c r="BV21" s="219"/>
      <c r="BW21" s="219"/>
      <c r="BX21" s="219"/>
      <c r="BY21" s="219"/>
      <c r="BZ21" s="219"/>
      <c r="CA21" s="219"/>
      <c r="CB21" s="219"/>
      <c r="CC21" s="219"/>
      <c r="CD21" s="219"/>
      <c r="CE21" s="219"/>
      <c r="CF21" s="219"/>
      <c r="CG21" s="219"/>
      <c r="CH21" s="219"/>
      <c r="CI21" s="219"/>
      <c r="CJ21" s="219"/>
      <c r="CK21" s="219"/>
      <c r="CL21" s="219"/>
      <c r="CM21" s="219"/>
      <c r="CN21" s="219"/>
      <c r="CO21" s="219"/>
      <c r="CP21" s="219"/>
      <c r="CQ21" s="219"/>
      <c r="CR21" s="219"/>
      <c r="CS21" s="219"/>
      <c r="CT21" s="219"/>
      <c r="CU21" s="219"/>
      <c r="CV21" s="219"/>
      <c r="CW21" s="219"/>
      <c r="CX21" s="219"/>
      <c r="CY21" s="219"/>
      <c r="CZ21" s="219"/>
      <c r="DA21" s="219"/>
      <c r="DB21" s="219"/>
      <c r="DC21" s="219"/>
      <c r="DD21" s="219"/>
      <c r="DE21" s="219"/>
      <c r="DF21" s="219"/>
      <c r="DG21" s="219"/>
      <c r="DH21" s="219"/>
      <c r="DI21" s="219"/>
      <c r="DJ21" s="219"/>
      <c r="DK21" s="219"/>
      <c r="DL21" s="219"/>
      <c r="DM21" s="219"/>
      <c r="DN21" s="219"/>
      <c r="DO21" s="219"/>
      <c r="DP21" s="219"/>
      <c r="DQ21" s="219"/>
      <c r="DR21" s="219"/>
      <c r="DS21" s="219"/>
      <c r="DT21" s="219"/>
      <c r="DU21" s="219"/>
      <c r="DV21" s="219"/>
      <c r="DW21" s="219"/>
      <c r="DX21" s="219"/>
      <c r="DY21" s="219"/>
      <c r="DZ21" s="219"/>
      <c r="EA21" s="219"/>
      <c r="EB21" s="219"/>
      <c r="EC21" s="219"/>
      <c r="ED21" s="219"/>
      <c r="EE21" s="219"/>
      <c r="EF21" s="219"/>
      <c r="EG21" s="219"/>
      <c r="EH21" s="219"/>
      <c r="EI21" s="219"/>
      <c r="EJ21" s="219"/>
      <c r="EK21" s="219"/>
      <c r="EL21" s="219"/>
      <c r="EM21" s="219"/>
      <c r="EN21" s="219"/>
      <c r="EO21" s="219"/>
      <c r="EP21" s="219"/>
      <c r="EQ21" s="219"/>
      <c r="ER21" s="219"/>
      <c r="ES21" s="219"/>
      <c r="ET21" s="219"/>
      <c r="EU21" s="219"/>
      <c r="EV21" s="219"/>
      <c r="EW21" s="219"/>
      <c r="EX21" s="219"/>
      <c r="EY21" s="219"/>
      <c r="EZ21" s="219"/>
      <c r="FA21" s="219"/>
      <c r="FB21" s="219"/>
      <c r="FC21" s="219"/>
      <c r="FD21" s="219"/>
      <c r="FE21" s="219"/>
      <c r="FF21" s="219"/>
      <c r="FG21" s="219"/>
      <c r="FH21" s="219"/>
      <c r="FI21" s="219"/>
      <c r="FJ21" s="219"/>
      <c r="FK21" s="219"/>
      <c r="FL21" s="219"/>
      <c r="FM21" s="219"/>
      <c r="FN21" s="219"/>
      <c r="FO21" s="219"/>
      <c r="FP21" s="219"/>
      <c r="FQ21" s="219"/>
      <c r="FR21" s="219"/>
      <c r="FS21" s="219"/>
      <c r="FT21" s="219"/>
      <c r="FU21" s="219"/>
      <c r="FV21" s="219"/>
      <c r="FW21" s="219"/>
      <c r="FX21" s="219"/>
      <c r="FY21" s="219"/>
      <c r="FZ21" s="219"/>
      <c r="GA21" s="219"/>
      <c r="GB21" s="2"/>
      <c r="GC21" s="2"/>
      <c r="GD21" s="219"/>
      <c r="GE21" s="219"/>
      <c r="GF21" s="219"/>
      <c r="GG21" s="219"/>
      <c r="GH21" s="219"/>
      <c r="GI21" s="219"/>
      <c r="GJ21" s="219"/>
      <c r="GK21" s="219"/>
      <c r="GL21" s="219"/>
      <c r="GM21" s="219"/>
    </row>
    <row r="22" spans="1:195" ht="6.95" customHeight="1" x14ac:dyDescent="0.15">
      <c r="A22" s="1"/>
      <c r="B22" s="1"/>
      <c r="C22" s="1"/>
      <c r="D22" s="1"/>
      <c r="E22" s="1"/>
      <c r="F22" s="112"/>
      <c r="G22" s="112"/>
      <c r="H22" s="112"/>
      <c r="I22" s="112"/>
      <c r="J22" s="112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220"/>
      <c r="AD22" s="91"/>
      <c r="AE22" s="91"/>
      <c r="AF22" s="91"/>
      <c r="AG22" s="91"/>
      <c r="AH22" s="91"/>
      <c r="AI22" s="91"/>
      <c r="AJ22" s="93"/>
      <c r="AK22" s="93"/>
      <c r="AL22" s="93"/>
      <c r="AM22" s="93"/>
      <c r="AN22" s="91"/>
      <c r="AO22" s="91"/>
      <c r="AP22" s="93"/>
      <c r="AQ22" s="93"/>
      <c r="AR22" s="91"/>
      <c r="AS22" s="91"/>
      <c r="AT22" s="91"/>
      <c r="AU22" s="91"/>
      <c r="AV22" s="91"/>
      <c r="AW22" s="93"/>
      <c r="AX22" s="93"/>
      <c r="AY22" s="93"/>
      <c r="AZ22" s="93"/>
      <c r="BA22" s="91"/>
      <c r="BB22" s="91"/>
      <c r="BC22" s="93"/>
      <c r="BD22" s="93"/>
      <c r="BE22" s="91"/>
      <c r="BF22" s="219"/>
      <c r="BG22" s="219"/>
      <c r="BH22" s="219"/>
      <c r="BI22" s="219"/>
      <c r="BJ22" s="219"/>
      <c r="BK22" s="219"/>
      <c r="BL22" s="219"/>
      <c r="BM22" s="219"/>
      <c r="BN22" s="219"/>
      <c r="BO22" s="219"/>
      <c r="BP22" s="219"/>
      <c r="BQ22" s="219"/>
      <c r="BR22" s="219"/>
      <c r="BS22" s="219"/>
      <c r="BT22" s="219"/>
      <c r="BU22" s="219"/>
      <c r="BV22" s="219"/>
      <c r="BW22" s="219"/>
      <c r="BX22" s="219"/>
      <c r="BY22" s="219"/>
      <c r="BZ22" s="219"/>
      <c r="CA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  <c r="DF22" s="219"/>
      <c r="DG22" s="219"/>
      <c r="DH22" s="219"/>
      <c r="DI22" s="219"/>
      <c r="DJ22" s="219"/>
      <c r="DK22" s="219"/>
      <c r="DL22" s="219"/>
      <c r="DM22" s="219"/>
      <c r="DN22" s="219"/>
      <c r="DO22" s="219"/>
      <c r="DP22" s="219"/>
      <c r="DQ22" s="219"/>
      <c r="DR22" s="219"/>
      <c r="DS22" s="219"/>
      <c r="DT22" s="219"/>
      <c r="DU22" s="219"/>
      <c r="DV22" s="219"/>
      <c r="DW22" s="219"/>
      <c r="DX22" s="219"/>
      <c r="DY22" s="219"/>
      <c r="DZ22" s="219"/>
      <c r="EA22" s="219"/>
      <c r="EB22" s="219"/>
      <c r="EC22" s="219"/>
      <c r="ED22" s="219"/>
      <c r="EE22" s="219"/>
      <c r="EF22" s="219"/>
      <c r="EG22" s="219"/>
      <c r="EH22" s="219"/>
      <c r="EI22" s="219"/>
      <c r="EJ22" s="219"/>
      <c r="EK22" s="219"/>
      <c r="EL22" s="219"/>
      <c r="EM22" s="219"/>
      <c r="EN22" s="219"/>
      <c r="EO22" s="219"/>
      <c r="EP22" s="219"/>
      <c r="EQ22" s="219"/>
      <c r="ER22" s="219"/>
      <c r="ES22" s="219"/>
      <c r="ET22" s="219"/>
      <c r="EU22" s="219"/>
      <c r="EV22" s="219"/>
      <c r="EW22" s="219"/>
      <c r="EX22" s="219"/>
      <c r="EY22" s="219"/>
      <c r="EZ22" s="219"/>
      <c r="FA22" s="219"/>
      <c r="FB22" s="219"/>
      <c r="FC22" s="219"/>
      <c r="FD22" s="219"/>
      <c r="FE22" s="219"/>
      <c r="FF22" s="219"/>
      <c r="FG22" s="219"/>
      <c r="FH22" s="219"/>
      <c r="FI22" s="219"/>
      <c r="FJ22" s="219"/>
      <c r="FK22" s="219"/>
      <c r="FL22" s="219"/>
      <c r="FM22" s="219"/>
      <c r="FN22" s="219"/>
      <c r="FO22" s="219"/>
      <c r="FP22" s="219"/>
      <c r="FQ22" s="219"/>
      <c r="FR22" s="219"/>
      <c r="FS22" s="219"/>
      <c r="FT22" s="219"/>
      <c r="FU22" s="219"/>
      <c r="FV22" s="219"/>
      <c r="FW22" s="219"/>
      <c r="FX22" s="219"/>
      <c r="FY22" s="219"/>
      <c r="FZ22" s="219"/>
      <c r="GA22" s="219"/>
      <c r="GB22" s="2"/>
      <c r="GC22" s="2"/>
      <c r="GD22" s="219"/>
      <c r="GE22" s="219"/>
      <c r="GF22" s="219"/>
      <c r="GG22" s="219"/>
      <c r="GH22" s="219"/>
      <c r="GI22" s="219"/>
      <c r="GJ22" s="219"/>
      <c r="GK22" s="219"/>
      <c r="GL22" s="219"/>
      <c r="GM22" s="219"/>
    </row>
    <row r="23" spans="1:195" ht="6.95" customHeight="1" x14ac:dyDescent="0.15">
      <c r="A23" s="1"/>
      <c r="B23" s="1"/>
      <c r="C23" s="1"/>
      <c r="D23" s="1"/>
      <c r="E23" s="1"/>
      <c r="F23" s="113"/>
      <c r="G23" s="113"/>
      <c r="H23" s="113"/>
      <c r="I23" s="113"/>
      <c r="J23" s="113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220">
        <f>F19*Y23</f>
        <v>0</v>
      </c>
      <c r="AD23" s="91"/>
      <c r="AE23" s="91"/>
      <c r="AF23" s="91"/>
      <c r="AG23" s="91"/>
      <c r="AH23" s="91"/>
      <c r="AI23" s="91"/>
      <c r="AJ23" s="93"/>
      <c r="AK23" s="93"/>
      <c r="AL23" s="93"/>
      <c r="AM23" s="93"/>
      <c r="AN23" s="91"/>
      <c r="AO23" s="91"/>
      <c r="AP23" s="93"/>
      <c r="AQ23" s="93"/>
      <c r="AR23" s="91"/>
      <c r="AS23" s="91"/>
      <c r="AT23" s="91"/>
      <c r="AU23" s="91"/>
      <c r="AV23" s="91"/>
      <c r="AW23" s="93"/>
      <c r="AX23" s="93"/>
      <c r="AY23" s="93"/>
      <c r="AZ23" s="93"/>
      <c r="BA23" s="91"/>
      <c r="BB23" s="91"/>
      <c r="BC23" s="93"/>
      <c r="BD23" s="93"/>
      <c r="BE23" s="91"/>
      <c r="BF23" s="219"/>
      <c r="BG23" s="219"/>
      <c r="BH23" s="219"/>
      <c r="BI23" s="219"/>
      <c r="BJ23" s="219"/>
      <c r="BK23" s="219"/>
      <c r="BL23" s="219"/>
      <c r="BM23" s="219"/>
      <c r="BN23" s="219"/>
      <c r="BO23" s="219"/>
      <c r="BP23" s="219"/>
      <c r="BQ23" s="219"/>
      <c r="BR23" s="219"/>
      <c r="BS23" s="219"/>
      <c r="BT23" s="219"/>
      <c r="BU23" s="219"/>
      <c r="BV23" s="219"/>
      <c r="BW23" s="219"/>
      <c r="BX23" s="219"/>
      <c r="BY23" s="219"/>
      <c r="BZ23" s="219"/>
      <c r="CA23" s="219"/>
      <c r="CB23" s="219"/>
      <c r="CC23" s="219"/>
      <c r="CD23" s="219"/>
      <c r="CE23" s="219"/>
      <c r="CF23" s="219"/>
      <c r="CG23" s="219"/>
      <c r="CH23" s="219"/>
      <c r="CI23" s="219"/>
      <c r="CJ23" s="219"/>
      <c r="CK23" s="219"/>
      <c r="CL23" s="219"/>
      <c r="CM23" s="219"/>
      <c r="CN23" s="219"/>
      <c r="CO23" s="219"/>
      <c r="CP23" s="219"/>
      <c r="CQ23" s="219"/>
      <c r="CR23" s="219"/>
      <c r="CS23" s="219"/>
      <c r="CT23" s="219"/>
      <c r="CU23" s="219"/>
      <c r="CV23" s="219"/>
      <c r="CW23" s="219"/>
      <c r="CX23" s="219"/>
      <c r="CY23" s="219"/>
      <c r="CZ23" s="219"/>
      <c r="DA23" s="219"/>
      <c r="DB23" s="219"/>
      <c r="DC23" s="219"/>
      <c r="DD23" s="219"/>
      <c r="DE23" s="219"/>
      <c r="DF23" s="219"/>
      <c r="DG23" s="219"/>
      <c r="DH23" s="219"/>
      <c r="DI23" s="219"/>
      <c r="DJ23" s="219"/>
      <c r="DK23" s="219"/>
      <c r="DL23" s="219"/>
      <c r="DM23" s="219"/>
      <c r="DN23" s="219"/>
      <c r="DO23" s="219"/>
      <c r="DP23" s="219"/>
      <c r="DQ23" s="219"/>
      <c r="DR23" s="219"/>
      <c r="DS23" s="219"/>
      <c r="DT23" s="219"/>
      <c r="DU23" s="219"/>
      <c r="DV23" s="219"/>
      <c r="DW23" s="219"/>
      <c r="DX23" s="219"/>
      <c r="DY23" s="219"/>
      <c r="DZ23" s="219"/>
      <c r="EA23" s="219"/>
      <c r="EB23" s="219"/>
      <c r="EC23" s="219"/>
      <c r="ED23" s="219"/>
      <c r="EE23" s="219"/>
      <c r="EF23" s="219"/>
      <c r="EG23" s="219"/>
      <c r="EH23" s="219"/>
      <c r="EI23" s="219"/>
      <c r="EJ23" s="219"/>
      <c r="EK23" s="219"/>
      <c r="EL23" s="219"/>
      <c r="EM23" s="219"/>
      <c r="EN23" s="219"/>
      <c r="EO23" s="219"/>
      <c r="EP23" s="219"/>
      <c r="EQ23" s="219"/>
      <c r="ER23" s="219"/>
      <c r="ES23" s="219"/>
      <c r="ET23" s="219"/>
      <c r="EU23" s="219"/>
      <c r="EV23" s="219"/>
      <c r="EW23" s="219"/>
      <c r="EX23" s="219"/>
      <c r="EY23" s="219"/>
      <c r="EZ23" s="219"/>
      <c r="FA23" s="219"/>
      <c r="FB23" s="219"/>
      <c r="FC23" s="219"/>
      <c r="FD23" s="219"/>
      <c r="FE23" s="219"/>
      <c r="FF23" s="219"/>
      <c r="FG23" s="219"/>
      <c r="FH23" s="219"/>
      <c r="FI23" s="219"/>
      <c r="FJ23" s="219"/>
      <c r="FK23" s="219"/>
      <c r="FL23" s="219"/>
      <c r="FM23" s="219"/>
      <c r="FN23" s="219"/>
      <c r="FO23" s="219"/>
      <c r="FP23" s="219"/>
      <c r="FQ23" s="219"/>
      <c r="FR23" s="219"/>
      <c r="FS23" s="219"/>
      <c r="FT23" s="219"/>
      <c r="FU23" s="219"/>
      <c r="FV23" s="219"/>
      <c r="FW23" s="219"/>
      <c r="FX23" s="219"/>
      <c r="FY23" s="219"/>
      <c r="FZ23" s="219"/>
      <c r="GA23" s="219"/>
      <c r="GB23" s="2"/>
      <c r="GC23" s="2"/>
      <c r="GD23" s="219"/>
      <c r="GE23" s="219"/>
      <c r="GF23" s="219"/>
      <c r="GG23" s="219"/>
      <c r="GH23" s="219"/>
      <c r="GI23" s="219"/>
      <c r="GJ23" s="219"/>
      <c r="GK23" s="219"/>
      <c r="GL23" s="219"/>
      <c r="GM23" s="219"/>
    </row>
    <row r="24" spans="1:195" ht="6.95" customHeight="1" x14ac:dyDescent="0.15">
      <c r="A24" s="1"/>
      <c r="B24" s="1"/>
      <c r="C24" s="1"/>
      <c r="D24" s="1"/>
      <c r="E24" s="1"/>
      <c r="F24" s="113"/>
      <c r="G24" s="113"/>
      <c r="H24" s="113"/>
      <c r="I24" s="113"/>
      <c r="J24" s="113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220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BX24" s="219"/>
      <c r="BY24" s="219"/>
      <c r="BZ24" s="219"/>
      <c r="CA24" s="219"/>
      <c r="CB24" s="219"/>
      <c r="CC24" s="219"/>
      <c r="CD24" s="219"/>
      <c r="CE24" s="219"/>
      <c r="CF24" s="219"/>
      <c r="CG24" s="219"/>
      <c r="CH24" s="219"/>
      <c r="CI24" s="219"/>
      <c r="CJ24" s="219"/>
      <c r="CK24" s="219"/>
      <c r="CL24" s="219"/>
      <c r="CM24" s="219"/>
      <c r="CN24" s="219"/>
      <c r="CO24" s="219"/>
      <c r="CP24" s="219"/>
      <c r="CQ24" s="219"/>
      <c r="CR24" s="219"/>
      <c r="CS24" s="219"/>
      <c r="CT24" s="219"/>
      <c r="CU24" s="219"/>
      <c r="CV24" s="219"/>
      <c r="CW24" s="219"/>
      <c r="CX24" s="219"/>
      <c r="CY24" s="219"/>
      <c r="CZ24" s="219"/>
      <c r="DA24" s="219"/>
      <c r="DB24" s="219"/>
      <c r="DC24" s="219"/>
      <c r="DD24" s="219"/>
      <c r="DE24" s="219"/>
      <c r="DF24" s="219"/>
      <c r="DG24" s="219"/>
      <c r="DH24" s="219"/>
      <c r="DI24" s="219"/>
      <c r="DJ24" s="219"/>
      <c r="DK24" s="219"/>
      <c r="DL24" s="219"/>
      <c r="DM24" s="219"/>
      <c r="DN24" s="219"/>
      <c r="DO24" s="219"/>
      <c r="DP24" s="219"/>
      <c r="DQ24" s="219"/>
      <c r="DR24" s="219"/>
      <c r="DS24" s="219"/>
      <c r="DT24" s="219"/>
      <c r="DU24" s="219"/>
      <c r="DV24" s="219"/>
      <c r="DW24" s="219"/>
      <c r="DX24" s="219"/>
      <c r="DY24" s="219"/>
      <c r="DZ24" s="219"/>
      <c r="EA24" s="219"/>
      <c r="EB24" s="219"/>
      <c r="EC24" s="219"/>
      <c r="ED24" s="219"/>
      <c r="EE24" s="219"/>
      <c r="EF24" s="219"/>
      <c r="EG24" s="219"/>
      <c r="EH24" s="219"/>
      <c r="EI24" s="219"/>
      <c r="EJ24" s="219"/>
      <c r="EK24" s="219"/>
      <c r="EL24" s="219"/>
      <c r="EM24" s="219"/>
      <c r="EN24" s="219"/>
      <c r="EO24" s="219"/>
      <c r="EP24" s="219"/>
      <c r="EQ24" s="219"/>
      <c r="ER24" s="219"/>
      <c r="ES24" s="219"/>
      <c r="ET24" s="219"/>
      <c r="EU24" s="219"/>
      <c r="EV24" s="219"/>
      <c r="EW24" s="219"/>
      <c r="EX24" s="219"/>
      <c r="EY24" s="219"/>
      <c r="EZ24" s="219"/>
      <c r="FA24" s="219"/>
      <c r="FB24" s="219"/>
      <c r="FC24" s="219"/>
      <c r="FD24" s="219"/>
      <c r="FE24" s="219"/>
      <c r="FF24" s="219"/>
      <c r="FG24" s="219"/>
      <c r="FH24" s="219"/>
      <c r="FI24" s="219"/>
      <c r="FJ24" s="219"/>
      <c r="FK24" s="219"/>
      <c r="FL24" s="219"/>
      <c r="FM24" s="219"/>
      <c r="FN24" s="219"/>
      <c r="FO24" s="219"/>
      <c r="FP24" s="219"/>
      <c r="FQ24" s="219"/>
      <c r="FR24" s="219"/>
      <c r="FS24" s="219"/>
      <c r="FT24" s="219"/>
      <c r="FU24" s="219"/>
      <c r="FV24" s="219"/>
      <c r="FW24" s="219"/>
      <c r="FX24" s="219"/>
      <c r="FY24" s="219"/>
      <c r="FZ24" s="219"/>
      <c r="GA24" s="219"/>
      <c r="GB24" s="2"/>
      <c r="GC24" s="2"/>
      <c r="GD24" s="219"/>
      <c r="GE24" s="219"/>
      <c r="GF24" s="219"/>
      <c r="GG24" s="219"/>
      <c r="GH24" s="219"/>
      <c r="GI24" s="219"/>
      <c r="GJ24" s="219"/>
      <c r="GK24" s="219"/>
      <c r="GL24" s="219"/>
      <c r="GM24" s="219"/>
    </row>
    <row r="25" spans="1:195" ht="6.9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1"/>
      <c r="AE25" s="91"/>
      <c r="AF25" s="93"/>
      <c r="AG25" s="93"/>
      <c r="AH25" s="93"/>
      <c r="AI25" s="91"/>
      <c r="AJ25" s="91"/>
      <c r="AK25" s="91"/>
      <c r="AL25" s="91"/>
      <c r="AM25" s="91"/>
      <c r="AN25" s="91"/>
      <c r="AO25" s="91"/>
      <c r="AP25" s="91"/>
      <c r="AQ25" s="94"/>
      <c r="AR25" s="94"/>
      <c r="AS25" s="94"/>
      <c r="AT25" s="4"/>
      <c r="AU25" s="95"/>
      <c r="AV25" s="95"/>
      <c r="AW25" s="95"/>
      <c r="AX25" s="4"/>
      <c r="AY25" s="4"/>
      <c r="AZ25" s="91"/>
      <c r="BA25" s="91"/>
      <c r="BB25" s="91"/>
      <c r="BC25" s="91"/>
      <c r="BD25" s="91"/>
      <c r="BE25" s="91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BX25" s="219"/>
      <c r="BY25" s="219"/>
      <c r="BZ25" s="219"/>
      <c r="CA25" s="219"/>
      <c r="CB25" s="219"/>
      <c r="CC25" s="219"/>
      <c r="CD25" s="219"/>
      <c r="CE25" s="219"/>
      <c r="CF25" s="219"/>
      <c r="CG25" s="219"/>
      <c r="CH25" s="219"/>
      <c r="CI25" s="219"/>
      <c r="CJ25" s="219"/>
      <c r="CK25" s="219"/>
      <c r="CL25" s="219"/>
      <c r="CM25" s="219"/>
      <c r="CN25" s="219"/>
      <c r="CO25" s="219"/>
      <c r="CP25" s="219"/>
      <c r="CQ25" s="219"/>
      <c r="CR25" s="219"/>
      <c r="CS25" s="219"/>
      <c r="CT25" s="219"/>
      <c r="CU25" s="219"/>
      <c r="CV25" s="219"/>
      <c r="CW25" s="219"/>
      <c r="CX25" s="219"/>
      <c r="CY25" s="219"/>
      <c r="CZ25" s="219"/>
      <c r="DA25" s="219"/>
      <c r="DB25" s="219"/>
      <c r="DC25" s="219"/>
      <c r="DD25" s="219"/>
      <c r="DE25" s="219"/>
      <c r="DF25" s="219"/>
      <c r="DG25" s="219"/>
      <c r="DH25" s="219"/>
      <c r="DI25" s="219"/>
      <c r="DJ25" s="219"/>
      <c r="DK25" s="219"/>
      <c r="DL25" s="219"/>
      <c r="DM25" s="219"/>
      <c r="DN25" s="219"/>
      <c r="DO25" s="219"/>
      <c r="DP25" s="219"/>
      <c r="DQ25" s="219"/>
      <c r="DR25" s="219"/>
      <c r="DS25" s="219"/>
      <c r="DT25" s="219"/>
      <c r="DU25" s="219"/>
      <c r="DV25" s="219"/>
      <c r="DW25" s="219"/>
      <c r="DX25" s="219"/>
      <c r="DY25" s="219"/>
      <c r="DZ25" s="219"/>
      <c r="EA25" s="219"/>
      <c r="EB25" s="219"/>
      <c r="EC25" s="219"/>
      <c r="ED25" s="219"/>
      <c r="EE25" s="219"/>
      <c r="EF25" s="219"/>
      <c r="EG25" s="219"/>
      <c r="EH25" s="219"/>
      <c r="EI25" s="219"/>
      <c r="EJ25" s="219"/>
      <c r="EK25" s="219"/>
      <c r="EL25" s="219"/>
      <c r="EM25" s="219"/>
      <c r="EN25" s="219"/>
      <c r="EO25" s="219"/>
      <c r="EP25" s="219"/>
      <c r="EQ25" s="219"/>
      <c r="ER25" s="219"/>
      <c r="ES25" s="219"/>
      <c r="ET25" s="219"/>
      <c r="EU25" s="219"/>
      <c r="EV25" s="219"/>
      <c r="EW25" s="219"/>
      <c r="EX25" s="219"/>
      <c r="EY25" s="219"/>
      <c r="EZ25" s="219"/>
      <c r="FA25" s="219"/>
      <c r="FB25" s="219"/>
      <c r="FC25" s="219"/>
      <c r="FD25" s="219"/>
      <c r="FE25" s="219"/>
      <c r="FF25" s="219"/>
      <c r="FG25" s="219"/>
      <c r="FH25" s="219"/>
      <c r="FI25" s="219"/>
      <c r="FJ25" s="219"/>
      <c r="FK25" s="219"/>
      <c r="FL25" s="219"/>
      <c r="FM25" s="219"/>
      <c r="FN25" s="219"/>
      <c r="FO25" s="219"/>
      <c r="FP25" s="219"/>
      <c r="FQ25" s="219"/>
      <c r="FR25" s="219"/>
      <c r="FS25" s="219"/>
      <c r="FT25" s="219"/>
      <c r="FU25" s="219"/>
      <c r="FV25" s="219"/>
      <c r="FW25" s="219"/>
      <c r="FX25" s="219"/>
      <c r="FY25" s="219"/>
      <c r="FZ25" s="219"/>
      <c r="GA25" s="219"/>
      <c r="GB25" s="2"/>
      <c r="GC25" s="2"/>
      <c r="GD25" s="219"/>
      <c r="GE25" s="219"/>
      <c r="GF25" s="219"/>
      <c r="GG25" s="219"/>
      <c r="GH25" s="219"/>
      <c r="GI25" s="219"/>
      <c r="GJ25" s="219"/>
      <c r="GK25" s="219"/>
      <c r="GL25" s="219"/>
      <c r="GM25" s="219"/>
    </row>
    <row r="26" spans="1:195" ht="6.95" customHeight="1" x14ac:dyDescent="0.15">
      <c r="A26" s="1"/>
      <c r="B26" s="1"/>
      <c r="C26" s="1"/>
      <c r="D26" s="1"/>
      <c r="E26" s="1"/>
      <c r="F26" s="112"/>
      <c r="G26" s="112"/>
      <c r="H26" s="112"/>
      <c r="I26" s="112"/>
      <c r="J26" s="112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220">
        <f>F26*Y26</f>
        <v>0</v>
      </c>
      <c r="AD26" s="91"/>
      <c r="AE26" s="91"/>
      <c r="AF26" s="93"/>
      <c r="AG26" s="93"/>
      <c r="AH26" s="93"/>
      <c r="AI26" s="91"/>
      <c r="AJ26" s="91"/>
      <c r="AK26" s="91"/>
      <c r="AL26" s="91"/>
      <c r="AM26" s="91"/>
      <c r="AN26" s="91"/>
      <c r="AO26" s="91"/>
      <c r="AP26" s="91"/>
      <c r="AQ26" s="94"/>
      <c r="AR26" s="94"/>
      <c r="AS26" s="94"/>
      <c r="AT26" s="4"/>
      <c r="AU26" s="95"/>
      <c r="AV26" s="95"/>
      <c r="AW26" s="95"/>
      <c r="AX26" s="4"/>
      <c r="AY26" s="4"/>
      <c r="AZ26" s="91"/>
      <c r="BA26" s="91"/>
      <c r="BB26" s="91"/>
      <c r="BC26" s="91"/>
      <c r="BD26" s="91"/>
      <c r="BE26" s="91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BX26" s="219"/>
      <c r="BY26" s="219"/>
      <c r="BZ26" s="219"/>
      <c r="CA26" s="219"/>
      <c r="CB26" s="219"/>
      <c r="CC26" s="219"/>
      <c r="CD26" s="219"/>
      <c r="CE26" s="219"/>
      <c r="CF26" s="219"/>
      <c r="CG26" s="219"/>
      <c r="CH26" s="219"/>
      <c r="CI26" s="219"/>
      <c r="CJ26" s="219"/>
      <c r="CK26" s="219"/>
      <c r="CL26" s="219"/>
      <c r="CM26" s="219"/>
      <c r="CN26" s="219"/>
      <c r="CO26" s="219"/>
      <c r="CP26" s="219"/>
      <c r="CQ26" s="219"/>
      <c r="CR26" s="219"/>
      <c r="CS26" s="219"/>
      <c r="CT26" s="219"/>
      <c r="CU26" s="219"/>
      <c r="CV26" s="219"/>
      <c r="CW26" s="219"/>
      <c r="CX26" s="219"/>
      <c r="CY26" s="219"/>
      <c r="CZ26" s="219"/>
      <c r="DA26" s="219"/>
      <c r="DB26" s="219"/>
      <c r="DC26" s="219"/>
      <c r="DD26" s="219"/>
      <c r="DE26" s="219"/>
      <c r="DF26" s="219"/>
      <c r="DG26" s="219"/>
      <c r="DH26" s="219"/>
      <c r="DI26" s="219"/>
      <c r="DJ26" s="219"/>
      <c r="DK26" s="219"/>
      <c r="DL26" s="219"/>
      <c r="DM26" s="219"/>
      <c r="DN26" s="219"/>
      <c r="DO26" s="219"/>
      <c r="DP26" s="219"/>
      <c r="DQ26" s="219"/>
      <c r="DR26" s="219"/>
      <c r="DS26" s="219"/>
      <c r="DT26" s="219"/>
      <c r="DU26" s="219"/>
      <c r="DV26" s="219"/>
      <c r="DW26" s="219"/>
      <c r="DX26" s="219"/>
      <c r="DY26" s="219"/>
      <c r="DZ26" s="219"/>
      <c r="EA26" s="219"/>
      <c r="EB26" s="219"/>
      <c r="EC26" s="219"/>
      <c r="ED26" s="219"/>
      <c r="EE26" s="219"/>
      <c r="EF26" s="219"/>
      <c r="EG26" s="219"/>
      <c r="EH26" s="219"/>
      <c r="EI26" s="219"/>
      <c r="EJ26" s="219"/>
      <c r="EK26" s="219"/>
      <c r="EL26" s="219"/>
      <c r="EM26" s="219"/>
      <c r="EN26" s="219"/>
      <c r="EO26" s="219"/>
      <c r="EP26" s="219"/>
      <c r="EQ26" s="219"/>
      <c r="ER26" s="219"/>
      <c r="ES26" s="219"/>
      <c r="ET26" s="219"/>
      <c r="EU26" s="219"/>
      <c r="EV26" s="219"/>
      <c r="EW26" s="219"/>
      <c r="EX26" s="219"/>
      <c r="EY26" s="219"/>
      <c r="EZ26" s="219"/>
      <c r="FA26" s="219"/>
      <c r="FB26" s="219"/>
      <c r="FC26" s="219"/>
      <c r="FD26" s="219"/>
      <c r="FE26" s="219"/>
      <c r="FF26" s="219"/>
      <c r="FG26" s="219"/>
      <c r="FH26" s="219"/>
      <c r="FI26" s="219"/>
      <c r="FJ26" s="219"/>
      <c r="FK26" s="219"/>
      <c r="FL26" s="219"/>
      <c r="FM26" s="219"/>
      <c r="FN26" s="219"/>
      <c r="FO26" s="219"/>
      <c r="FP26" s="219"/>
      <c r="FQ26" s="219"/>
      <c r="FR26" s="219"/>
      <c r="FS26" s="219"/>
      <c r="FT26" s="219"/>
      <c r="FU26" s="219"/>
      <c r="FV26" s="219"/>
      <c r="FW26" s="219"/>
      <c r="FX26" s="219"/>
      <c r="FY26" s="219"/>
      <c r="FZ26" s="219"/>
      <c r="GA26" s="219"/>
      <c r="GB26" s="2"/>
      <c r="GC26" s="2"/>
      <c r="GD26" s="219"/>
      <c r="GE26" s="219"/>
      <c r="GF26" s="219"/>
      <c r="GG26" s="219"/>
      <c r="GH26" s="219"/>
      <c r="GI26" s="219"/>
      <c r="GJ26" s="219"/>
      <c r="GK26" s="219"/>
      <c r="GL26" s="219"/>
      <c r="GM26" s="219"/>
    </row>
    <row r="27" spans="1:195" ht="6.95" customHeight="1" x14ac:dyDescent="0.15">
      <c r="A27" s="1"/>
      <c r="B27" s="1"/>
      <c r="C27" s="1"/>
      <c r="D27" s="1"/>
      <c r="E27" s="1"/>
      <c r="F27" s="112"/>
      <c r="G27" s="112"/>
      <c r="H27" s="112"/>
      <c r="I27" s="112"/>
      <c r="J27" s="112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220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3"/>
      <c r="AR27" s="3"/>
      <c r="AS27" s="3"/>
      <c r="AT27" s="4"/>
      <c r="AU27" s="4"/>
      <c r="AV27" s="4"/>
      <c r="AW27" s="94"/>
      <c r="AX27" s="94"/>
      <c r="AY27" s="94"/>
      <c r="AZ27" s="91"/>
      <c r="BA27" s="91"/>
      <c r="BB27" s="91"/>
      <c r="BC27" s="91"/>
      <c r="BD27" s="91"/>
      <c r="BE27" s="91"/>
      <c r="BF27" s="219"/>
      <c r="BG27" s="219"/>
      <c r="BH27" s="219"/>
      <c r="BI27" s="219"/>
      <c r="BJ27" s="219"/>
      <c r="BK27" s="219"/>
      <c r="BL27" s="219"/>
      <c r="BM27" s="219"/>
      <c r="BN27" s="219"/>
      <c r="BO27" s="219"/>
      <c r="BP27" s="219"/>
      <c r="BQ27" s="219"/>
      <c r="BR27" s="219"/>
      <c r="BS27" s="219"/>
      <c r="BT27" s="219"/>
      <c r="BU27" s="219"/>
      <c r="BV27" s="219"/>
      <c r="BW27" s="219"/>
      <c r="BX27" s="219"/>
      <c r="BY27" s="219"/>
      <c r="BZ27" s="219"/>
      <c r="CA27" s="219"/>
      <c r="CB27" s="219"/>
      <c r="CC27" s="219"/>
      <c r="CD27" s="219"/>
      <c r="CE27" s="219"/>
      <c r="CF27" s="219"/>
      <c r="CG27" s="219"/>
      <c r="CH27" s="219"/>
      <c r="CI27" s="219"/>
      <c r="CJ27" s="219"/>
      <c r="CK27" s="219"/>
      <c r="CL27" s="219"/>
      <c r="CM27" s="219"/>
      <c r="CN27" s="219"/>
      <c r="CO27" s="219"/>
      <c r="CP27" s="219"/>
      <c r="CQ27" s="219"/>
      <c r="CR27" s="219"/>
      <c r="CS27" s="219"/>
      <c r="CT27" s="219"/>
      <c r="CU27" s="219"/>
      <c r="CV27" s="219"/>
      <c r="CW27" s="219"/>
      <c r="CX27" s="219"/>
      <c r="CY27" s="219"/>
      <c r="CZ27" s="219"/>
      <c r="DA27" s="219"/>
      <c r="DB27" s="219"/>
      <c r="DC27" s="219"/>
      <c r="DD27" s="219"/>
      <c r="DE27" s="219"/>
      <c r="DF27" s="219"/>
      <c r="DG27" s="219"/>
      <c r="DH27" s="219"/>
      <c r="DI27" s="219"/>
      <c r="DJ27" s="219"/>
      <c r="DK27" s="219"/>
      <c r="DL27" s="219"/>
      <c r="DM27" s="219"/>
      <c r="DN27" s="219"/>
      <c r="DO27" s="219"/>
      <c r="DP27" s="219"/>
      <c r="DQ27" s="219"/>
      <c r="DR27" s="219"/>
      <c r="DS27" s="219"/>
      <c r="DT27" s="219"/>
      <c r="DU27" s="219"/>
      <c r="DV27" s="219"/>
      <c r="DW27" s="219"/>
      <c r="DX27" s="219"/>
      <c r="DY27" s="219"/>
      <c r="DZ27" s="219"/>
      <c r="EA27" s="219"/>
      <c r="EB27" s="219"/>
      <c r="EC27" s="219"/>
      <c r="ED27" s="219"/>
      <c r="EE27" s="219"/>
      <c r="EF27" s="219"/>
      <c r="EG27" s="219"/>
      <c r="EH27" s="219"/>
      <c r="EI27" s="219"/>
      <c r="EJ27" s="219"/>
      <c r="EK27" s="219"/>
      <c r="EL27" s="219"/>
      <c r="EM27" s="219"/>
      <c r="EN27" s="219"/>
      <c r="EO27" s="219"/>
      <c r="EP27" s="219"/>
      <c r="EQ27" s="219"/>
      <c r="ER27" s="219"/>
      <c r="ES27" s="219"/>
      <c r="ET27" s="219"/>
      <c r="EU27" s="219"/>
      <c r="EV27" s="219"/>
      <c r="EW27" s="219"/>
      <c r="EX27" s="219"/>
      <c r="EY27" s="219"/>
      <c r="EZ27" s="219"/>
      <c r="FA27" s="219"/>
      <c r="FB27" s="219"/>
      <c r="FC27" s="219"/>
      <c r="FD27" s="219"/>
      <c r="FE27" s="219"/>
      <c r="FF27" s="219"/>
      <c r="FG27" s="219"/>
      <c r="FH27" s="219"/>
      <c r="FI27" s="219"/>
      <c r="FJ27" s="219"/>
      <c r="FK27" s="219"/>
      <c r="FL27" s="219"/>
      <c r="FM27" s="219"/>
      <c r="FN27" s="219"/>
      <c r="FO27" s="219"/>
      <c r="FP27" s="219"/>
      <c r="FQ27" s="219"/>
      <c r="FR27" s="219"/>
      <c r="FS27" s="219"/>
      <c r="FT27" s="219"/>
      <c r="FU27" s="219"/>
      <c r="FV27" s="219"/>
      <c r="FW27" s="219"/>
      <c r="FX27" s="219"/>
      <c r="FY27" s="219"/>
      <c r="FZ27" s="219"/>
      <c r="GA27" s="219"/>
      <c r="GB27" s="2"/>
      <c r="GC27" s="2"/>
      <c r="GD27" s="219"/>
      <c r="GE27" s="219"/>
      <c r="GF27" s="219"/>
      <c r="GG27" s="219"/>
      <c r="GH27" s="219"/>
      <c r="GI27" s="219"/>
      <c r="GJ27" s="219"/>
      <c r="GK27" s="219"/>
      <c r="GL27" s="219"/>
      <c r="GM27" s="219"/>
    </row>
    <row r="28" spans="1:195" ht="6.95" customHeight="1" x14ac:dyDescent="0.15">
      <c r="A28" s="1"/>
      <c r="B28" s="1"/>
      <c r="C28" s="1"/>
      <c r="D28" s="1"/>
      <c r="E28" s="1"/>
      <c r="F28" s="112"/>
      <c r="G28" s="112"/>
      <c r="H28" s="112"/>
      <c r="I28" s="112"/>
      <c r="J28" s="112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220">
        <f>F26*Y28</f>
        <v>0</v>
      </c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3"/>
      <c r="AR28" s="3"/>
      <c r="AS28" s="3"/>
      <c r="AT28" s="4"/>
      <c r="AU28" s="4"/>
      <c r="AV28" s="4"/>
      <c r="AW28" s="94"/>
      <c r="AX28" s="94"/>
      <c r="AY28" s="94"/>
      <c r="AZ28" s="91"/>
      <c r="BA28" s="91"/>
      <c r="BB28" s="91"/>
      <c r="BC28" s="91"/>
      <c r="BD28" s="91"/>
      <c r="BE28" s="91"/>
      <c r="BF28" s="219"/>
      <c r="BG28" s="219"/>
      <c r="BH28" s="219"/>
      <c r="BI28" s="219"/>
      <c r="BJ28" s="219"/>
      <c r="BK28" s="219"/>
      <c r="BL28" s="219"/>
      <c r="BM28" s="219"/>
      <c r="BN28" s="219"/>
      <c r="BO28" s="219"/>
      <c r="BP28" s="219"/>
      <c r="BQ28" s="219"/>
      <c r="BR28" s="219"/>
      <c r="BS28" s="219"/>
      <c r="BT28" s="219"/>
      <c r="BU28" s="219"/>
      <c r="BV28" s="219"/>
      <c r="BW28" s="219"/>
      <c r="BX28" s="219"/>
      <c r="BY28" s="219"/>
      <c r="BZ28" s="219"/>
      <c r="CA28" s="219"/>
      <c r="CB28" s="219"/>
      <c r="CC28" s="219"/>
      <c r="CD28" s="219"/>
      <c r="CE28" s="219"/>
      <c r="CF28" s="219"/>
      <c r="CG28" s="219"/>
      <c r="CH28" s="219"/>
      <c r="CI28" s="219"/>
      <c r="CJ28" s="219"/>
      <c r="CK28" s="219"/>
      <c r="CL28" s="219"/>
      <c r="CM28" s="219"/>
      <c r="CN28" s="219"/>
      <c r="CO28" s="219"/>
      <c r="CP28" s="219"/>
      <c r="CQ28" s="219"/>
      <c r="CR28" s="219"/>
      <c r="CS28" s="219"/>
      <c r="CT28" s="219"/>
      <c r="CU28" s="219"/>
      <c r="CV28" s="219"/>
      <c r="CW28" s="219"/>
      <c r="CX28" s="219"/>
      <c r="CY28" s="219"/>
      <c r="CZ28" s="219"/>
      <c r="DA28" s="219"/>
      <c r="DB28" s="219"/>
      <c r="DC28" s="219"/>
      <c r="DD28" s="219"/>
      <c r="DE28" s="219"/>
      <c r="DF28" s="219"/>
      <c r="DG28" s="219"/>
      <c r="DH28" s="219"/>
      <c r="DI28" s="219"/>
      <c r="DJ28" s="219"/>
      <c r="DK28" s="219"/>
      <c r="DL28" s="219"/>
      <c r="DM28" s="219"/>
      <c r="DN28" s="219"/>
      <c r="DO28" s="219"/>
      <c r="DP28" s="219"/>
      <c r="DQ28" s="219"/>
      <c r="DR28" s="219"/>
      <c r="DS28" s="219"/>
      <c r="DT28" s="219"/>
      <c r="DU28" s="219"/>
      <c r="DV28" s="219"/>
      <c r="DW28" s="219"/>
      <c r="DX28" s="219"/>
      <c r="DY28" s="219"/>
      <c r="DZ28" s="219"/>
      <c r="EA28" s="219"/>
      <c r="EB28" s="219"/>
      <c r="EC28" s="219"/>
      <c r="ED28" s="219"/>
      <c r="EE28" s="219"/>
      <c r="EF28" s="219"/>
      <c r="EG28" s="219"/>
      <c r="EH28" s="219"/>
      <c r="EI28" s="219"/>
      <c r="EJ28" s="219"/>
      <c r="EK28" s="219"/>
      <c r="EL28" s="219"/>
      <c r="EM28" s="219"/>
      <c r="EN28" s="219"/>
      <c r="EO28" s="219"/>
      <c r="EP28" s="219"/>
      <c r="EQ28" s="219"/>
      <c r="ER28" s="219"/>
      <c r="ES28" s="219"/>
      <c r="ET28" s="219"/>
      <c r="EU28" s="219"/>
      <c r="EV28" s="219"/>
      <c r="EW28" s="219"/>
      <c r="EX28" s="219"/>
      <c r="EY28" s="219"/>
      <c r="EZ28" s="219"/>
      <c r="FA28" s="219"/>
      <c r="FB28" s="219"/>
      <c r="FC28" s="219"/>
      <c r="FD28" s="219"/>
      <c r="FE28" s="219"/>
      <c r="FF28" s="219"/>
      <c r="FG28" s="219"/>
      <c r="FH28" s="219"/>
      <c r="FI28" s="219"/>
      <c r="FJ28" s="219"/>
      <c r="FK28" s="219"/>
      <c r="FL28" s="219"/>
      <c r="FM28" s="219"/>
      <c r="FN28" s="219"/>
      <c r="FO28" s="219"/>
      <c r="FP28" s="219"/>
      <c r="FQ28" s="219"/>
      <c r="FR28" s="219"/>
      <c r="FS28" s="219"/>
      <c r="FT28" s="219"/>
      <c r="FU28" s="219"/>
      <c r="FV28" s="219"/>
      <c r="FW28" s="219"/>
      <c r="FX28" s="219"/>
      <c r="FY28" s="219"/>
      <c r="FZ28" s="219"/>
      <c r="GA28" s="219"/>
      <c r="GB28" s="2"/>
      <c r="GC28" s="2"/>
      <c r="GD28" s="219"/>
      <c r="GE28" s="219"/>
      <c r="GF28" s="219"/>
      <c r="GG28" s="219"/>
      <c r="GH28" s="219"/>
      <c r="GI28" s="219"/>
      <c r="GJ28" s="219"/>
      <c r="GK28" s="219"/>
      <c r="GL28" s="219"/>
      <c r="GM28" s="219"/>
    </row>
    <row r="29" spans="1:195" ht="6.95" customHeight="1" x14ac:dyDescent="0.15">
      <c r="A29" s="1"/>
      <c r="B29" s="1"/>
      <c r="C29" s="1"/>
      <c r="D29" s="1"/>
      <c r="E29" s="1"/>
      <c r="F29" s="112"/>
      <c r="G29" s="112"/>
      <c r="H29" s="112"/>
      <c r="I29" s="112"/>
      <c r="J29" s="112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220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3"/>
      <c r="AR29" s="3"/>
      <c r="AS29" s="94"/>
      <c r="AT29" s="94"/>
      <c r="AU29" s="94"/>
      <c r="AV29" s="4"/>
      <c r="AW29" s="4"/>
      <c r="AX29" s="4"/>
      <c r="AY29" s="4"/>
      <c r="AZ29" s="91"/>
      <c r="BA29" s="91"/>
      <c r="BB29" s="91"/>
      <c r="BC29" s="91"/>
      <c r="BD29" s="91"/>
      <c r="BE29" s="91"/>
      <c r="BF29" s="219"/>
      <c r="BG29" s="219"/>
      <c r="BH29" s="219"/>
      <c r="BI29" s="219"/>
      <c r="BJ29" s="219"/>
      <c r="BK29" s="219"/>
      <c r="BL29" s="219"/>
      <c r="BM29" s="219"/>
      <c r="BN29" s="219"/>
      <c r="BO29" s="219"/>
      <c r="BP29" s="219"/>
      <c r="BQ29" s="219"/>
      <c r="BR29" s="219"/>
      <c r="BS29" s="219"/>
      <c r="BT29" s="219"/>
      <c r="BU29" s="219"/>
      <c r="BV29" s="219"/>
      <c r="BW29" s="219"/>
      <c r="BX29" s="219"/>
      <c r="BY29" s="219"/>
      <c r="BZ29" s="219"/>
      <c r="CA29" s="219"/>
      <c r="CB29" s="219"/>
      <c r="CC29" s="219"/>
      <c r="CD29" s="219"/>
      <c r="CE29" s="219"/>
      <c r="CF29" s="219"/>
      <c r="CG29" s="219"/>
      <c r="CH29" s="219"/>
      <c r="CI29" s="219"/>
      <c r="CJ29" s="219"/>
      <c r="CK29" s="219"/>
      <c r="CL29" s="219"/>
      <c r="CM29" s="219"/>
      <c r="CN29" s="219"/>
      <c r="CO29" s="219"/>
      <c r="CP29" s="219"/>
      <c r="CQ29" s="219"/>
      <c r="CR29" s="219"/>
      <c r="CS29" s="219"/>
      <c r="CT29" s="219"/>
      <c r="CU29" s="219"/>
      <c r="CV29" s="219"/>
      <c r="CW29" s="219"/>
      <c r="CX29" s="219"/>
      <c r="CY29" s="219"/>
      <c r="CZ29" s="219"/>
      <c r="DA29" s="219"/>
      <c r="DB29" s="219"/>
      <c r="DC29" s="219"/>
      <c r="DD29" s="219"/>
      <c r="DE29" s="219"/>
      <c r="DF29" s="219"/>
      <c r="DG29" s="219"/>
      <c r="DH29" s="219"/>
      <c r="DI29" s="219"/>
      <c r="DJ29" s="219"/>
      <c r="DK29" s="219"/>
      <c r="DL29" s="219"/>
      <c r="DM29" s="219"/>
      <c r="DN29" s="219"/>
      <c r="DO29" s="219"/>
      <c r="DP29" s="219"/>
      <c r="DQ29" s="219"/>
      <c r="DR29" s="219"/>
      <c r="DS29" s="219"/>
      <c r="DT29" s="219"/>
      <c r="DU29" s="219"/>
      <c r="DV29" s="219"/>
      <c r="DW29" s="219"/>
      <c r="DX29" s="219"/>
      <c r="DY29" s="219"/>
      <c r="DZ29" s="219"/>
      <c r="EA29" s="219"/>
      <c r="EB29" s="219"/>
      <c r="EC29" s="219"/>
      <c r="ED29" s="219"/>
      <c r="EE29" s="219"/>
      <c r="EF29" s="219"/>
      <c r="EG29" s="219"/>
      <c r="EH29" s="219"/>
      <c r="EI29" s="219"/>
      <c r="EJ29" s="219"/>
      <c r="EK29" s="219"/>
      <c r="EL29" s="219"/>
      <c r="EM29" s="219"/>
      <c r="EN29" s="219"/>
      <c r="EO29" s="219"/>
      <c r="EP29" s="219"/>
      <c r="EQ29" s="219"/>
      <c r="ER29" s="219"/>
      <c r="ES29" s="219"/>
      <c r="ET29" s="219"/>
      <c r="EU29" s="219"/>
      <c r="EV29" s="219"/>
      <c r="EW29" s="219"/>
      <c r="EX29" s="219"/>
      <c r="EY29" s="219"/>
      <c r="EZ29" s="219"/>
      <c r="FA29" s="219"/>
      <c r="FB29" s="219"/>
      <c r="FC29" s="219"/>
      <c r="FD29" s="219"/>
      <c r="FE29" s="219"/>
      <c r="FF29" s="219"/>
      <c r="FG29" s="219"/>
      <c r="FH29" s="219"/>
      <c r="FI29" s="219"/>
      <c r="FJ29" s="219"/>
      <c r="FK29" s="219"/>
      <c r="FL29" s="219"/>
      <c r="FM29" s="219"/>
      <c r="FN29" s="219"/>
      <c r="FO29" s="219"/>
      <c r="FP29" s="219"/>
      <c r="FQ29" s="219"/>
      <c r="FR29" s="219"/>
      <c r="FS29" s="219"/>
      <c r="FT29" s="219"/>
      <c r="FU29" s="219"/>
      <c r="FV29" s="219"/>
      <c r="FW29" s="219"/>
      <c r="FX29" s="219"/>
      <c r="FY29" s="219"/>
      <c r="FZ29" s="219"/>
      <c r="GA29" s="219"/>
      <c r="GB29" s="2"/>
      <c r="GC29" s="2"/>
      <c r="GD29" s="219"/>
      <c r="GE29" s="219"/>
      <c r="GF29" s="219"/>
      <c r="GG29" s="219"/>
      <c r="GH29" s="219"/>
      <c r="GI29" s="219"/>
      <c r="GJ29" s="219"/>
      <c r="GK29" s="219"/>
      <c r="GL29" s="219"/>
      <c r="GM29" s="219"/>
    </row>
    <row r="30" spans="1:195" ht="6.95" customHeight="1" x14ac:dyDescent="0.15">
      <c r="A30" s="1"/>
      <c r="B30" s="1"/>
      <c r="C30" s="1"/>
      <c r="D30" s="1"/>
      <c r="E30" s="1"/>
      <c r="F30" s="113"/>
      <c r="G30" s="113"/>
      <c r="H30" s="113"/>
      <c r="I30" s="113"/>
      <c r="J30" s="113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220">
        <f>F26*Y30</f>
        <v>0</v>
      </c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3"/>
      <c r="AR30" s="3"/>
      <c r="AS30" s="94"/>
      <c r="AT30" s="94"/>
      <c r="AU30" s="94"/>
      <c r="AV30" s="4"/>
      <c r="AW30" s="4"/>
      <c r="AX30" s="4"/>
      <c r="AY30" s="4"/>
      <c r="AZ30" s="91"/>
      <c r="BA30" s="91"/>
      <c r="BB30" s="91"/>
      <c r="BC30" s="91"/>
      <c r="BD30" s="91"/>
      <c r="BE30" s="91"/>
      <c r="BF30" s="219"/>
      <c r="BG30" s="219"/>
      <c r="BH30" s="219"/>
      <c r="BI30" s="219"/>
      <c r="BJ30" s="219"/>
      <c r="BK30" s="219"/>
      <c r="BL30" s="219"/>
      <c r="BM30" s="219"/>
      <c r="BN30" s="219"/>
      <c r="BO30" s="219"/>
      <c r="BP30" s="219"/>
      <c r="BQ30" s="219"/>
      <c r="BR30" s="219"/>
      <c r="BS30" s="219"/>
      <c r="BT30" s="219"/>
      <c r="BU30" s="219"/>
      <c r="BV30" s="219"/>
      <c r="BW30" s="219"/>
      <c r="BX30" s="219"/>
      <c r="BY30" s="219"/>
      <c r="BZ30" s="219"/>
      <c r="CA30" s="219"/>
      <c r="CB30" s="219"/>
      <c r="CC30" s="219"/>
      <c r="CD30" s="219"/>
      <c r="CE30" s="219"/>
      <c r="CF30" s="219"/>
      <c r="CG30" s="219"/>
      <c r="CH30" s="219"/>
      <c r="CI30" s="219"/>
      <c r="CJ30" s="219"/>
      <c r="CK30" s="219"/>
      <c r="CL30" s="219"/>
      <c r="CM30" s="219"/>
      <c r="CN30" s="219"/>
      <c r="CO30" s="219"/>
      <c r="CP30" s="219"/>
      <c r="CQ30" s="219"/>
      <c r="CR30" s="219"/>
      <c r="CS30" s="219"/>
      <c r="CT30" s="219"/>
      <c r="CU30" s="219"/>
      <c r="CV30" s="219"/>
      <c r="CW30" s="219"/>
      <c r="CX30" s="219"/>
      <c r="CY30" s="219"/>
      <c r="CZ30" s="219"/>
      <c r="DA30" s="219"/>
      <c r="DB30" s="219"/>
      <c r="DC30" s="219"/>
      <c r="DD30" s="219"/>
      <c r="DE30" s="219"/>
      <c r="DF30" s="219"/>
      <c r="DG30" s="219"/>
      <c r="DH30" s="219"/>
      <c r="DI30" s="219"/>
      <c r="DJ30" s="219"/>
      <c r="DK30" s="219"/>
      <c r="DL30" s="219"/>
      <c r="DM30" s="219"/>
      <c r="DN30" s="219"/>
      <c r="DO30" s="219"/>
      <c r="DP30" s="219"/>
      <c r="DQ30" s="219"/>
      <c r="DR30" s="219"/>
      <c r="DS30" s="219"/>
      <c r="DT30" s="219"/>
      <c r="DU30" s="219"/>
      <c r="DV30" s="219"/>
      <c r="DW30" s="219"/>
      <c r="DX30" s="219"/>
      <c r="DY30" s="219"/>
      <c r="DZ30" s="219"/>
      <c r="EA30" s="219"/>
      <c r="EB30" s="219"/>
      <c r="EC30" s="219"/>
      <c r="ED30" s="219"/>
      <c r="EE30" s="219"/>
      <c r="EF30" s="219"/>
      <c r="EG30" s="219"/>
      <c r="EH30" s="219"/>
      <c r="EI30" s="219"/>
      <c r="EJ30" s="219"/>
      <c r="EK30" s="219"/>
      <c r="EL30" s="219"/>
      <c r="EM30" s="219"/>
      <c r="EN30" s="219"/>
      <c r="EO30" s="219"/>
      <c r="EP30" s="219"/>
      <c r="EQ30" s="219"/>
      <c r="ER30" s="219"/>
      <c r="ES30" s="219"/>
      <c r="ET30" s="219"/>
      <c r="EU30" s="219"/>
      <c r="EV30" s="219"/>
      <c r="EW30" s="219"/>
      <c r="EX30" s="219"/>
      <c r="EY30" s="219"/>
      <c r="EZ30" s="219"/>
      <c r="FA30" s="219"/>
      <c r="FB30" s="219"/>
      <c r="FC30" s="219"/>
      <c r="FD30" s="219"/>
      <c r="FE30" s="219"/>
      <c r="FF30" s="219"/>
      <c r="FG30" s="219"/>
      <c r="FH30" s="219"/>
      <c r="FI30" s="219"/>
      <c r="FJ30" s="219"/>
      <c r="FK30" s="219"/>
      <c r="FL30" s="219"/>
      <c r="FM30" s="219"/>
      <c r="FN30" s="219"/>
      <c r="FO30" s="219"/>
      <c r="FP30" s="219"/>
      <c r="FQ30" s="219"/>
      <c r="FR30" s="219"/>
      <c r="FS30" s="219"/>
      <c r="FT30" s="219"/>
      <c r="FU30" s="219"/>
      <c r="FV30" s="219"/>
      <c r="FW30" s="219"/>
      <c r="FX30" s="219"/>
      <c r="FY30" s="219"/>
      <c r="FZ30" s="219"/>
      <c r="GA30" s="219"/>
      <c r="GB30" s="2"/>
      <c r="GC30" s="2"/>
      <c r="GD30" s="219"/>
      <c r="GE30" s="219"/>
      <c r="GF30" s="219"/>
      <c r="GG30" s="219"/>
      <c r="GH30" s="219"/>
      <c r="GI30" s="219"/>
      <c r="GJ30" s="219"/>
      <c r="GK30" s="219"/>
      <c r="GL30" s="219"/>
      <c r="GM30" s="219"/>
    </row>
    <row r="31" spans="1:195" ht="6.95" customHeight="1" x14ac:dyDescent="0.15">
      <c r="A31" s="1"/>
      <c r="B31" s="1"/>
      <c r="C31" s="1"/>
      <c r="D31" s="1"/>
      <c r="E31" s="1"/>
      <c r="F31" s="113"/>
      <c r="G31" s="113"/>
      <c r="H31" s="113"/>
      <c r="I31" s="113"/>
      <c r="J31" s="113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220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219"/>
      <c r="BG31" s="219"/>
      <c r="BH31" s="219"/>
      <c r="BI31" s="219"/>
      <c r="BJ31" s="219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X31" s="219"/>
      <c r="BY31" s="219"/>
      <c r="BZ31" s="219"/>
      <c r="CA31" s="219"/>
      <c r="CB31" s="219"/>
      <c r="CC31" s="219"/>
      <c r="CD31" s="219"/>
      <c r="CE31" s="219"/>
      <c r="CF31" s="219"/>
      <c r="CG31" s="219"/>
      <c r="CH31" s="219"/>
      <c r="CI31" s="219"/>
      <c r="CJ31" s="219"/>
      <c r="CK31" s="219"/>
      <c r="CL31" s="219"/>
      <c r="CM31" s="219"/>
      <c r="CN31" s="219"/>
      <c r="CO31" s="219"/>
      <c r="CP31" s="219"/>
      <c r="CQ31" s="219"/>
      <c r="CR31" s="219"/>
      <c r="CS31" s="219"/>
      <c r="CT31" s="219"/>
      <c r="CU31" s="219"/>
      <c r="CV31" s="219"/>
      <c r="CW31" s="219"/>
      <c r="CX31" s="219"/>
      <c r="CY31" s="219"/>
      <c r="CZ31" s="219"/>
      <c r="DA31" s="219"/>
      <c r="DB31" s="219"/>
      <c r="DC31" s="219"/>
      <c r="DD31" s="219"/>
      <c r="DE31" s="219"/>
      <c r="DF31" s="219"/>
      <c r="DG31" s="219"/>
      <c r="DH31" s="219"/>
      <c r="DI31" s="219"/>
      <c r="DJ31" s="219"/>
      <c r="DK31" s="219"/>
      <c r="DL31" s="219"/>
      <c r="DM31" s="219"/>
      <c r="DN31" s="219"/>
      <c r="DO31" s="219"/>
      <c r="DP31" s="219"/>
      <c r="DQ31" s="219"/>
      <c r="DR31" s="219"/>
      <c r="DS31" s="219"/>
      <c r="DT31" s="219"/>
      <c r="DU31" s="219"/>
      <c r="DV31" s="219"/>
      <c r="DW31" s="219"/>
      <c r="DX31" s="219"/>
      <c r="DY31" s="219"/>
      <c r="DZ31" s="219"/>
      <c r="EA31" s="219"/>
      <c r="EB31" s="219"/>
      <c r="EC31" s="219"/>
      <c r="ED31" s="219"/>
      <c r="EE31" s="219"/>
      <c r="EF31" s="219"/>
      <c r="EG31" s="219"/>
      <c r="EH31" s="219"/>
      <c r="EI31" s="219"/>
      <c r="EJ31" s="219"/>
      <c r="EK31" s="219"/>
      <c r="EL31" s="219"/>
      <c r="EM31" s="219"/>
      <c r="EN31" s="219"/>
      <c r="EO31" s="219"/>
      <c r="EP31" s="219"/>
      <c r="EQ31" s="219"/>
      <c r="ER31" s="219"/>
      <c r="ES31" s="219"/>
      <c r="ET31" s="219"/>
      <c r="EU31" s="219"/>
      <c r="EV31" s="219"/>
      <c r="EW31" s="219"/>
      <c r="EX31" s="219"/>
      <c r="EY31" s="219"/>
      <c r="EZ31" s="219"/>
      <c r="FA31" s="219"/>
      <c r="FB31" s="219"/>
      <c r="FC31" s="219"/>
      <c r="FD31" s="219"/>
      <c r="FE31" s="219"/>
      <c r="FF31" s="219"/>
      <c r="FG31" s="219"/>
      <c r="FH31" s="219"/>
      <c r="FI31" s="219"/>
      <c r="FJ31" s="219"/>
      <c r="FK31" s="219"/>
      <c r="FL31" s="219"/>
      <c r="FM31" s="219"/>
      <c r="FN31" s="219"/>
      <c r="FO31" s="219"/>
      <c r="FP31" s="219"/>
      <c r="FQ31" s="219"/>
      <c r="FR31" s="219"/>
      <c r="FS31" s="219"/>
      <c r="FT31" s="219"/>
      <c r="FU31" s="219"/>
      <c r="FV31" s="219"/>
      <c r="FW31" s="219"/>
      <c r="FX31" s="219"/>
      <c r="FY31" s="219"/>
      <c r="FZ31" s="219"/>
      <c r="GA31" s="219"/>
      <c r="GB31" s="2"/>
      <c r="GC31" s="2"/>
      <c r="GD31" s="219"/>
      <c r="GE31" s="219"/>
      <c r="GF31" s="219"/>
      <c r="GG31" s="219"/>
      <c r="GH31" s="219"/>
      <c r="GI31" s="219"/>
      <c r="GJ31" s="219"/>
      <c r="GK31" s="219"/>
      <c r="GL31" s="219"/>
      <c r="GM31" s="219"/>
    </row>
    <row r="32" spans="1:195" ht="6.95" customHeight="1" x14ac:dyDescent="0.1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219"/>
      <c r="BG32" s="219"/>
      <c r="BH32" s="219"/>
      <c r="BI32" s="219"/>
      <c r="BJ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X32" s="219"/>
      <c r="BY32" s="219"/>
      <c r="BZ32" s="219"/>
      <c r="CA32" s="219"/>
      <c r="CB32" s="219"/>
      <c r="CC32" s="219"/>
      <c r="CD32" s="219"/>
      <c r="CE32" s="219"/>
      <c r="CF32" s="219"/>
      <c r="CG32" s="219"/>
      <c r="CH32" s="219"/>
      <c r="CI32" s="219"/>
      <c r="CJ32" s="219"/>
      <c r="CK32" s="219"/>
      <c r="CL32" s="219"/>
      <c r="CM32" s="219"/>
      <c r="CN32" s="219"/>
      <c r="CO32" s="219"/>
      <c r="CP32" s="219"/>
      <c r="CQ32" s="219"/>
      <c r="CR32" s="219"/>
      <c r="CS32" s="219"/>
      <c r="CT32" s="219"/>
      <c r="CU32" s="219"/>
      <c r="CV32" s="219"/>
      <c r="CW32" s="219"/>
      <c r="CX32" s="219"/>
      <c r="CY32" s="219"/>
      <c r="CZ32" s="219"/>
      <c r="DA32" s="219"/>
      <c r="DB32" s="219"/>
      <c r="DC32" s="219"/>
      <c r="DD32" s="219"/>
      <c r="DE32" s="219"/>
      <c r="DF32" s="219"/>
      <c r="DG32" s="219"/>
      <c r="DH32" s="219"/>
      <c r="DI32" s="219"/>
      <c r="DJ32" s="219"/>
      <c r="DK32" s="219"/>
      <c r="DL32" s="219"/>
      <c r="DM32" s="219"/>
      <c r="DN32" s="219"/>
      <c r="DO32" s="219"/>
      <c r="DP32" s="219"/>
      <c r="DQ32" s="219"/>
      <c r="DR32" s="219"/>
      <c r="DS32" s="219"/>
      <c r="DT32" s="219"/>
      <c r="DU32" s="219"/>
      <c r="DV32" s="219"/>
      <c r="DW32" s="219"/>
      <c r="DX32" s="219"/>
      <c r="DY32" s="219"/>
      <c r="DZ32" s="219"/>
      <c r="EA32" s="219"/>
      <c r="EB32" s="219"/>
      <c r="EC32" s="219"/>
      <c r="ED32" s="219"/>
      <c r="EE32" s="219"/>
      <c r="EF32" s="219"/>
      <c r="EG32" s="219"/>
      <c r="EH32" s="219"/>
      <c r="EI32" s="219"/>
      <c r="EJ32" s="219"/>
      <c r="EK32" s="219"/>
      <c r="EL32" s="219"/>
      <c r="EM32" s="219"/>
      <c r="EN32" s="219"/>
      <c r="EO32" s="219"/>
      <c r="EP32" s="219"/>
      <c r="EQ32" s="219"/>
      <c r="ER32" s="219"/>
      <c r="ES32" s="219"/>
      <c r="ET32" s="219"/>
      <c r="EU32" s="219"/>
      <c r="EV32" s="219"/>
      <c r="EW32" s="219"/>
      <c r="EX32" s="219"/>
      <c r="EY32" s="219"/>
      <c r="EZ32" s="219"/>
      <c r="FA32" s="219"/>
      <c r="FB32" s="219"/>
      <c r="FC32" s="219"/>
      <c r="FD32" s="219"/>
      <c r="FE32" s="219"/>
      <c r="FF32" s="219"/>
      <c r="FG32" s="219"/>
      <c r="FH32" s="219"/>
      <c r="FI32" s="219"/>
      <c r="FJ32" s="219"/>
      <c r="FK32" s="219"/>
      <c r="FL32" s="219"/>
      <c r="FM32" s="219"/>
      <c r="FN32" s="219"/>
      <c r="FO32" s="219"/>
      <c r="FP32" s="219"/>
      <c r="FQ32" s="219"/>
      <c r="FR32" s="219"/>
      <c r="FS32" s="219"/>
      <c r="FT32" s="219"/>
      <c r="FU32" s="219"/>
      <c r="FV32" s="219"/>
      <c r="FW32" s="219"/>
      <c r="FX32" s="219"/>
      <c r="FY32" s="219"/>
      <c r="FZ32" s="219"/>
      <c r="GA32" s="219"/>
      <c r="GB32" s="2"/>
      <c r="GC32" s="2"/>
      <c r="GD32" s="219"/>
      <c r="GE32" s="219"/>
      <c r="GF32" s="219"/>
      <c r="GG32" s="219"/>
      <c r="GH32" s="219"/>
      <c r="GI32" s="219"/>
      <c r="GJ32" s="219"/>
      <c r="GK32" s="219"/>
      <c r="GL32" s="219"/>
      <c r="GM32" s="219"/>
    </row>
    <row r="33" spans="1:195" ht="6.95" customHeight="1" x14ac:dyDescent="0.15">
      <c r="A33" s="1"/>
      <c r="B33" s="1"/>
      <c r="C33" s="1"/>
      <c r="D33" s="1"/>
      <c r="E33" s="1"/>
      <c r="F33" s="112"/>
      <c r="G33" s="112"/>
      <c r="H33" s="112"/>
      <c r="I33" s="112"/>
      <c r="J33" s="112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220">
        <f>F33*Y33</f>
        <v>0</v>
      </c>
      <c r="AD33" s="91"/>
      <c r="AE33" s="91"/>
      <c r="AF33" s="91"/>
      <c r="AG33" s="91"/>
      <c r="AH33" s="91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219"/>
      <c r="BG33" s="219"/>
      <c r="BH33" s="219"/>
      <c r="BI33" s="219"/>
      <c r="BJ33" s="219"/>
      <c r="BK33" s="219"/>
      <c r="BL33" s="219"/>
      <c r="BM33" s="219"/>
      <c r="BN33" s="219"/>
      <c r="BO33" s="219"/>
      <c r="BP33" s="219"/>
      <c r="BQ33" s="219"/>
      <c r="BR33" s="219"/>
      <c r="BS33" s="219"/>
      <c r="BT33" s="219"/>
      <c r="BU33" s="219"/>
      <c r="BV33" s="219"/>
      <c r="BW33" s="219"/>
      <c r="BX33" s="219"/>
      <c r="BY33" s="219"/>
      <c r="BZ33" s="219"/>
      <c r="CA33" s="219"/>
      <c r="CB33" s="219"/>
      <c r="CC33" s="219"/>
      <c r="CD33" s="219"/>
      <c r="CE33" s="219"/>
      <c r="CF33" s="219"/>
      <c r="CG33" s="219"/>
      <c r="CH33" s="219"/>
      <c r="CI33" s="219"/>
      <c r="CJ33" s="219"/>
      <c r="CK33" s="219"/>
      <c r="CL33" s="219"/>
      <c r="CM33" s="219"/>
      <c r="CN33" s="219"/>
      <c r="CO33" s="219"/>
      <c r="CP33" s="219"/>
      <c r="CQ33" s="219"/>
      <c r="CR33" s="219"/>
      <c r="CS33" s="219"/>
      <c r="CT33" s="219"/>
      <c r="CU33" s="219"/>
      <c r="CV33" s="219"/>
      <c r="CW33" s="219"/>
      <c r="CX33" s="219"/>
      <c r="CY33" s="219"/>
      <c r="CZ33" s="219"/>
      <c r="DA33" s="219"/>
      <c r="DB33" s="219"/>
      <c r="DC33" s="219"/>
      <c r="DD33" s="219"/>
      <c r="DE33" s="219"/>
      <c r="DF33" s="219"/>
      <c r="DG33" s="219"/>
      <c r="DH33" s="219"/>
      <c r="DI33" s="219"/>
      <c r="DJ33" s="219"/>
      <c r="DK33" s="219"/>
      <c r="DL33" s="219"/>
      <c r="DM33" s="219"/>
      <c r="DN33" s="219"/>
      <c r="DO33" s="219"/>
      <c r="DP33" s="219"/>
      <c r="DQ33" s="219"/>
      <c r="DR33" s="219"/>
      <c r="DS33" s="219"/>
      <c r="DT33" s="219"/>
      <c r="DU33" s="219"/>
      <c r="DV33" s="219"/>
      <c r="DW33" s="219"/>
      <c r="DX33" s="219"/>
      <c r="DY33" s="219"/>
      <c r="DZ33" s="219"/>
      <c r="EA33" s="219"/>
      <c r="EB33" s="219"/>
      <c r="EC33" s="219"/>
      <c r="ED33" s="219"/>
      <c r="EE33" s="219"/>
      <c r="EF33" s="219"/>
      <c r="EG33" s="219"/>
      <c r="EH33" s="219"/>
      <c r="EI33" s="219"/>
      <c r="EJ33" s="219"/>
      <c r="EK33" s="219"/>
      <c r="EL33" s="219"/>
      <c r="EM33" s="219"/>
      <c r="EN33" s="219"/>
      <c r="EO33" s="219"/>
      <c r="EP33" s="219"/>
      <c r="EQ33" s="219"/>
      <c r="ER33" s="219"/>
      <c r="ES33" s="219"/>
      <c r="ET33" s="219"/>
      <c r="EU33" s="219"/>
      <c r="EV33" s="219"/>
      <c r="EW33" s="219"/>
      <c r="EX33" s="219"/>
      <c r="EY33" s="219"/>
      <c r="EZ33" s="219"/>
      <c r="FA33" s="219"/>
      <c r="FB33" s="219"/>
      <c r="FC33" s="219"/>
      <c r="FD33" s="219"/>
      <c r="FE33" s="219"/>
      <c r="FF33" s="219"/>
      <c r="FG33" s="219"/>
      <c r="FH33" s="219"/>
      <c r="FI33" s="219"/>
      <c r="FJ33" s="219"/>
      <c r="FK33" s="219"/>
      <c r="FL33" s="219"/>
      <c r="FM33" s="219"/>
      <c r="FN33" s="219"/>
      <c r="FO33" s="219"/>
      <c r="FP33" s="219"/>
      <c r="FQ33" s="219"/>
      <c r="FR33" s="219"/>
      <c r="FS33" s="219"/>
      <c r="FT33" s="219"/>
      <c r="FU33" s="219"/>
      <c r="FV33" s="219"/>
      <c r="FW33" s="219"/>
      <c r="FX33" s="219"/>
      <c r="FY33" s="219"/>
      <c r="FZ33" s="219"/>
      <c r="GA33" s="219"/>
      <c r="GB33" s="2"/>
      <c r="GC33" s="2"/>
      <c r="GD33" s="219"/>
      <c r="GE33" s="219"/>
      <c r="GF33" s="219"/>
      <c r="GG33" s="219"/>
      <c r="GH33" s="219"/>
      <c r="GI33" s="219"/>
      <c r="GJ33" s="219"/>
      <c r="GK33" s="219"/>
      <c r="GL33" s="219"/>
      <c r="GM33" s="219"/>
    </row>
    <row r="34" spans="1:195" ht="6.95" customHeight="1" x14ac:dyDescent="0.15">
      <c r="A34" s="1"/>
      <c r="B34" s="1"/>
      <c r="C34" s="1"/>
      <c r="D34" s="1"/>
      <c r="E34" s="1"/>
      <c r="F34" s="112"/>
      <c r="G34" s="112"/>
      <c r="H34" s="112"/>
      <c r="I34" s="112"/>
      <c r="J34" s="112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220"/>
      <c r="AD34" s="91"/>
      <c r="AE34" s="91"/>
      <c r="AF34" s="91"/>
      <c r="AG34" s="91"/>
      <c r="AH34" s="91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219"/>
      <c r="BG34" s="219"/>
      <c r="BH34" s="219"/>
      <c r="BI34" s="219"/>
      <c r="BJ34" s="219"/>
      <c r="BK34" s="219"/>
      <c r="BL34" s="219"/>
      <c r="BM34" s="219"/>
      <c r="BN34" s="219"/>
      <c r="BO34" s="219"/>
      <c r="BP34" s="219"/>
      <c r="BQ34" s="219"/>
      <c r="BR34" s="219"/>
      <c r="BS34" s="219"/>
      <c r="BT34" s="219"/>
      <c r="BU34" s="219"/>
      <c r="BV34" s="219"/>
      <c r="BW34" s="219"/>
      <c r="BX34" s="219"/>
      <c r="BY34" s="219"/>
      <c r="BZ34" s="219"/>
      <c r="CA34" s="219"/>
      <c r="CB34" s="219"/>
      <c r="CC34" s="219"/>
      <c r="CD34" s="219"/>
      <c r="CE34" s="219"/>
      <c r="CF34" s="219"/>
      <c r="CG34" s="219"/>
      <c r="CH34" s="219"/>
      <c r="CI34" s="219"/>
      <c r="CJ34" s="219"/>
      <c r="CK34" s="219"/>
      <c r="CL34" s="219"/>
      <c r="CM34" s="219"/>
      <c r="CN34" s="219"/>
      <c r="CO34" s="219"/>
      <c r="CP34" s="219"/>
      <c r="CQ34" s="219"/>
      <c r="CR34" s="219"/>
      <c r="CS34" s="219"/>
      <c r="CT34" s="219"/>
      <c r="CU34" s="219"/>
      <c r="CV34" s="219"/>
      <c r="CW34" s="219"/>
      <c r="CX34" s="219"/>
      <c r="CY34" s="219"/>
      <c r="CZ34" s="219"/>
      <c r="DA34" s="219"/>
      <c r="DB34" s="219"/>
      <c r="DC34" s="219"/>
      <c r="DD34" s="219"/>
      <c r="DE34" s="219"/>
      <c r="DF34" s="219"/>
      <c r="DG34" s="219"/>
      <c r="DH34" s="219"/>
      <c r="DI34" s="219"/>
      <c r="DJ34" s="219"/>
      <c r="DK34" s="219"/>
      <c r="DL34" s="219"/>
      <c r="DM34" s="219"/>
      <c r="DN34" s="219"/>
      <c r="DO34" s="219"/>
      <c r="DP34" s="219"/>
      <c r="DQ34" s="219"/>
      <c r="DR34" s="219"/>
      <c r="DS34" s="219"/>
      <c r="DT34" s="219"/>
      <c r="DU34" s="219"/>
      <c r="DV34" s="219"/>
      <c r="DW34" s="219"/>
      <c r="DX34" s="219"/>
      <c r="DY34" s="219"/>
      <c r="DZ34" s="219"/>
      <c r="EA34" s="219"/>
      <c r="EB34" s="219"/>
      <c r="EC34" s="219"/>
      <c r="ED34" s="219"/>
      <c r="EE34" s="219"/>
      <c r="EF34" s="219"/>
      <c r="EG34" s="219"/>
      <c r="EH34" s="219"/>
      <c r="EI34" s="219"/>
      <c r="EJ34" s="219"/>
      <c r="EK34" s="219"/>
      <c r="EL34" s="219"/>
      <c r="EM34" s="219"/>
      <c r="EN34" s="219"/>
      <c r="EO34" s="219"/>
      <c r="EP34" s="219"/>
      <c r="EQ34" s="219"/>
      <c r="ER34" s="219"/>
      <c r="ES34" s="219"/>
      <c r="ET34" s="219"/>
      <c r="EU34" s="219"/>
      <c r="EV34" s="219"/>
      <c r="EW34" s="219"/>
      <c r="EX34" s="219"/>
      <c r="EY34" s="219"/>
      <c r="EZ34" s="219"/>
      <c r="FA34" s="219"/>
      <c r="FB34" s="219"/>
      <c r="FC34" s="219"/>
      <c r="FD34" s="219"/>
      <c r="FE34" s="219"/>
      <c r="FF34" s="219"/>
      <c r="FG34" s="219"/>
      <c r="FH34" s="219"/>
      <c r="FI34" s="219"/>
      <c r="FJ34" s="219"/>
      <c r="FK34" s="219"/>
      <c r="FL34" s="219"/>
      <c r="FM34" s="219"/>
      <c r="FN34" s="219"/>
      <c r="FO34" s="219"/>
      <c r="FP34" s="219"/>
      <c r="FQ34" s="219"/>
      <c r="FR34" s="219"/>
      <c r="FS34" s="219"/>
      <c r="FT34" s="219"/>
      <c r="FU34" s="219"/>
      <c r="FV34" s="219"/>
      <c r="FW34" s="219"/>
      <c r="FX34" s="219"/>
      <c r="FY34" s="219"/>
      <c r="FZ34" s="219"/>
      <c r="GA34" s="219"/>
      <c r="GB34" s="2"/>
      <c r="GC34" s="2"/>
      <c r="GD34" s="219"/>
      <c r="GE34" s="219"/>
      <c r="GF34" s="219"/>
      <c r="GG34" s="219"/>
      <c r="GH34" s="219"/>
      <c r="GI34" s="219"/>
      <c r="GJ34" s="219"/>
      <c r="GK34" s="219"/>
      <c r="GL34" s="219"/>
      <c r="GM34" s="219"/>
    </row>
    <row r="35" spans="1:195" ht="6.95" customHeight="1" x14ac:dyDescent="0.15">
      <c r="A35" s="1"/>
      <c r="B35" s="1"/>
      <c r="C35" s="1"/>
      <c r="D35" s="1"/>
      <c r="E35" s="1"/>
      <c r="F35" s="112"/>
      <c r="G35" s="112"/>
      <c r="H35" s="112"/>
      <c r="I35" s="112"/>
      <c r="J35" s="112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220">
        <f>F33*Y35</f>
        <v>0</v>
      </c>
      <c r="AD35" s="91"/>
      <c r="AE35" s="91"/>
      <c r="AF35" s="91"/>
      <c r="AG35" s="91"/>
      <c r="AH35" s="91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219"/>
      <c r="BG35" s="219"/>
      <c r="BH35" s="219"/>
      <c r="BI35" s="219"/>
      <c r="BJ35" s="219"/>
      <c r="BK35" s="219"/>
      <c r="BL35" s="219"/>
      <c r="BM35" s="219"/>
      <c r="BN35" s="219"/>
      <c r="BO35" s="219"/>
      <c r="BP35" s="219"/>
      <c r="BQ35" s="219"/>
      <c r="BR35" s="219"/>
      <c r="BS35" s="219"/>
      <c r="BT35" s="219"/>
      <c r="BU35" s="219"/>
      <c r="BV35" s="219"/>
      <c r="BW35" s="219"/>
      <c r="BX35" s="219"/>
      <c r="BY35" s="219"/>
      <c r="BZ35" s="219"/>
      <c r="CA35" s="219"/>
      <c r="CB35" s="219"/>
      <c r="CC35" s="219"/>
      <c r="CD35" s="219"/>
      <c r="CE35" s="219"/>
      <c r="CF35" s="219"/>
      <c r="CG35" s="219"/>
      <c r="CH35" s="219"/>
      <c r="CI35" s="219"/>
      <c r="CJ35" s="219"/>
      <c r="CK35" s="219"/>
      <c r="CL35" s="219"/>
      <c r="CM35" s="219"/>
      <c r="CN35" s="219"/>
      <c r="CO35" s="219"/>
      <c r="CP35" s="219"/>
      <c r="CQ35" s="219"/>
      <c r="CR35" s="219"/>
      <c r="CS35" s="219"/>
      <c r="CT35" s="219"/>
      <c r="CU35" s="219"/>
      <c r="CV35" s="219"/>
      <c r="CW35" s="219"/>
      <c r="CX35" s="219"/>
      <c r="CY35" s="219"/>
      <c r="CZ35" s="219"/>
      <c r="DA35" s="219"/>
      <c r="DB35" s="219"/>
      <c r="DC35" s="219"/>
      <c r="DD35" s="219"/>
      <c r="DE35" s="219"/>
      <c r="DF35" s="219"/>
      <c r="DG35" s="219"/>
      <c r="DH35" s="219"/>
      <c r="DI35" s="219"/>
      <c r="DJ35" s="219"/>
      <c r="DK35" s="219"/>
      <c r="DL35" s="219"/>
      <c r="DM35" s="219"/>
      <c r="DN35" s="219"/>
      <c r="DO35" s="219"/>
      <c r="DP35" s="219"/>
      <c r="DQ35" s="219"/>
      <c r="DR35" s="219"/>
      <c r="DS35" s="219"/>
      <c r="DT35" s="219"/>
      <c r="DU35" s="219"/>
      <c r="DV35" s="219"/>
      <c r="DW35" s="219"/>
      <c r="DX35" s="219"/>
      <c r="DY35" s="219"/>
      <c r="DZ35" s="219"/>
      <c r="EA35" s="219"/>
      <c r="EB35" s="219"/>
      <c r="EC35" s="219"/>
      <c r="ED35" s="219"/>
      <c r="EE35" s="219"/>
      <c r="EF35" s="219"/>
      <c r="EG35" s="219"/>
      <c r="EH35" s="219"/>
      <c r="EI35" s="219"/>
      <c r="EJ35" s="219"/>
      <c r="EK35" s="219"/>
      <c r="EL35" s="219"/>
      <c r="EM35" s="219"/>
      <c r="EN35" s="219"/>
      <c r="EO35" s="219"/>
      <c r="EP35" s="219"/>
      <c r="EQ35" s="219"/>
      <c r="ER35" s="219"/>
      <c r="ES35" s="219"/>
      <c r="ET35" s="219"/>
      <c r="EU35" s="219"/>
      <c r="EV35" s="219"/>
      <c r="EW35" s="219"/>
      <c r="EX35" s="219"/>
      <c r="EY35" s="219"/>
      <c r="EZ35" s="219"/>
      <c r="FA35" s="219"/>
      <c r="FB35" s="219"/>
      <c r="FC35" s="219"/>
      <c r="FD35" s="219"/>
      <c r="FE35" s="219"/>
      <c r="FF35" s="219"/>
      <c r="FG35" s="219"/>
      <c r="FH35" s="219"/>
      <c r="FI35" s="219"/>
      <c r="FJ35" s="219"/>
      <c r="FK35" s="219"/>
      <c r="FL35" s="219"/>
      <c r="FM35" s="219"/>
      <c r="FN35" s="219"/>
      <c r="FO35" s="219"/>
      <c r="FP35" s="219"/>
      <c r="FQ35" s="219"/>
      <c r="FR35" s="219"/>
      <c r="FS35" s="219"/>
      <c r="FT35" s="219"/>
      <c r="FU35" s="219"/>
      <c r="FV35" s="219"/>
      <c r="FW35" s="219"/>
      <c r="FX35" s="219"/>
      <c r="FY35" s="219"/>
      <c r="FZ35" s="219"/>
      <c r="GA35" s="219"/>
      <c r="GB35" s="2"/>
      <c r="GC35" s="2"/>
      <c r="GD35" s="219"/>
      <c r="GE35" s="219"/>
      <c r="GF35" s="219"/>
      <c r="GG35" s="219"/>
      <c r="GH35" s="219"/>
      <c r="GI35" s="219"/>
      <c r="GJ35" s="219"/>
      <c r="GK35" s="219"/>
      <c r="GL35" s="219"/>
      <c r="GM35" s="219"/>
    </row>
    <row r="36" spans="1:195" ht="6.95" customHeight="1" x14ac:dyDescent="0.15">
      <c r="A36" s="1"/>
      <c r="B36" s="1"/>
      <c r="C36" s="1"/>
      <c r="D36" s="1"/>
      <c r="E36" s="1"/>
      <c r="F36" s="112"/>
      <c r="G36" s="112"/>
      <c r="H36" s="112"/>
      <c r="I36" s="112"/>
      <c r="J36" s="112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220"/>
      <c r="AD36" s="91"/>
      <c r="AE36" s="91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219"/>
      <c r="BG36" s="219"/>
      <c r="BH36" s="219"/>
      <c r="BI36" s="219"/>
      <c r="BJ36" s="219"/>
      <c r="BK36" s="219"/>
      <c r="BL36" s="219"/>
      <c r="BM36" s="219"/>
      <c r="BN36" s="219"/>
      <c r="BO36" s="219"/>
      <c r="BP36" s="219"/>
      <c r="BQ36" s="219"/>
      <c r="BR36" s="219"/>
      <c r="BS36" s="219"/>
      <c r="BT36" s="219"/>
      <c r="BU36" s="219"/>
      <c r="BV36" s="219"/>
      <c r="BW36" s="219"/>
      <c r="BX36" s="219"/>
      <c r="BY36" s="219"/>
      <c r="BZ36" s="219"/>
      <c r="CA36" s="219"/>
      <c r="CB36" s="219"/>
      <c r="CC36" s="219"/>
      <c r="CD36" s="219"/>
      <c r="CE36" s="219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  <c r="DF36" s="219"/>
      <c r="DG36" s="219"/>
      <c r="DH36" s="219"/>
      <c r="DI36" s="219"/>
      <c r="DJ36" s="219"/>
      <c r="DK36" s="219"/>
      <c r="DL36" s="219"/>
      <c r="DM36" s="219"/>
      <c r="DN36" s="219"/>
      <c r="DO36" s="219"/>
      <c r="DP36" s="219"/>
      <c r="DQ36" s="219"/>
      <c r="DR36" s="219"/>
      <c r="DS36" s="219"/>
      <c r="DT36" s="219"/>
      <c r="DU36" s="219"/>
      <c r="DV36" s="219"/>
      <c r="DW36" s="219"/>
      <c r="DX36" s="219"/>
      <c r="DY36" s="219"/>
      <c r="DZ36" s="219"/>
      <c r="EA36" s="219"/>
      <c r="EB36" s="219"/>
      <c r="EC36" s="219"/>
      <c r="ED36" s="219"/>
      <c r="EE36" s="219"/>
      <c r="EF36" s="219"/>
      <c r="EG36" s="219"/>
      <c r="EH36" s="219"/>
      <c r="EI36" s="219"/>
      <c r="EJ36" s="219"/>
      <c r="EK36" s="219"/>
      <c r="EL36" s="219"/>
      <c r="EM36" s="219"/>
      <c r="EN36" s="219"/>
      <c r="EO36" s="219"/>
      <c r="EP36" s="219"/>
      <c r="EQ36" s="219"/>
      <c r="ER36" s="219"/>
      <c r="ES36" s="219"/>
      <c r="ET36" s="219"/>
      <c r="EU36" s="219"/>
      <c r="EV36" s="219"/>
      <c r="EW36" s="219"/>
      <c r="EX36" s="219"/>
      <c r="EY36" s="219"/>
      <c r="EZ36" s="219"/>
      <c r="FA36" s="219"/>
      <c r="FB36" s="219"/>
      <c r="FC36" s="219"/>
      <c r="FD36" s="219"/>
      <c r="FE36" s="219"/>
      <c r="FF36" s="219"/>
      <c r="FG36" s="219"/>
      <c r="FH36" s="219"/>
      <c r="FI36" s="219"/>
      <c r="FJ36" s="219"/>
      <c r="FK36" s="219"/>
      <c r="FL36" s="219"/>
      <c r="FM36" s="219"/>
      <c r="FN36" s="219"/>
      <c r="FO36" s="219"/>
      <c r="FP36" s="219"/>
      <c r="FQ36" s="219"/>
      <c r="FR36" s="219"/>
      <c r="FS36" s="219"/>
      <c r="FT36" s="219"/>
      <c r="FU36" s="219"/>
      <c r="FV36" s="219"/>
      <c r="FW36" s="219"/>
      <c r="FX36" s="219"/>
      <c r="FY36" s="219"/>
      <c r="FZ36" s="219"/>
      <c r="GA36" s="219"/>
      <c r="GB36" s="2"/>
      <c r="GC36" s="2"/>
      <c r="GD36" s="219"/>
      <c r="GE36" s="219"/>
      <c r="GF36" s="219"/>
      <c r="GG36" s="219"/>
      <c r="GH36" s="219"/>
      <c r="GI36" s="219"/>
      <c r="GJ36" s="219"/>
      <c r="GK36" s="219"/>
      <c r="GL36" s="219"/>
      <c r="GM36" s="219"/>
    </row>
    <row r="37" spans="1:195" ht="6.95" customHeight="1" x14ac:dyDescent="0.15">
      <c r="A37" s="1"/>
      <c r="B37" s="1"/>
      <c r="C37" s="1"/>
      <c r="D37" s="1"/>
      <c r="E37" s="1"/>
      <c r="F37" s="113"/>
      <c r="G37" s="113"/>
      <c r="H37" s="113"/>
      <c r="I37" s="113"/>
      <c r="J37" s="113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220">
        <f>F33*Y37</f>
        <v>0</v>
      </c>
      <c r="AD37" s="91"/>
      <c r="AE37" s="91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219"/>
      <c r="BG37" s="219"/>
      <c r="BH37" s="219"/>
      <c r="BI37" s="219"/>
      <c r="BJ37" s="219"/>
      <c r="BK37" s="219"/>
      <c r="BL37" s="219"/>
      <c r="BM37" s="219"/>
      <c r="BN37" s="219"/>
      <c r="BO37" s="219"/>
      <c r="BP37" s="219"/>
      <c r="BQ37" s="219"/>
      <c r="BR37" s="219"/>
      <c r="BS37" s="219"/>
      <c r="BT37" s="219"/>
      <c r="BU37" s="219"/>
      <c r="BV37" s="219"/>
      <c r="BW37" s="219"/>
      <c r="BX37" s="219"/>
      <c r="BY37" s="219"/>
      <c r="BZ37" s="219"/>
      <c r="CA37" s="219"/>
      <c r="CB37" s="219"/>
      <c r="CC37" s="219"/>
      <c r="CD37" s="219"/>
      <c r="CE37" s="219"/>
      <c r="CF37" s="219"/>
      <c r="CG37" s="219"/>
      <c r="CH37" s="219"/>
      <c r="CI37" s="219"/>
      <c r="CJ37" s="219"/>
      <c r="CK37" s="219"/>
      <c r="CL37" s="219"/>
      <c r="CM37" s="219"/>
      <c r="CN37" s="219"/>
      <c r="CO37" s="219"/>
      <c r="CP37" s="219"/>
      <c r="CQ37" s="219"/>
      <c r="CR37" s="219"/>
      <c r="CS37" s="219"/>
      <c r="CT37" s="219"/>
      <c r="CU37" s="219"/>
      <c r="CV37" s="219"/>
      <c r="CW37" s="219"/>
      <c r="CX37" s="219"/>
      <c r="CY37" s="219"/>
      <c r="CZ37" s="219"/>
      <c r="DA37" s="219"/>
      <c r="DB37" s="219"/>
      <c r="DC37" s="219"/>
      <c r="DD37" s="219"/>
      <c r="DE37" s="219"/>
      <c r="DF37" s="219"/>
      <c r="DG37" s="219"/>
      <c r="DH37" s="219"/>
      <c r="DI37" s="219"/>
      <c r="DJ37" s="219"/>
      <c r="DK37" s="219"/>
      <c r="DL37" s="219"/>
      <c r="DM37" s="219"/>
      <c r="DN37" s="219"/>
      <c r="DO37" s="219"/>
      <c r="DP37" s="219"/>
      <c r="DQ37" s="219"/>
      <c r="DR37" s="219"/>
      <c r="DS37" s="219"/>
      <c r="DT37" s="219"/>
      <c r="DU37" s="219"/>
      <c r="DV37" s="219"/>
      <c r="DW37" s="219"/>
      <c r="DX37" s="219"/>
      <c r="DY37" s="219"/>
      <c r="DZ37" s="219"/>
      <c r="EA37" s="219"/>
      <c r="EB37" s="219"/>
      <c r="EC37" s="219"/>
      <c r="ED37" s="219"/>
      <c r="EE37" s="219"/>
      <c r="EF37" s="219"/>
      <c r="EG37" s="219"/>
      <c r="EH37" s="219"/>
      <c r="EI37" s="219"/>
      <c r="EJ37" s="219"/>
      <c r="EK37" s="219"/>
      <c r="EL37" s="219"/>
      <c r="EM37" s="219"/>
      <c r="EN37" s="219"/>
      <c r="EO37" s="219"/>
      <c r="EP37" s="219"/>
      <c r="EQ37" s="219"/>
      <c r="ER37" s="219"/>
      <c r="ES37" s="219"/>
      <c r="ET37" s="219"/>
      <c r="EU37" s="219"/>
      <c r="EV37" s="219"/>
      <c r="EW37" s="219"/>
      <c r="EX37" s="219"/>
      <c r="EY37" s="219"/>
      <c r="EZ37" s="219"/>
      <c r="FA37" s="219"/>
      <c r="FB37" s="219"/>
      <c r="FC37" s="219"/>
      <c r="FD37" s="219"/>
      <c r="FE37" s="219"/>
      <c r="FF37" s="219"/>
      <c r="FG37" s="219"/>
      <c r="FH37" s="219"/>
      <c r="FI37" s="219"/>
      <c r="FJ37" s="219"/>
      <c r="FK37" s="219"/>
      <c r="FL37" s="219"/>
      <c r="FM37" s="219"/>
      <c r="FN37" s="219"/>
      <c r="FO37" s="219"/>
      <c r="FP37" s="219"/>
      <c r="FQ37" s="219"/>
      <c r="FR37" s="219"/>
      <c r="FS37" s="219"/>
      <c r="FT37" s="219"/>
      <c r="FU37" s="219"/>
      <c r="FV37" s="219"/>
      <c r="FW37" s="219"/>
      <c r="FX37" s="219"/>
      <c r="FY37" s="219"/>
      <c r="FZ37" s="219"/>
      <c r="GA37" s="219"/>
      <c r="GB37" s="2"/>
      <c r="GC37" s="2"/>
      <c r="GD37" s="219"/>
      <c r="GE37" s="219"/>
      <c r="GF37" s="219"/>
      <c r="GG37" s="219"/>
      <c r="GH37" s="219"/>
      <c r="GI37" s="219"/>
      <c r="GJ37" s="219"/>
      <c r="GK37" s="219"/>
      <c r="GL37" s="219"/>
      <c r="GM37" s="219"/>
    </row>
    <row r="38" spans="1:195" ht="6.95" customHeight="1" x14ac:dyDescent="0.15">
      <c r="A38" s="1"/>
      <c r="B38" s="1"/>
      <c r="C38" s="1"/>
      <c r="D38" s="1"/>
      <c r="E38" s="1"/>
      <c r="F38" s="113"/>
      <c r="G38" s="113"/>
      <c r="H38" s="113"/>
      <c r="I38" s="113"/>
      <c r="J38" s="113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220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219"/>
      <c r="BG38" s="219"/>
      <c r="BH38" s="219"/>
      <c r="BI38" s="219"/>
      <c r="BJ38" s="219"/>
      <c r="BK38" s="219"/>
      <c r="BL38" s="219"/>
      <c r="BM38" s="219"/>
      <c r="BN38" s="219"/>
      <c r="BO38" s="219"/>
      <c r="BP38" s="219"/>
      <c r="BQ38" s="219"/>
      <c r="BR38" s="219"/>
      <c r="BS38" s="219"/>
      <c r="BT38" s="219"/>
      <c r="BU38" s="219"/>
      <c r="BV38" s="219"/>
      <c r="BW38" s="219"/>
      <c r="BX38" s="219"/>
      <c r="BY38" s="219"/>
      <c r="BZ38" s="219"/>
      <c r="CA38" s="219"/>
      <c r="CB38" s="219"/>
      <c r="CC38" s="219"/>
      <c r="CD38" s="219"/>
      <c r="CE38" s="219"/>
      <c r="CF38" s="219"/>
      <c r="CG38" s="219"/>
      <c r="CH38" s="219"/>
      <c r="CI38" s="219"/>
      <c r="CJ38" s="219"/>
      <c r="CK38" s="219"/>
      <c r="CL38" s="219"/>
      <c r="CM38" s="219"/>
      <c r="CN38" s="219"/>
      <c r="CO38" s="219"/>
      <c r="CP38" s="219"/>
      <c r="CQ38" s="219"/>
      <c r="CR38" s="219"/>
      <c r="CS38" s="219"/>
      <c r="CT38" s="219"/>
      <c r="CU38" s="219"/>
      <c r="CV38" s="219"/>
      <c r="CW38" s="219"/>
      <c r="CX38" s="219"/>
      <c r="CY38" s="219"/>
      <c r="CZ38" s="219"/>
      <c r="DA38" s="219"/>
      <c r="DB38" s="219"/>
      <c r="DC38" s="219"/>
      <c r="DD38" s="219"/>
      <c r="DE38" s="219"/>
      <c r="DF38" s="219"/>
      <c r="DG38" s="219"/>
      <c r="DH38" s="219"/>
      <c r="DI38" s="219"/>
      <c r="DJ38" s="219"/>
      <c r="DK38" s="219"/>
      <c r="DL38" s="219"/>
      <c r="DM38" s="219"/>
      <c r="DN38" s="219"/>
      <c r="DO38" s="219"/>
      <c r="DP38" s="219"/>
      <c r="DQ38" s="219"/>
      <c r="DR38" s="219"/>
      <c r="DS38" s="219"/>
      <c r="DT38" s="219"/>
      <c r="DU38" s="219"/>
      <c r="DV38" s="219"/>
      <c r="DW38" s="219"/>
      <c r="DX38" s="219"/>
      <c r="DY38" s="219"/>
      <c r="DZ38" s="219"/>
      <c r="EA38" s="219"/>
      <c r="EB38" s="219"/>
      <c r="EC38" s="219"/>
      <c r="ED38" s="219"/>
      <c r="EE38" s="219"/>
      <c r="EF38" s="219"/>
      <c r="EG38" s="219"/>
      <c r="EH38" s="219"/>
      <c r="EI38" s="219"/>
      <c r="EJ38" s="219"/>
      <c r="EK38" s="219"/>
      <c r="EL38" s="219"/>
      <c r="EM38" s="219"/>
      <c r="EN38" s="219"/>
      <c r="EO38" s="219"/>
      <c r="EP38" s="219"/>
      <c r="EQ38" s="219"/>
      <c r="ER38" s="219"/>
      <c r="ES38" s="219"/>
      <c r="ET38" s="219"/>
      <c r="EU38" s="219"/>
      <c r="EV38" s="219"/>
      <c r="EW38" s="219"/>
      <c r="EX38" s="219"/>
      <c r="EY38" s="219"/>
      <c r="EZ38" s="219"/>
      <c r="FA38" s="219"/>
      <c r="FB38" s="219"/>
      <c r="FC38" s="219"/>
      <c r="FD38" s="219"/>
      <c r="FE38" s="219"/>
      <c r="FF38" s="219"/>
      <c r="FG38" s="219"/>
      <c r="FH38" s="219"/>
      <c r="FI38" s="219"/>
      <c r="FJ38" s="219"/>
      <c r="FK38" s="219"/>
      <c r="FL38" s="219"/>
      <c r="FM38" s="219"/>
      <c r="FN38" s="219"/>
      <c r="FO38" s="219"/>
      <c r="FP38" s="219"/>
      <c r="FQ38" s="219"/>
      <c r="FR38" s="219"/>
      <c r="FS38" s="219"/>
      <c r="FT38" s="219"/>
      <c r="FU38" s="219"/>
      <c r="FV38" s="219"/>
      <c r="FW38" s="219"/>
      <c r="FX38" s="219"/>
      <c r="FY38" s="219"/>
      <c r="FZ38" s="219"/>
      <c r="GA38" s="219"/>
      <c r="GB38" s="2"/>
      <c r="GC38" s="2"/>
      <c r="GD38" s="219"/>
      <c r="GE38" s="219"/>
      <c r="GF38" s="219"/>
      <c r="GG38" s="219"/>
      <c r="GH38" s="219"/>
      <c r="GI38" s="219"/>
      <c r="GJ38" s="219"/>
      <c r="GK38" s="219"/>
      <c r="GL38" s="219"/>
      <c r="GM38" s="219"/>
    </row>
    <row r="39" spans="1:195" ht="6.95" customHeight="1" x14ac:dyDescent="0.15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219"/>
      <c r="BG39" s="219"/>
      <c r="BH39" s="219"/>
      <c r="BI39" s="219"/>
      <c r="BJ39" s="219"/>
      <c r="BK39" s="219"/>
      <c r="BL39" s="219"/>
      <c r="BM39" s="219"/>
      <c r="BN39" s="219"/>
      <c r="BO39" s="219"/>
      <c r="BP39" s="219"/>
      <c r="BQ39" s="219"/>
      <c r="BR39" s="219"/>
      <c r="BS39" s="219"/>
      <c r="BT39" s="219"/>
      <c r="BU39" s="219"/>
      <c r="BV39" s="219"/>
      <c r="BW39" s="219"/>
      <c r="BX39" s="219"/>
      <c r="BY39" s="219"/>
      <c r="BZ39" s="219"/>
      <c r="CA39" s="219"/>
      <c r="CB39" s="219"/>
      <c r="CC39" s="219"/>
      <c r="CD39" s="219"/>
      <c r="CE39" s="219"/>
      <c r="CF39" s="219"/>
      <c r="CG39" s="219"/>
      <c r="CH39" s="219"/>
      <c r="CI39" s="219"/>
      <c r="CJ39" s="219"/>
      <c r="CK39" s="219"/>
      <c r="CL39" s="219"/>
      <c r="CM39" s="219"/>
      <c r="CN39" s="219"/>
      <c r="CO39" s="219"/>
      <c r="CP39" s="219"/>
      <c r="CQ39" s="219"/>
      <c r="CR39" s="219"/>
      <c r="CS39" s="219"/>
      <c r="CT39" s="219"/>
      <c r="CU39" s="219"/>
      <c r="CV39" s="219"/>
      <c r="CW39" s="219"/>
      <c r="CX39" s="219"/>
      <c r="CY39" s="219"/>
      <c r="CZ39" s="219"/>
      <c r="DA39" s="219"/>
      <c r="DB39" s="219"/>
      <c r="DC39" s="219"/>
      <c r="DD39" s="219"/>
      <c r="DE39" s="219"/>
      <c r="DF39" s="219"/>
      <c r="DG39" s="219"/>
      <c r="DH39" s="219"/>
      <c r="DI39" s="219"/>
      <c r="DJ39" s="219"/>
      <c r="DK39" s="219"/>
      <c r="DL39" s="219"/>
      <c r="DM39" s="219"/>
      <c r="DN39" s="219"/>
      <c r="DO39" s="219"/>
      <c r="DP39" s="219"/>
      <c r="DQ39" s="219"/>
      <c r="DR39" s="219"/>
      <c r="DS39" s="219"/>
      <c r="DT39" s="219"/>
      <c r="DU39" s="219"/>
      <c r="DV39" s="219"/>
      <c r="DW39" s="219"/>
      <c r="DX39" s="219"/>
      <c r="DY39" s="219"/>
      <c r="DZ39" s="219"/>
      <c r="EA39" s="219"/>
      <c r="EB39" s="219"/>
      <c r="EC39" s="219"/>
      <c r="ED39" s="219"/>
      <c r="EE39" s="219"/>
      <c r="EF39" s="219"/>
      <c r="EG39" s="219"/>
      <c r="EH39" s="219"/>
      <c r="EI39" s="219"/>
      <c r="EJ39" s="219"/>
      <c r="EK39" s="219"/>
      <c r="EL39" s="219"/>
      <c r="EM39" s="219"/>
      <c r="EN39" s="219"/>
      <c r="EO39" s="219"/>
      <c r="EP39" s="219"/>
      <c r="EQ39" s="219"/>
      <c r="ER39" s="219"/>
      <c r="ES39" s="219"/>
      <c r="ET39" s="219"/>
      <c r="EU39" s="219"/>
      <c r="EV39" s="219"/>
      <c r="EW39" s="219"/>
      <c r="EX39" s="219"/>
      <c r="EY39" s="219"/>
      <c r="EZ39" s="219"/>
      <c r="FA39" s="219"/>
      <c r="FB39" s="219"/>
      <c r="FC39" s="219"/>
      <c r="FD39" s="219"/>
      <c r="FE39" s="219"/>
      <c r="FF39" s="219"/>
      <c r="FG39" s="219"/>
      <c r="FH39" s="219"/>
      <c r="FI39" s="219"/>
      <c r="FJ39" s="219"/>
      <c r="FK39" s="219"/>
      <c r="FL39" s="219"/>
      <c r="FM39" s="219"/>
      <c r="FN39" s="219"/>
      <c r="FO39" s="219"/>
      <c r="FP39" s="219"/>
      <c r="FQ39" s="219"/>
      <c r="FR39" s="219"/>
      <c r="FS39" s="219"/>
      <c r="FT39" s="219"/>
      <c r="FU39" s="219"/>
      <c r="FV39" s="219"/>
      <c r="FW39" s="219"/>
      <c r="FX39" s="219"/>
      <c r="FY39" s="219"/>
      <c r="FZ39" s="219"/>
      <c r="GA39" s="219"/>
      <c r="GB39" s="2"/>
      <c r="GC39" s="2"/>
      <c r="GD39" s="219"/>
      <c r="GE39" s="219"/>
      <c r="GF39" s="219"/>
      <c r="GG39" s="219"/>
      <c r="GH39" s="219"/>
      <c r="GI39" s="219"/>
      <c r="GJ39" s="219"/>
      <c r="GK39" s="219"/>
      <c r="GL39" s="219"/>
      <c r="GM39" s="219"/>
    </row>
    <row r="40" spans="1:195" ht="6.95" customHeight="1" x14ac:dyDescent="0.15">
      <c r="A40" s="1"/>
      <c r="B40" s="1"/>
      <c r="C40" s="1"/>
      <c r="D40" s="1"/>
      <c r="E40" s="1"/>
      <c r="F40" s="112"/>
      <c r="G40" s="112"/>
      <c r="H40" s="112"/>
      <c r="I40" s="112"/>
      <c r="J40" s="112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220">
        <f>F40*Y40</f>
        <v>0</v>
      </c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219"/>
      <c r="BG40" s="219"/>
      <c r="BH40" s="219"/>
      <c r="BI40" s="219"/>
      <c r="BJ40" s="219"/>
      <c r="BK40" s="219"/>
      <c r="BL40" s="219"/>
      <c r="BM40" s="219"/>
      <c r="BN40" s="219"/>
      <c r="BO40" s="219"/>
      <c r="BP40" s="219"/>
      <c r="BQ40" s="219"/>
      <c r="BR40" s="219"/>
      <c r="BS40" s="219"/>
      <c r="BT40" s="219"/>
      <c r="BU40" s="219"/>
      <c r="BV40" s="219"/>
      <c r="BW40" s="219"/>
      <c r="BX40" s="219"/>
      <c r="BY40" s="219"/>
      <c r="BZ40" s="219"/>
      <c r="CA40" s="219"/>
      <c r="CB40" s="219"/>
      <c r="CC40" s="219"/>
      <c r="CD40" s="219"/>
      <c r="CE40" s="219"/>
      <c r="CF40" s="219"/>
      <c r="CG40" s="219"/>
      <c r="CH40" s="219"/>
      <c r="CI40" s="219"/>
      <c r="CJ40" s="219"/>
      <c r="CK40" s="219"/>
      <c r="CL40" s="219"/>
      <c r="CM40" s="219"/>
      <c r="CN40" s="219"/>
      <c r="CO40" s="219"/>
      <c r="CP40" s="219"/>
      <c r="CQ40" s="219"/>
      <c r="CR40" s="219"/>
      <c r="CS40" s="219"/>
      <c r="CT40" s="219"/>
      <c r="CU40" s="219"/>
      <c r="CV40" s="219"/>
      <c r="CW40" s="219"/>
      <c r="CX40" s="219"/>
      <c r="CY40" s="219"/>
      <c r="CZ40" s="219"/>
      <c r="DA40" s="219"/>
      <c r="DB40" s="219"/>
      <c r="DC40" s="219"/>
      <c r="DD40" s="219"/>
      <c r="DE40" s="219"/>
      <c r="DF40" s="219"/>
      <c r="DG40" s="219"/>
      <c r="DH40" s="219"/>
      <c r="DI40" s="219"/>
      <c r="DJ40" s="219"/>
      <c r="DK40" s="219"/>
      <c r="DL40" s="219"/>
      <c r="DM40" s="219"/>
      <c r="DN40" s="219"/>
      <c r="DO40" s="219"/>
      <c r="DP40" s="219"/>
      <c r="DQ40" s="219"/>
      <c r="DR40" s="219"/>
      <c r="DS40" s="219"/>
      <c r="DT40" s="219"/>
      <c r="DU40" s="219"/>
      <c r="DV40" s="219"/>
      <c r="DW40" s="219"/>
      <c r="DX40" s="219"/>
      <c r="DY40" s="219"/>
      <c r="DZ40" s="219"/>
      <c r="EA40" s="219"/>
      <c r="EB40" s="219"/>
      <c r="EC40" s="219"/>
      <c r="ED40" s="219"/>
      <c r="EE40" s="219"/>
      <c r="EF40" s="219"/>
      <c r="EG40" s="219"/>
      <c r="EH40" s="219"/>
      <c r="EI40" s="219"/>
      <c r="EJ40" s="219"/>
      <c r="EK40" s="219"/>
      <c r="EL40" s="219"/>
      <c r="EM40" s="219"/>
      <c r="EN40" s="219"/>
      <c r="EO40" s="219"/>
      <c r="EP40" s="219"/>
      <c r="EQ40" s="219"/>
      <c r="ER40" s="219"/>
      <c r="ES40" s="219"/>
      <c r="ET40" s="219"/>
      <c r="EU40" s="219"/>
      <c r="EV40" s="219"/>
      <c r="EW40" s="219"/>
      <c r="EX40" s="219"/>
      <c r="EY40" s="219"/>
      <c r="EZ40" s="219"/>
      <c r="FA40" s="219"/>
      <c r="FB40" s="219"/>
      <c r="FC40" s="219"/>
      <c r="FD40" s="219"/>
      <c r="FE40" s="219"/>
      <c r="FF40" s="219"/>
      <c r="FG40" s="219"/>
      <c r="FH40" s="219"/>
      <c r="FI40" s="219"/>
      <c r="FJ40" s="219"/>
      <c r="FK40" s="219"/>
      <c r="FL40" s="219"/>
      <c r="FM40" s="219"/>
      <c r="FN40" s="219"/>
      <c r="FO40" s="219"/>
      <c r="FP40" s="219"/>
      <c r="FQ40" s="219"/>
      <c r="FR40" s="219"/>
      <c r="FS40" s="219"/>
      <c r="FT40" s="219"/>
      <c r="FU40" s="219"/>
      <c r="FV40" s="219"/>
      <c r="FW40" s="219"/>
      <c r="FX40" s="219"/>
      <c r="FY40" s="219"/>
      <c r="FZ40" s="219"/>
      <c r="GA40" s="219"/>
      <c r="GB40" s="2"/>
      <c r="GC40" s="2"/>
      <c r="GD40" s="219"/>
      <c r="GE40" s="219"/>
      <c r="GF40" s="219"/>
      <c r="GG40" s="219"/>
      <c r="GH40" s="219"/>
      <c r="GI40" s="219"/>
      <c r="GJ40" s="219"/>
      <c r="GK40" s="219"/>
      <c r="GL40" s="219"/>
      <c r="GM40" s="219"/>
    </row>
    <row r="41" spans="1:195" ht="6.95" customHeight="1" x14ac:dyDescent="0.15">
      <c r="A41" s="1"/>
      <c r="B41" s="1"/>
      <c r="C41" s="1"/>
      <c r="D41" s="1"/>
      <c r="E41" s="1"/>
      <c r="F41" s="112"/>
      <c r="G41" s="112"/>
      <c r="H41" s="112"/>
      <c r="I41" s="112"/>
      <c r="J41" s="112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220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219"/>
      <c r="BG41" s="219"/>
      <c r="BH41" s="219"/>
      <c r="BI41" s="219"/>
      <c r="BJ41" s="219"/>
      <c r="BK41" s="219"/>
      <c r="BL41" s="219"/>
      <c r="BM41" s="219"/>
      <c r="BN41" s="219"/>
      <c r="BO41" s="219"/>
      <c r="BP41" s="219"/>
      <c r="BQ41" s="219"/>
      <c r="BR41" s="219"/>
      <c r="BS41" s="219"/>
      <c r="BT41" s="219"/>
      <c r="BU41" s="219"/>
      <c r="BV41" s="219"/>
      <c r="BW41" s="219"/>
      <c r="BX41" s="219"/>
      <c r="BY41" s="219"/>
      <c r="BZ41" s="219"/>
      <c r="CA41" s="219"/>
      <c r="CB41" s="219"/>
      <c r="CC41" s="219"/>
      <c r="CD41" s="219"/>
      <c r="CE41" s="219"/>
      <c r="CF41" s="219"/>
      <c r="CG41" s="219"/>
      <c r="CH41" s="219"/>
      <c r="CI41" s="219"/>
      <c r="CJ41" s="219"/>
      <c r="CK41" s="219"/>
      <c r="CL41" s="219"/>
      <c r="CM41" s="219"/>
      <c r="CN41" s="219"/>
      <c r="CO41" s="219"/>
      <c r="CP41" s="219"/>
      <c r="CQ41" s="219"/>
      <c r="CR41" s="219"/>
      <c r="CS41" s="219"/>
      <c r="CT41" s="219"/>
      <c r="CU41" s="219"/>
      <c r="CV41" s="219"/>
      <c r="CW41" s="219"/>
      <c r="CX41" s="219"/>
      <c r="CY41" s="219"/>
      <c r="CZ41" s="219"/>
      <c r="DA41" s="219"/>
      <c r="DB41" s="219"/>
      <c r="DC41" s="219"/>
      <c r="DD41" s="219"/>
      <c r="DE41" s="219"/>
      <c r="DF41" s="219"/>
      <c r="DG41" s="219"/>
      <c r="DH41" s="219"/>
      <c r="DI41" s="219"/>
      <c r="DJ41" s="219"/>
      <c r="DK41" s="219"/>
      <c r="DL41" s="219"/>
      <c r="DM41" s="219"/>
      <c r="DN41" s="219"/>
      <c r="DO41" s="219"/>
      <c r="DP41" s="219"/>
      <c r="DQ41" s="219"/>
      <c r="DR41" s="219"/>
      <c r="DS41" s="219"/>
      <c r="DT41" s="219"/>
      <c r="DU41" s="219"/>
      <c r="DV41" s="219"/>
      <c r="DW41" s="219"/>
      <c r="DX41" s="219"/>
      <c r="DY41" s="219"/>
      <c r="DZ41" s="219"/>
      <c r="EA41" s="219"/>
      <c r="EB41" s="219"/>
      <c r="EC41" s="219"/>
      <c r="ED41" s="219"/>
      <c r="EE41" s="219"/>
      <c r="EF41" s="219"/>
      <c r="EG41" s="219"/>
      <c r="EH41" s="219"/>
      <c r="EI41" s="219"/>
      <c r="EJ41" s="219"/>
      <c r="EK41" s="219"/>
      <c r="EL41" s="219"/>
      <c r="EM41" s="219"/>
      <c r="EN41" s="219"/>
      <c r="EO41" s="219"/>
      <c r="EP41" s="219"/>
      <c r="EQ41" s="219"/>
      <c r="ER41" s="219"/>
      <c r="ES41" s="219"/>
      <c r="ET41" s="219"/>
      <c r="EU41" s="219"/>
      <c r="EV41" s="219"/>
      <c r="EW41" s="219"/>
      <c r="EX41" s="219"/>
      <c r="EY41" s="219"/>
      <c r="EZ41" s="219"/>
      <c r="FA41" s="219"/>
      <c r="FB41" s="219"/>
      <c r="FC41" s="219"/>
      <c r="FD41" s="219"/>
      <c r="FE41" s="219"/>
      <c r="FF41" s="219"/>
      <c r="FG41" s="219"/>
      <c r="FH41" s="219"/>
      <c r="FI41" s="219"/>
      <c r="FJ41" s="219"/>
      <c r="FK41" s="219"/>
      <c r="FL41" s="219"/>
      <c r="FM41" s="219"/>
      <c r="FN41" s="219"/>
      <c r="FO41" s="219"/>
      <c r="FP41" s="219"/>
      <c r="FQ41" s="219"/>
      <c r="FR41" s="219"/>
      <c r="FS41" s="219"/>
      <c r="FT41" s="219"/>
      <c r="FU41" s="219"/>
      <c r="FV41" s="219"/>
      <c r="FW41" s="219"/>
      <c r="FX41" s="219"/>
      <c r="FY41" s="219"/>
      <c r="FZ41" s="219"/>
      <c r="GA41" s="219"/>
      <c r="GB41" s="2"/>
      <c r="GC41" s="2"/>
      <c r="GD41" s="219"/>
      <c r="GE41" s="219"/>
      <c r="GF41" s="219"/>
      <c r="GG41" s="219"/>
      <c r="GH41" s="219"/>
      <c r="GI41" s="219"/>
      <c r="GJ41" s="219"/>
      <c r="GK41" s="219"/>
      <c r="GL41" s="219"/>
      <c r="GM41" s="219"/>
    </row>
    <row r="42" spans="1:195" ht="6.95" customHeight="1" x14ac:dyDescent="0.15">
      <c r="A42" s="1"/>
      <c r="B42" s="1"/>
      <c r="C42" s="1"/>
      <c r="D42" s="1"/>
      <c r="E42" s="1"/>
      <c r="F42" s="112"/>
      <c r="G42" s="112"/>
      <c r="H42" s="112"/>
      <c r="I42" s="112"/>
      <c r="J42" s="112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220">
        <f>F40*Y42</f>
        <v>0</v>
      </c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3"/>
      <c r="AO42" s="93"/>
      <c r="AP42" s="93"/>
      <c r="AQ42" s="93"/>
      <c r="AR42" s="93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219"/>
      <c r="BG42" s="219"/>
      <c r="BH42" s="219"/>
      <c r="BI42" s="219"/>
      <c r="BJ42" s="219"/>
      <c r="BK42" s="219"/>
      <c r="BL42" s="219"/>
      <c r="BM42" s="219"/>
      <c r="BN42" s="219"/>
      <c r="BO42" s="219"/>
      <c r="BP42" s="219"/>
      <c r="BQ42" s="219"/>
      <c r="BR42" s="219"/>
      <c r="BS42" s="219"/>
      <c r="BT42" s="219"/>
      <c r="BU42" s="219"/>
      <c r="BV42" s="219"/>
      <c r="BW42" s="219"/>
      <c r="BX42" s="219"/>
      <c r="BY42" s="219"/>
      <c r="BZ42" s="219"/>
      <c r="CA42" s="219"/>
      <c r="CB42" s="219"/>
      <c r="CC42" s="219"/>
      <c r="CD42" s="219"/>
      <c r="CE42" s="219"/>
      <c r="CF42" s="219"/>
      <c r="CG42" s="219"/>
      <c r="CH42" s="219"/>
      <c r="CI42" s="219"/>
      <c r="CJ42" s="219"/>
      <c r="CK42" s="219"/>
      <c r="CL42" s="219"/>
      <c r="CM42" s="219"/>
      <c r="CN42" s="219"/>
      <c r="CO42" s="219"/>
      <c r="CP42" s="219"/>
      <c r="CQ42" s="219"/>
      <c r="CR42" s="219"/>
      <c r="CS42" s="219"/>
      <c r="CT42" s="219"/>
      <c r="CU42" s="219"/>
      <c r="CV42" s="219"/>
      <c r="CW42" s="219"/>
      <c r="CX42" s="219"/>
      <c r="CY42" s="219"/>
      <c r="CZ42" s="219"/>
      <c r="DA42" s="219"/>
      <c r="DB42" s="219"/>
      <c r="DC42" s="219"/>
      <c r="DD42" s="219"/>
      <c r="DE42" s="219"/>
      <c r="DF42" s="219"/>
      <c r="DG42" s="219"/>
      <c r="DH42" s="219"/>
      <c r="DI42" s="219"/>
      <c r="DJ42" s="219"/>
      <c r="DK42" s="219"/>
      <c r="DL42" s="219"/>
      <c r="DM42" s="219"/>
      <c r="DN42" s="219"/>
      <c r="DO42" s="219"/>
      <c r="DP42" s="219"/>
      <c r="DQ42" s="219"/>
      <c r="DR42" s="219"/>
      <c r="DS42" s="219"/>
      <c r="DT42" s="219"/>
      <c r="DU42" s="219"/>
      <c r="DV42" s="219"/>
      <c r="DW42" s="219"/>
      <c r="DX42" s="219"/>
      <c r="DY42" s="219"/>
      <c r="DZ42" s="219"/>
      <c r="EA42" s="219"/>
      <c r="EB42" s="219"/>
      <c r="EC42" s="219"/>
      <c r="ED42" s="219"/>
      <c r="EE42" s="219"/>
      <c r="EF42" s="219"/>
      <c r="EG42" s="219"/>
      <c r="EH42" s="219"/>
      <c r="EI42" s="219"/>
      <c r="EJ42" s="219"/>
      <c r="EK42" s="219"/>
      <c r="EL42" s="219"/>
      <c r="EM42" s="219"/>
      <c r="EN42" s="219"/>
      <c r="EO42" s="219"/>
      <c r="EP42" s="219"/>
      <c r="EQ42" s="219"/>
      <c r="ER42" s="219"/>
      <c r="ES42" s="219"/>
      <c r="ET42" s="219"/>
      <c r="EU42" s="219"/>
      <c r="EV42" s="219"/>
      <c r="EW42" s="219"/>
      <c r="EX42" s="219"/>
      <c r="EY42" s="219"/>
      <c r="EZ42" s="219"/>
      <c r="FA42" s="219"/>
      <c r="FB42" s="219"/>
      <c r="FC42" s="219"/>
      <c r="FD42" s="219"/>
      <c r="FE42" s="219"/>
      <c r="FF42" s="219"/>
      <c r="FG42" s="219"/>
      <c r="FH42" s="219"/>
      <c r="FI42" s="219"/>
      <c r="FJ42" s="219"/>
      <c r="FK42" s="219"/>
      <c r="FL42" s="219"/>
      <c r="FM42" s="219"/>
      <c r="FN42" s="219"/>
      <c r="FO42" s="219"/>
      <c r="FP42" s="219"/>
      <c r="FQ42" s="219"/>
      <c r="FR42" s="219"/>
      <c r="FS42" s="219"/>
      <c r="FT42" s="219"/>
      <c r="FU42" s="219"/>
      <c r="FV42" s="219"/>
      <c r="FW42" s="219"/>
      <c r="FX42" s="219"/>
      <c r="FY42" s="219"/>
      <c r="FZ42" s="219"/>
      <c r="GA42" s="219"/>
      <c r="GB42" s="2"/>
      <c r="GC42" s="2"/>
      <c r="GD42" s="219"/>
      <c r="GE42" s="219"/>
      <c r="GF42" s="219"/>
      <c r="GG42" s="219"/>
      <c r="GH42" s="219"/>
      <c r="GI42" s="219"/>
      <c r="GJ42" s="219"/>
      <c r="GK42" s="219"/>
      <c r="GL42" s="219"/>
      <c r="GM42" s="219"/>
    </row>
    <row r="43" spans="1:195" ht="6.95" customHeight="1" x14ac:dyDescent="0.15">
      <c r="A43" s="1"/>
      <c r="B43" s="1"/>
      <c r="C43" s="1"/>
      <c r="D43" s="1"/>
      <c r="E43" s="1"/>
      <c r="F43" s="112"/>
      <c r="G43" s="112"/>
      <c r="H43" s="112"/>
      <c r="I43" s="112"/>
      <c r="J43" s="112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220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3"/>
      <c r="AO43" s="93"/>
      <c r="AP43" s="93"/>
      <c r="AQ43" s="93"/>
      <c r="AR43" s="93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19"/>
      <c r="BQ43" s="219"/>
      <c r="BR43" s="219"/>
      <c r="BS43" s="219"/>
      <c r="BT43" s="219"/>
      <c r="BU43" s="219"/>
      <c r="BV43" s="219"/>
      <c r="BW43" s="219"/>
      <c r="BX43" s="219"/>
      <c r="BY43" s="219"/>
      <c r="BZ43" s="219"/>
      <c r="CA43" s="219"/>
      <c r="CB43" s="219"/>
      <c r="CC43" s="219"/>
      <c r="CD43" s="219"/>
      <c r="CE43" s="219"/>
      <c r="CF43" s="219"/>
      <c r="CG43" s="219"/>
      <c r="CH43" s="219"/>
      <c r="CI43" s="219"/>
      <c r="CJ43" s="219"/>
      <c r="CK43" s="219"/>
      <c r="CL43" s="219"/>
      <c r="CM43" s="219"/>
      <c r="CN43" s="219"/>
      <c r="CO43" s="219"/>
      <c r="CP43" s="219"/>
      <c r="CQ43" s="219"/>
      <c r="CR43" s="219"/>
      <c r="CS43" s="219"/>
      <c r="CT43" s="219"/>
      <c r="CU43" s="219"/>
      <c r="CV43" s="219"/>
      <c r="CW43" s="219"/>
      <c r="CX43" s="219"/>
      <c r="CY43" s="219"/>
      <c r="CZ43" s="219"/>
      <c r="DA43" s="219"/>
      <c r="DB43" s="219"/>
      <c r="DC43" s="219"/>
      <c r="DD43" s="219"/>
      <c r="DE43" s="219"/>
      <c r="DF43" s="219"/>
      <c r="DG43" s="219"/>
      <c r="DH43" s="219"/>
      <c r="DI43" s="219"/>
      <c r="DJ43" s="219"/>
      <c r="DK43" s="219"/>
      <c r="DL43" s="219"/>
      <c r="DM43" s="219"/>
      <c r="DN43" s="219"/>
      <c r="DO43" s="219"/>
      <c r="DP43" s="219"/>
      <c r="DQ43" s="219"/>
      <c r="DR43" s="219"/>
      <c r="DS43" s="219"/>
      <c r="DT43" s="219"/>
      <c r="DU43" s="219"/>
      <c r="DV43" s="219"/>
      <c r="DW43" s="219"/>
      <c r="DX43" s="219"/>
      <c r="DY43" s="219"/>
      <c r="DZ43" s="219"/>
      <c r="EA43" s="219"/>
      <c r="EB43" s="219"/>
      <c r="EC43" s="219"/>
      <c r="ED43" s="219"/>
      <c r="EE43" s="219"/>
      <c r="EF43" s="219"/>
      <c r="EG43" s="219"/>
      <c r="EH43" s="219"/>
      <c r="EI43" s="219"/>
      <c r="EJ43" s="219"/>
      <c r="EK43" s="219"/>
      <c r="EL43" s="219"/>
      <c r="EM43" s="219"/>
      <c r="EN43" s="219"/>
      <c r="EO43" s="219"/>
      <c r="EP43" s="219"/>
      <c r="EQ43" s="219"/>
      <c r="ER43" s="219"/>
      <c r="ES43" s="219"/>
      <c r="ET43" s="219"/>
      <c r="EU43" s="219"/>
      <c r="EV43" s="219"/>
      <c r="EW43" s="219"/>
      <c r="EX43" s="219"/>
      <c r="EY43" s="219"/>
      <c r="EZ43" s="219"/>
      <c r="FA43" s="219"/>
      <c r="FB43" s="219"/>
      <c r="FC43" s="219"/>
      <c r="FD43" s="219"/>
      <c r="FE43" s="219"/>
      <c r="FF43" s="219"/>
      <c r="FG43" s="219"/>
      <c r="FH43" s="219"/>
      <c r="FI43" s="219"/>
      <c r="FJ43" s="219"/>
      <c r="FK43" s="219"/>
      <c r="FL43" s="219"/>
      <c r="FM43" s="219"/>
      <c r="FN43" s="219"/>
      <c r="FO43" s="219"/>
      <c r="FP43" s="219"/>
      <c r="FQ43" s="219"/>
      <c r="FR43" s="219"/>
      <c r="FS43" s="219"/>
      <c r="FT43" s="219"/>
      <c r="FU43" s="219"/>
      <c r="FV43" s="219"/>
      <c r="FW43" s="219"/>
      <c r="FX43" s="219"/>
      <c r="FY43" s="219"/>
      <c r="FZ43" s="219"/>
      <c r="GA43" s="219"/>
      <c r="GB43" s="2"/>
      <c r="GC43" s="2"/>
      <c r="GD43" s="219"/>
      <c r="GE43" s="219"/>
      <c r="GF43" s="219"/>
      <c r="GG43" s="219"/>
      <c r="GH43" s="219"/>
      <c r="GI43" s="219"/>
      <c r="GJ43" s="219"/>
      <c r="GK43" s="219"/>
      <c r="GL43" s="219"/>
      <c r="GM43" s="219"/>
    </row>
    <row r="44" spans="1:195" ht="6.95" customHeight="1" x14ac:dyDescent="0.15">
      <c r="A44" s="1"/>
      <c r="B44" s="1"/>
      <c r="C44" s="1"/>
      <c r="D44" s="1"/>
      <c r="E44" s="1"/>
      <c r="F44" s="113"/>
      <c r="G44" s="113"/>
      <c r="H44" s="113"/>
      <c r="I44" s="113"/>
      <c r="J44" s="113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220">
        <f>F40*Y44</f>
        <v>0</v>
      </c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219"/>
      <c r="BG44" s="219"/>
      <c r="BH44" s="219"/>
      <c r="BI44" s="219"/>
      <c r="BJ44" s="219"/>
      <c r="BK44" s="219"/>
      <c r="BL44" s="219"/>
      <c r="BM44" s="219"/>
      <c r="BN44" s="219"/>
      <c r="BO44" s="219"/>
      <c r="BP44" s="219"/>
      <c r="BQ44" s="219"/>
      <c r="BR44" s="219"/>
      <c r="BS44" s="219"/>
      <c r="BT44" s="219"/>
      <c r="BU44" s="219"/>
      <c r="BV44" s="219"/>
      <c r="BW44" s="219"/>
      <c r="BX44" s="219"/>
      <c r="BY44" s="219"/>
      <c r="BZ44" s="219"/>
      <c r="CA44" s="219"/>
      <c r="CB44" s="219"/>
      <c r="CC44" s="219"/>
      <c r="CD44" s="219"/>
      <c r="CE44" s="219"/>
      <c r="CF44" s="219"/>
      <c r="CG44" s="219"/>
      <c r="CH44" s="219"/>
      <c r="CI44" s="219"/>
      <c r="CJ44" s="219"/>
      <c r="CK44" s="219"/>
      <c r="CL44" s="219"/>
      <c r="CM44" s="219"/>
      <c r="CN44" s="219"/>
      <c r="CO44" s="219"/>
      <c r="CP44" s="219"/>
      <c r="CQ44" s="219"/>
      <c r="CR44" s="219"/>
      <c r="CS44" s="219"/>
      <c r="CT44" s="219"/>
      <c r="CU44" s="219"/>
      <c r="CV44" s="219"/>
      <c r="CW44" s="219"/>
      <c r="CX44" s="219"/>
      <c r="CY44" s="219"/>
      <c r="CZ44" s="219"/>
      <c r="DA44" s="219"/>
      <c r="DB44" s="219"/>
      <c r="DC44" s="219"/>
      <c r="DD44" s="219"/>
      <c r="DE44" s="219"/>
      <c r="DF44" s="219"/>
      <c r="DG44" s="219"/>
      <c r="DH44" s="219"/>
      <c r="DI44" s="219"/>
      <c r="DJ44" s="219"/>
      <c r="DK44" s="219"/>
      <c r="DL44" s="219"/>
      <c r="DM44" s="219"/>
      <c r="DN44" s="219"/>
      <c r="DO44" s="219"/>
      <c r="DP44" s="219"/>
      <c r="DQ44" s="219"/>
      <c r="DR44" s="219"/>
      <c r="DS44" s="219"/>
      <c r="DT44" s="219"/>
      <c r="DU44" s="219"/>
      <c r="DV44" s="219"/>
      <c r="DW44" s="219"/>
      <c r="DX44" s="219"/>
      <c r="DY44" s="219"/>
      <c r="DZ44" s="219"/>
      <c r="EA44" s="219"/>
      <c r="EB44" s="219"/>
      <c r="EC44" s="219"/>
      <c r="ED44" s="219"/>
      <c r="EE44" s="219"/>
      <c r="EF44" s="219"/>
      <c r="EG44" s="219"/>
      <c r="EH44" s="219"/>
      <c r="EI44" s="219"/>
      <c r="EJ44" s="219"/>
      <c r="EK44" s="219"/>
      <c r="EL44" s="219"/>
      <c r="EM44" s="219"/>
      <c r="EN44" s="219"/>
      <c r="EO44" s="219"/>
      <c r="EP44" s="219"/>
      <c r="EQ44" s="219"/>
      <c r="ER44" s="219"/>
      <c r="ES44" s="219"/>
      <c r="ET44" s="219"/>
      <c r="EU44" s="219"/>
      <c r="EV44" s="219"/>
      <c r="EW44" s="219"/>
      <c r="EX44" s="219"/>
      <c r="EY44" s="219"/>
      <c r="EZ44" s="219"/>
      <c r="FA44" s="219"/>
      <c r="FB44" s="219"/>
      <c r="FC44" s="219"/>
      <c r="FD44" s="219"/>
      <c r="FE44" s="219"/>
      <c r="FF44" s="219"/>
      <c r="FG44" s="219"/>
      <c r="FH44" s="219"/>
      <c r="FI44" s="219"/>
      <c r="FJ44" s="219"/>
      <c r="FK44" s="219"/>
      <c r="FL44" s="219"/>
      <c r="FM44" s="219"/>
      <c r="FN44" s="219"/>
      <c r="FO44" s="219"/>
      <c r="FP44" s="219"/>
      <c r="FQ44" s="219"/>
      <c r="FR44" s="219"/>
      <c r="FS44" s="219"/>
      <c r="FT44" s="219"/>
      <c r="FU44" s="219"/>
      <c r="FV44" s="219"/>
      <c r="FW44" s="219"/>
      <c r="FX44" s="219"/>
      <c r="FY44" s="219"/>
      <c r="FZ44" s="219"/>
      <c r="GA44" s="219"/>
      <c r="GB44" s="2"/>
      <c r="GC44" s="2"/>
      <c r="GD44" s="219"/>
      <c r="GE44" s="219"/>
      <c r="GF44" s="219"/>
      <c r="GG44" s="219"/>
      <c r="GH44" s="219"/>
      <c r="GI44" s="219"/>
      <c r="GJ44" s="219"/>
      <c r="GK44" s="219"/>
      <c r="GL44" s="219"/>
      <c r="GM44" s="219"/>
    </row>
    <row r="45" spans="1:195" ht="6.95" customHeight="1" x14ac:dyDescent="0.15">
      <c r="A45" s="1"/>
      <c r="B45" s="1"/>
      <c r="C45" s="1"/>
      <c r="D45" s="1"/>
      <c r="E45" s="1"/>
      <c r="F45" s="113"/>
      <c r="G45" s="113"/>
      <c r="H45" s="113"/>
      <c r="I45" s="113"/>
      <c r="J45" s="113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220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219"/>
      <c r="BG45" s="219"/>
      <c r="BH45" s="219"/>
      <c r="BI45" s="219"/>
      <c r="BJ45" s="219"/>
      <c r="BK45" s="219"/>
      <c r="BL45" s="219"/>
      <c r="BM45" s="219"/>
      <c r="BN45" s="219"/>
      <c r="BO45" s="219"/>
      <c r="BP45" s="219"/>
      <c r="BQ45" s="219"/>
      <c r="BR45" s="219"/>
      <c r="BS45" s="219"/>
      <c r="BT45" s="219"/>
      <c r="BU45" s="219"/>
      <c r="BV45" s="219"/>
      <c r="BW45" s="219"/>
      <c r="BX45" s="219"/>
      <c r="BY45" s="219"/>
      <c r="BZ45" s="219"/>
      <c r="CA45" s="219"/>
      <c r="CB45" s="219"/>
      <c r="CC45" s="219"/>
      <c r="CD45" s="219"/>
      <c r="CE45" s="219"/>
      <c r="CF45" s="219"/>
      <c r="CG45" s="219"/>
      <c r="CH45" s="219"/>
      <c r="CI45" s="219"/>
      <c r="CJ45" s="219"/>
      <c r="CK45" s="219"/>
      <c r="CL45" s="219"/>
      <c r="CM45" s="219"/>
      <c r="CN45" s="219"/>
      <c r="CO45" s="219"/>
      <c r="CP45" s="219"/>
      <c r="CQ45" s="219"/>
      <c r="CR45" s="219"/>
      <c r="CS45" s="219"/>
      <c r="CT45" s="219"/>
      <c r="CU45" s="219"/>
      <c r="CV45" s="219"/>
      <c r="CW45" s="219"/>
      <c r="CX45" s="219"/>
      <c r="CY45" s="219"/>
      <c r="CZ45" s="219"/>
      <c r="DA45" s="219"/>
      <c r="DB45" s="219"/>
      <c r="DC45" s="219"/>
      <c r="DD45" s="219"/>
      <c r="DE45" s="219"/>
      <c r="DF45" s="219"/>
      <c r="DG45" s="219"/>
      <c r="DH45" s="219"/>
      <c r="DI45" s="219"/>
      <c r="DJ45" s="219"/>
      <c r="DK45" s="219"/>
      <c r="DL45" s="219"/>
      <c r="DM45" s="219"/>
      <c r="DN45" s="219"/>
      <c r="DO45" s="219"/>
      <c r="DP45" s="219"/>
      <c r="DQ45" s="219"/>
      <c r="DR45" s="219"/>
      <c r="DS45" s="219"/>
      <c r="DT45" s="219"/>
      <c r="DU45" s="219"/>
      <c r="DV45" s="219"/>
      <c r="DW45" s="219"/>
      <c r="DX45" s="219"/>
      <c r="DY45" s="219"/>
      <c r="DZ45" s="219"/>
      <c r="EA45" s="219"/>
      <c r="EB45" s="219"/>
      <c r="EC45" s="219"/>
      <c r="ED45" s="219"/>
      <c r="EE45" s="219"/>
      <c r="EF45" s="219"/>
      <c r="EG45" s="219"/>
      <c r="EH45" s="219"/>
      <c r="EI45" s="219"/>
      <c r="EJ45" s="219"/>
      <c r="EK45" s="219"/>
      <c r="EL45" s="219"/>
      <c r="EM45" s="219"/>
      <c r="EN45" s="219"/>
      <c r="EO45" s="219"/>
      <c r="EP45" s="219"/>
      <c r="EQ45" s="219"/>
      <c r="ER45" s="219"/>
      <c r="ES45" s="219"/>
      <c r="ET45" s="219"/>
      <c r="EU45" s="219"/>
      <c r="EV45" s="219"/>
      <c r="EW45" s="219"/>
      <c r="EX45" s="219"/>
      <c r="EY45" s="219"/>
      <c r="EZ45" s="219"/>
      <c r="FA45" s="219"/>
      <c r="FB45" s="219"/>
      <c r="FC45" s="219"/>
      <c r="FD45" s="219"/>
      <c r="FE45" s="219"/>
      <c r="FF45" s="219"/>
      <c r="FG45" s="219"/>
      <c r="FH45" s="219"/>
      <c r="FI45" s="219"/>
      <c r="FJ45" s="219"/>
      <c r="FK45" s="219"/>
      <c r="FL45" s="219"/>
      <c r="FM45" s="219"/>
      <c r="FN45" s="219"/>
      <c r="FO45" s="219"/>
      <c r="FP45" s="219"/>
      <c r="FQ45" s="219"/>
      <c r="FR45" s="219"/>
      <c r="FS45" s="219"/>
      <c r="FT45" s="219"/>
      <c r="FU45" s="219"/>
      <c r="FV45" s="219"/>
      <c r="FW45" s="219"/>
      <c r="FX45" s="219"/>
      <c r="FY45" s="219"/>
      <c r="FZ45" s="219"/>
      <c r="GA45" s="219"/>
      <c r="GB45" s="2"/>
      <c r="GC45" s="2"/>
      <c r="GD45" s="219"/>
      <c r="GE45" s="219"/>
      <c r="GF45" s="219"/>
      <c r="GG45" s="219"/>
      <c r="GH45" s="219"/>
      <c r="GI45" s="219"/>
      <c r="GJ45" s="219"/>
      <c r="GK45" s="219"/>
      <c r="GL45" s="219"/>
      <c r="GM45" s="219"/>
    </row>
    <row r="46" spans="1:195" ht="6.95" customHeight="1" x14ac:dyDescent="0.15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19"/>
      <c r="BR46" s="219"/>
      <c r="BS46" s="219"/>
      <c r="BT46" s="219"/>
      <c r="BU46" s="219"/>
      <c r="BV46" s="219"/>
      <c r="BW46" s="219"/>
      <c r="BX46" s="219"/>
      <c r="BY46" s="219"/>
      <c r="BZ46" s="219"/>
      <c r="CA46" s="219"/>
      <c r="CB46" s="219"/>
      <c r="CC46" s="219"/>
      <c r="CD46" s="219"/>
      <c r="CE46" s="219"/>
      <c r="CF46" s="219"/>
      <c r="CG46" s="219"/>
      <c r="CH46" s="219"/>
      <c r="CI46" s="219"/>
      <c r="CJ46" s="219"/>
      <c r="CK46" s="219"/>
      <c r="CL46" s="219"/>
      <c r="CM46" s="219"/>
      <c r="CN46" s="219"/>
      <c r="CO46" s="219"/>
      <c r="CP46" s="219"/>
      <c r="CQ46" s="219"/>
      <c r="CR46" s="219"/>
      <c r="CS46" s="219"/>
      <c r="CT46" s="219"/>
      <c r="CU46" s="219"/>
      <c r="CV46" s="219"/>
      <c r="CW46" s="219"/>
      <c r="CX46" s="219"/>
      <c r="CY46" s="219"/>
      <c r="CZ46" s="219"/>
      <c r="DA46" s="219"/>
      <c r="DB46" s="219"/>
      <c r="DC46" s="219"/>
      <c r="DD46" s="219"/>
      <c r="DE46" s="219"/>
      <c r="DF46" s="219"/>
      <c r="DG46" s="219"/>
      <c r="DH46" s="219"/>
      <c r="DI46" s="219"/>
      <c r="DJ46" s="219"/>
      <c r="DK46" s="219"/>
      <c r="DL46" s="219"/>
      <c r="DM46" s="219"/>
      <c r="DN46" s="219"/>
      <c r="DO46" s="219"/>
      <c r="DP46" s="219"/>
      <c r="DQ46" s="219"/>
      <c r="DR46" s="219"/>
      <c r="DS46" s="219"/>
      <c r="DT46" s="219"/>
      <c r="DU46" s="219"/>
      <c r="DV46" s="219"/>
      <c r="DW46" s="219"/>
      <c r="DX46" s="219"/>
      <c r="DY46" s="219"/>
      <c r="DZ46" s="219"/>
      <c r="EA46" s="219"/>
      <c r="EB46" s="219"/>
      <c r="EC46" s="219"/>
      <c r="ED46" s="219"/>
      <c r="EE46" s="219"/>
      <c r="EF46" s="219"/>
      <c r="EG46" s="219"/>
      <c r="EH46" s="219"/>
      <c r="EI46" s="219"/>
      <c r="EJ46" s="219"/>
      <c r="EK46" s="219"/>
      <c r="EL46" s="219"/>
      <c r="EM46" s="219"/>
      <c r="EN46" s="219"/>
      <c r="EO46" s="219"/>
      <c r="EP46" s="219"/>
      <c r="EQ46" s="219"/>
      <c r="ER46" s="219"/>
      <c r="ES46" s="219"/>
      <c r="ET46" s="219"/>
      <c r="EU46" s="219"/>
      <c r="EV46" s="219"/>
      <c r="EW46" s="219"/>
      <c r="EX46" s="219"/>
      <c r="EY46" s="219"/>
      <c r="EZ46" s="219"/>
      <c r="FA46" s="219"/>
      <c r="FB46" s="219"/>
      <c r="FC46" s="219"/>
      <c r="FD46" s="219"/>
      <c r="FE46" s="219"/>
      <c r="FF46" s="219"/>
      <c r="FG46" s="219"/>
      <c r="FH46" s="219"/>
      <c r="FI46" s="219"/>
      <c r="FJ46" s="219"/>
      <c r="FK46" s="219"/>
      <c r="FL46" s="219"/>
      <c r="FM46" s="219"/>
      <c r="FN46" s="219"/>
      <c r="FO46" s="219"/>
      <c r="FP46" s="219"/>
      <c r="FQ46" s="219"/>
      <c r="FR46" s="219"/>
      <c r="FS46" s="219"/>
      <c r="FT46" s="219"/>
      <c r="FU46" s="219"/>
      <c r="FV46" s="219"/>
      <c r="FW46" s="219"/>
      <c r="FX46" s="219"/>
      <c r="FY46" s="219"/>
      <c r="FZ46" s="219"/>
      <c r="GA46" s="219"/>
      <c r="GB46" s="2"/>
      <c r="GC46" s="2"/>
      <c r="GD46" s="219"/>
      <c r="GE46" s="219"/>
      <c r="GF46" s="219"/>
      <c r="GG46" s="219"/>
      <c r="GH46" s="219"/>
      <c r="GI46" s="219"/>
      <c r="GJ46" s="219"/>
      <c r="GK46" s="219"/>
      <c r="GL46" s="219"/>
      <c r="GM46" s="219"/>
    </row>
    <row r="47" spans="1:195" ht="6.95" customHeight="1" x14ac:dyDescent="0.15">
      <c r="A47" s="1"/>
      <c r="B47" s="1"/>
      <c r="C47" s="1"/>
      <c r="D47" s="1"/>
      <c r="E47" s="1"/>
      <c r="F47" s="112"/>
      <c r="G47" s="112"/>
      <c r="H47" s="112"/>
      <c r="I47" s="112"/>
      <c r="J47" s="112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220">
        <f>F47*Y47</f>
        <v>0</v>
      </c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19"/>
      <c r="BR47" s="219"/>
      <c r="BS47" s="219"/>
      <c r="BT47" s="219"/>
      <c r="BU47" s="219"/>
      <c r="BV47" s="219"/>
      <c r="BW47" s="219"/>
      <c r="BX47" s="219"/>
      <c r="BY47" s="219"/>
      <c r="BZ47" s="219"/>
      <c r="CA47" s="219"/>
      <c r="CB47" s="219"/>
      <c r="CC47" s="219"/>
      <c r="CD47" s="219"/>
      <c r="CE47" s="219"/>
      <c r="CF47" s="219"/>
      <c r="CG47" s="219"/>
      <c r="CH47" s="219"/>
      <c r="CI47" s="219"/>
      <c r="CJ47" s="219"/>
      <c r="CK47" s="219"/>
      <c r="CL47" s="219"/>
      <c r="CM47" s="219"/>
      <c r="CN47" s="219"/>
      <c r="CO47" s="219"/>
      <c r="CP47" s="219"/>
      <c r="CQ47" s="219"/>
      <c r="CR47" s="219"/>
      <c r="CS47" s="219"/>
      <c r="CT47" s="219"/>
      <c r="CU47" s="219"/>
      <c r="CV47" s="219"/>
      <c r="CW47" s="219"/>
      <c r="CX47" s="219"/>
      <c r="CY47" s="219"/>
      <c r="CZ47" s="219"/>
      <c r="DA47" s="219"/>
      <c r="DB47" s="219"/>
      <c r="DC47" s="219"/>
      <c r="DD47" s="219"/>
      <c r="DE47" s="219"/>
      <c r="DF47" s="219"/>
      <c r="DG47" s="219"/>
      <c r="DH47" s="219"/>
      <c r="DI47" s="219"/>
      <c r="DJ47" s="219"/>
      <c r="DK47" s="219"/>
      <c r="DL47" s="219"/>
      <c r="DM47" s="219"/>
      <c r="DN47" s="219"/>
      <c r="DO47" s="219"/>
      <c r="DP47" s="219"/>
      <c r="DQ47" s="219"/>
      <c r="DR47" s="219"/>
      <c r="DS47" s="219"/>
      <c r="DT47" s="219"/>
      <c r="DU47" s="219"/>
      <c r="DV47" s="219"/>
      <c r="DW47" s="219"/>
      <c r="DX47" s="219"/>
      <c r="DY47" s="219"/>
      <c r="DZ47" s="219"/>
      <c r="EA47" s="219"/>
      <c r="EB47" s="219"/>
      <c r="EC47" s="219"/>
      <c r="ED47" s="219"/>
      <c r="EE47" s="219"/>
      <c r="EF47" s="219"/>
      <c r="EG47" s="219"/>
      <c r="EH47" s="219"/>
      <c r="EI47" s="219"/>
      <c r="EJ47" s="219"/>
      <c r="EK47" s="219"/>
      <c r="EL47" s="219"/>
      <c r="EM47" s="219"/>
      <c r="EN47" s="219"/>
      <c r="EO47" s="219"/>
      <c r="EP47" s="219"/>
      <c r="EQ47" s="219"/>
      <c r="ER47" s="219"/>
      <c r="ES47" s="219"/>
      <c r="ET47" s="219"/>
      <c r="EU47" s="219"/>
      <c r="EV47" s="219"/>
      <c r="EW47" s="219"/>
      <c r="EX47" s="219"/>
      <c r="EY47" s="219"/>
      <c r="EZ47" s="219"/>
      <c r="FA47" s="219"/>
      <c r="FB47" s="219"/>
      <c r="FC47" s="219"/>
      <c r="FD47" s="219"/>
      <c r="FE47" s="219"/>
      <c r="FF47" s="219"/>
      <c r="FG47" s="219"/>
      <c r="FH47" s="219"/>
      <c r="FI47" s="219"/>
      <c r="FJ47" s="219"/>
      <c r="FK47" s="219"/>
      <c r="FL47" s="219"/>
      <c r="FM47" s="219"/>
      <c r="FN47" s="219"/>
      <c r="FO47" s="219"/>
      <c r="FP47" s="219"/>
      <c r="FQ47" s="219"/>
      <c r="FR47" s="219"/>
      <c r="FS47" s="219"/>
      <c r="FT47" s="219"/>
      <c r="FU47" s="219"/>
      <c r="FV47" s="219"/>
      <c r="FW47" s="219"/>
      <c r="FX47" s="219"/>
      <c r="FY47" s="219"/>
      <c r="FZ47" s="219"/>
      <c r="GA47" s="219"/>
      <c r="GB47" s="2"/>
      <c r="GC47" s="2"/>
      <c r="GD47" s="219"/>
      <c r="GE47" s="219"/>
      <c r="GF47" s="219"/>
      <c r="GG47" s="219"/>
      <c r="GH47" s="219"/>
      <c r="GI47" s="219"/>
      <c r="GJ47" s="219"/>
      <c r="GK47" s="219"/>
      <c r="GL47" s="219"/>
      <c r="GM47" s="219"/>
    </row>
    <row r="48" spans="1:195" ht="6.95" customHeight="1" x14ac:dyDescent="0.15">
      <c r="A48" s="1"/>
      <c r="B48" s="1"/>
      <c r="C48" s="1"/>
      <c r="D48" s="1"/>
      <c r="E48" s="1"/>
      <c r="F48" s="112"/>
      <c r="G48" s="112"/>
      <c r="H48" s="112"/>
      <c r="I48" s="112"/>
      <c r="J48" s="112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220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19"/>
      <c r="BR48" s="219"/>
      <c r="BS48" s="219"/>
      <c r="BT48" s="219"/>
      <c r="BU48" s="219"/>
      <c r="BV48" s="219"/>
      <c r="BW48" s="219"/>
      <c r="BX48" s="219"/>
      <c r="BY48" s="219"/>
      <c r="BZ48" s="219"/>
      <c r="CA48" s="219"/>
      <c r="CB48" s="219"/>
      <c r="CC48" s="219"/>
      <c r="CD48" s="219"/>
      <c r="CE48" s="219"/>
      <c r="CF48" s="219"/>
      <c r="CG48" s="219"/>
      <c r="CH48" s="219"/>
      <c r="CI48" s="219"/>
      <c r="CJ48" s="219"/>
      <c r="CK48" s="219"/>
      <c r="CL48" s="219"/>
      <c r="CM48" s="219"/>
      <c r="CN48" s="219"/>
      <c r="CO48" s="219"/>
      <c r="CP48" s="219"/>
      <c r="CQ48" s="219"/>
      <c r="CR48" s="219"/>
      <c r="CS48" s="219"/>
      <c r="CT48" s="219"/>
      <c r="CU48" s="219"/>
      <c r="CV48" s="219"/>
      <c r="CW48" s="219"/>
      <c r="CX48" s="219"/>
      <c r="CY48" s="219"/>
      <c r="CZ48" s="219"/>
      <c r="DA48" s="219"/>
      <c r="DB48" s="219"/>
      <c r="DC48" s="219"/>
      <c r="DD48" s="219"/>
      <c r="DE48" s="219"/>
      <c r="DF48" s="219"/>
      <c r="DG48" s="219"/>
      <c r="DH48" s="219"/>
      <c r="DI48" s="219"/>
      <c r="DJ48" s="219"/>
      <c r="DK48" s="219"/>
      <c r="DL48" s="219"/>
      <c r="DM48" s="219"/>
      <c r="DN48" s="219"/>
      <c r="DO48" s="219"/>
      <c r="DP48" s="219"/>
      <c r="DQ48" s="219"/>
      <c r="DR48" s="219"/>
      <c r="DS48" s="219"/>
      <c r="DT48" s="219"/>
      <c r="DU48" s="219"/>
      <c r="DV48" s="219"/>
      <c r="DW48" s="219"/>
      <c r="DX48" s="219"/>
      <c r="DY48" s="219"/>
      <c r="DZ48" s="219"/>
      <c r="EA48" s="219"/>
      <c r="EB48" s="219"/>
      <c r="EC48" s="219"/>
      <c r="ED48" s="219"/>
      <c r="EE48" s="219"/>
      <c r="EF48" s="219"/>
      <c r="EG48" s="219"/>
      <c r="EH48" s="219"/>
      <c r="EI48" s="219"/>
      <c r="EJ48" s="219"/>
      <c r="EK48" s="219"/>
      <c r="EL48" s="219"/>
      <c r="EM48" s="219"/>
      <c r="EN48" s="219"/>
      <c r="EO48" s="219"/>
      <c r="EP48" s="219"/>
      <c r="EQ48" s="219"/>
      <c r="ER48" s="219"/>
      <c r="ES48" s="219"/>
      <c r="ET48" s="219"/>
      <c r="EU48" s="219"/>
      <c r="EV48" s="219"/>
      <c r="EW48" s="219"/>
      <c r="EX48" s="219"/>
      <c r="EY48" s="219"/>
      <c r="EZ48" s="219"/>
      <c r="FA48" s="219"/>
      <c r="FB48" s="219"/>
      <c r="FC48" s="219"/>
      <c r="FD48" s="219"/>
      <c r="FE48" s="219"/>
      <c r="FF48" s="219"/>
      <c r="FG48" s="219"/>
      <c r="FH48" s="219"/>
      <c r="FI48" s="219"/>
      <c r="FJ48" s="219"/>
      <c r="FK48" s="219"/>
      <c r="FL48" s="219"/>
      <c r="FM48" s="219"/>
      <c r="FN48" s="219"/>
      <c r="FO48" s="219"/>
      <c r="FP48" s="219"/>
      <c r="FQ48" s="219"/>
      <c r="FR48" s="219"/>
      <c r="FS48" s="219"/>
      <c r="FT48" s="219"/>
      <c r="FU48" s="219"/>
      <c r="FV48" s="219"/>
      <c r="FW48" s="219"/>
      <c r="FX48" s="219"/>
      <c r="FY48" s="219"/>
      <c r="FZ48" s="219"/>
      <c r="GA48" s="219"/>
      <c r="GB48" s="2"/>
      <c r="GC48" s="2"/>
      <c r="GD48" s="219"/>
      <c r="GE48" s="219"/>
      <c r="GF48" s="219"/>
      <c r="GG48" s="219"/>
      <c r="GH48" s="219"/>
      <c r="GI48" s="219"/>
      <c r="GJ48" s="219"/>
      <c r="GK48" s="219"/>
      <c r="GL48" s="219"/>
      <c r="GM48" s="219"/>
    </row>
    <row r="49" spans="1:195" ht="6.95" customHeight="1" x14ac:dyDescent="0.15">
      <c r="A49" s="1"/>
      <c r="B49" s="1"/>
      <c r="C49" s="1"/>
      <c r="D49" s="1"/>
      <c r="E49" s="1"/>
      <c r="F49" s="112"/>
      <c r="G49" s="112"/>
      <c r="H49" s="112"/>
      <c r="I49" s="112"/>
      <c r="J49" s="112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220">
        <f>F47*Y49</f>
        <v>0</v>
      </c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19"/>
      <c r="BR49" s="219"/>
      <c r="BS49" s="219"/>
      <c r="BT49" s="219"/>
      <c r="BU49" s="219"/>
      <c r="BV49" s="219"/>
      <c r="BW49" s="219"/>
      <c r="BX49" s="219"/>
      <c r="BY49" s="219"/>
      <c r="BZ49" s="219"/>
      <c r="CA49" s="219"/>
      <c r="CB49" s="219"/>
      <c r="CC49" s="219"/>
      <c r="CD49" s="219"/>
      <c r="CE49" s="219"/>
      <c r="CF49" s="219"/>
      <c r="CG49" s="219"/>
      <c r="CH49" s="219"/>
      <c r="CI49" s="219"/>
      <c r="CJ49" s="219"/>
      <c r="CK49" s="219"/>
      <c r="CL49" s="219"/>
      <c r="CM49" s="219"/>
      <c r="CN49" s="219"/>
      <c r="CO49" s="219"/>
      <c r="CP49" s="219"/>
      <c r="CQ49" s="219"/>
      <c r="CR49" s="219"/>
      <c r="CS49" s="219"/>
      <c r="CT49" s="219"/>
      <c r="CU49" s="219"/>
      <c r="CV49" s="219"/>
      <c r="CW49" s="219"/>
      <c r="CX49" s="219"/>
      <c r="CY49" s="219"/>
      <c r="CZ49" s="219"/>
      <c r="DA49" s="219"/>
      <c r="DB49" s="219"/>
      <c r="DC49" s="219"/>
      <c r="DD49" s="219"/>
      <c r="DE49" s="219"/>
      <c r="DF49" s="219"/>
      <c r="DG49" s="219"/>
      <c r="DH49" s="219"/>
      <c r="DI49" s="219"/>
      <c r="DJ49" s="219"/>
      <c r="DK49" s="219"/>
      <c r="DL49" s="219"/>
      <c r="DM49" s="219"/>
      <c r="DN49" s="219"/>
      <c r="DO49" s="219"/>
      <c r="DP49" s="219"/>
      <c r="DQ49" s="219"/>
      <c r="DR49" s="219"/>
      <c r="DS49" s="219"/>
      <c r="DT49" s="219"/>
      <c r="DU49" s="219"/>
      <c r="DV49" s="219"/>
      <c r="DW49" s="219"/>
      <c r="DX49" s="219"/>
      <c r="DY49" s="219"/>
      <c r="DZ49" s="219"/>
      <c r="EA49" s="219"/>
      <c r="EB49" s="219"/>
      <c r="EC49" s="219"/>
      <c r="ED49" s="219"/>
      <c r="EE49" s="219"/>
      <c r="EF49" s="219"/>
      <c r="EG49" s="219"/>
      <c r="EH49" s="219"/>
      <c r="EI49" s="219"/>
      <c r="EJ49" s="219"/>
      <c r="EK49" s="219"/>
      <c r="EL49" s="219"/>
      <c r="EM49" s="219"/>
      <c r="EN49" s="219"/>
      <c r="EO49" s="219"/>
      <c r="EP49" s="219"/>
      <c r="EQ49" s="219"/>
      <c r="ER49" s="219"/>
      <c r="ES49" s="219"/>
      <c r="ET49" s="219"/>
      <c r="EU49" s="219"/>
      <c r="EV49" s="219"/>
      <c r="EW49" s="219"/>
      <c r="EX49" s="219"/>
      <c r="EY49" s="219"/>
      <c r="EZ49" s="219"/>
      <c r="FA49" s="219"/>
      <c r="FB49" s="219"/>
      <c r="FC49" s="219"/>
      <c r="FD49" s="219"/>
      <c r="FE49" s="219"/>
      <c r="FF49" s="219"/>
      <c r="FG49" s="219"/>
      <c r="FH49" s="219"/>
      <c r="FI49" s="219"/>
      <c r="FJ49" s="219"/>
      <c r="FK49" s="219"/>
      <c r="FL49" s="219"/>
      <c r="FM49" s="219"/>
      <c r="FN49" s="219"/>
      <c r="FO49" s="219"/>
      <c r="FP49" s="219"/>
      <c r="FQ49" s="219"/>
      <c r="FR49" s="219"/>
      <c r="FS49" s="219"/>
      <c r="FT49" s="219"/>
      <c r="FU49" s="219"/>
      <c r="FV49" s="219"/>
      <c r="FW49" s="219"/>
      <c r="FX49" s="219"/>
      <c r="FY49" s="219"/>
      <c r="FZ49" s="219"/>
      <c r="GA49" s="219"/>
      <c r="GB49" s="2"/>
      <c r="GC49" s="2"/>
      <c r="GD49" s="219"/>
      <c r="GE49" s="219"/>
      <c r="GF49" s="219"/>
      <c r="GG49" s="219"/>
      <c r="GH49" s="219"/>
      <c r="GI49" s="219"/>
      <c r="GJ49" s="219"/>
      <c r="GK49" s="219"/>
      <c r="GL49" s="219"/>
      <c r="GM49" s="219"/>
    </row>
    <row r="50" spans="1:195" ht="6.95" customHeight="1" x14ac:dyDescent="0.15">
      <c r="A50" s="1"/>
      <c r="B50" s="1"/>
      <c r="C50" s="1"/>
      <c r="D50" s="1"/>
      <c r="E50" s="1"/>
      <c r="F50" s="112"/>
      <c r="G50" s="112"/>
      <c r="H50" s="112"/>
      <c r="I50" s="112"/>
      <c r="J50" s="112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220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19"/>
      <c r="BR50" s="219"/>
      <c r="BS50" s="219"/>
      <c r="BT50" s="219"/>
      <c r="BU50" s="219"/>
      <c r="BV50" s="219"/>
      <c r="BW50" s="219"/>
      <c r="BX50" s="219"/>
      <c r="BY50" s="219"/>
      <c r="BZ50" s="219"/>
      <c r="CA50" s="219"/>
      <c r="CB50" s="219"/>
      <c r="CC50" s="219"/>
      <c r="CD50" s="219"/>
      <c r="CE50" s="219"/>
      <c r="CF50" s="219"/>
      <c r="CG50" s="219"/>
      <c r="CH50" s="219"/>
      <c r="CI50" s="219"/>
      <c r="CJ50" s="219"/>
      <c r="CK50" s="219"/>
      <c r="CL50" s="219"/>
      <c r="CM50" s="219"/>
      <c r="CN50" s="219"/>
      <c r="CO50" s="219"/>
      <c r="CP50" s="219"/>
      <c r="CQ50" s="219"/>
      <c r="CR50" s="219"/>
      <c r="CS50" s="219"/>
      <c r="CT50" s="219"/>
      <c r="CU50" s="219"/>
      <c r="CV50" s="219"/>
      <c r="CW50" s="219"/>
      <c r="CX50" s="219"/>
      <c r="CY50" s="219"/>
      <c r="CZ50" s="219"/>
      <c r="DA50" s="219"/>
      <c r="DB50" s="219"/>
      <c r="DC50" s="219"/>
      <c r="DD50" s="219"/>
      <c r="DE50" s="219"/>
      <c r="DF50" s="219"/>
      <c r="DG50" s="219"/>
      <c r="DH50" s="219"/>
      <c r="DI50" s="219"/>
      <c r="DJ50" s="219"/>
      <c r="DK50" s="219"/>
      <c r="DL50" s="219"/>
      <c r="DM50" s="219"/>
      <c r="DN50" s="219"/>
      <c r="DO50" s="219"/>
      <c r="DP50" s="219"/>
      <c r="DQ50" s="219"/>
      <c r="DR50" s="219"/>
      <c r="DS50" s="219"/>
      <c r="DT50" s="219"/>
      <c r="DU50" s="219"/>
      <c r="DV50" s="219"/>
      <c r="DW50" s="219"/>
      <c r="DX50" s="219"/>
      <c r="DY50" s="219"/>
      <c r="DZ50" s="219"/>
      <c r="EA50" s="219"/>
      <c r="EB50" s="219"/>
      <c r="EC50" s="219"/>
      <c r="ED50" s="219"/>
      <c r="EE50" s="219"/>
      <c r="EF50" s="219"/>
      <c r="EG50" s="219"/>
      <c r="EH50" s="219"/>
      <c r="EI50" s="219"/>
      <c r="EJ50" s="219"/>
      <c r="EK50" s="219"/>
      <c r="EL50" s="219"/>
      <c r="EM50" s="219"/>
      <c r="EN50" s="219"/>
      <c r="EO50" s="219"/>
      <c r="EP50" s="219"/>
      <c r="EQ50" s="219"/>
      <c r="ER50" s="219"/>
      <c r="ES50" s="219"/>
      <c r="ET50" s="219"/>
      <c r="EU50" s="219"/>
      <c r="EV50" s="219"/>
      <c r="EW50" s="219"/>
      <c r="EX50" s="219"/>
      <c r="EY50" s="219"/>
      <c r="EZ50" s="219"/>
      <c r="FA50" s="219"/>
      <c r="FB50" s="219"/>
      <c r="FC50" s="219"/>
      <c r="FD50" s="219"/>
      <c r="FE50" s="219"/>
      <c r="FF50" s="219"/>
      <c r="FG50" s="219"/>
      <c r="FH50" s="219"/>
      <c r="FI50" s="219"/>
      <c r="FJ50" s="219"/>
      <c r="FK50" s="219"/>
      <c r="FL50" s="219"/>
      <c r="FM50" s="219"/>
      <c r="FN50" s="219"/>
      <c r="FO50" s="219"/>
      <c r="FP50" s="219"/>
      <c r="FQ50" s="219"/>
      <c r="FR50" s="219"/>
      <c r="FS50" s="219"/>
      <c r="FT50" s="219"/>
      <c r="FU50" s="219"/>
      <c r="FV50" s="219"/>
      <c r="FW50" s="219"/>
      <c r="FX50" s="219"/>
      <c r="FY50" s="219"/>
      <c r="FZ50" s="219"/>
      <c r="GA50" s="219"/>
      <c r="GB50" s="2"/>
      <c r="GC50" s="2"/>
      <c r="GD50" s="219"/>
      <c r="GE50" s="219"/>
      <c r="GF50" s="219"/>
      <c r="GG50" s="219"/>
      <c r="GH50" s="219"/>
      <c r="GI50" s="219"/>
      <c r="GJ50" s="219"/>
      <c r="GK50" s="219"/>
      <c r="GL50" s="219"/>
      <c r="GM50" s="219"/>
    </row>
    <row r="51" spans="1:195" ht="6.95" customHeight="1" x14ac:dyDescent="0.15">
      <c r="A51" s="1"/>
      <c r="B51" s="1"/>
      <c r="C51" s="1"/>
      <c r="D51" s="1"/>
      <c r="E51" s="1"/>
      <c r="F51" s="113"/>
      <c r="G51" s="113"/>
      <c r="H51" s="113"/>
      <c r="I51" s="113"/>
      <c r="J51" s="113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220">
        <f>F47*Y51</f>
        <v>0</v>
      </c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219"/>
      <c r="BG51" s="219"/>
      <c r="BH51" s="219"/>
      <c r="BI51" s="219"/>
      <c r="BJ51" s="219"/>
      <c r="BK51" s="219"/>
      <c r="BL51" s="219"/>
      <c r="BM51" s="219"/>
      <c r="BN51" s="219"/>
      <c r="BO51" s="219"/>
      <c r="BP51" s="219"/>
      <c r="BQ51" s="219"/>
      <c r="BR51" s="219"/>
      <c r="BS51" s="219"/>
      <c r="BT51" s="219"/>
      <c r="BU51" s="219"/>
      <c r="BV51" s="219"/>
      <c r="BW51" s="219"/>
      <c r="BX51" s="219"/>
      <c r="BY51" s="219"/>
      <c r="BZ51" s="219"/>
      <c r="CA51" s="219"/>
      <c r="CB51" s="219"/>
      <c r="CC51" s="219"/>
      <c r="CD51" s="219"/>
      <c r="CE51" s="219"/>
      <c r="CF51" s="219"/>
      <c r="CG51" s="219"/>
      <c r="CH51" s="219"/>
      <c r="CI51" s="219"/>
      <c r="CJ51" s="219"/>
      <c r="CK51" s="219"/>
      <c r="CL51" s="219"/>
      <c r="CM51" s="219"/>
      <c r="CN51" s="219"/>
      <c r="CO51" s="219"/>
      <c r="CP51" s="219"/>
      <c r="CQ51" s="219"/>
      <c r="CR51" s="219"/>
      <c r="CS51" s="219"/>
      <c r="CT51" s="219"/>
      <c r="CU51" s="219"/>
      <c r="CV51" s="219"/>
      <c r="CW51" s="219"/>
      <c r="CX51" s="219"/>
      <c r="CY51" s="219"/>
      <c r="CZ51" s="219"/>
      <c r="DA51" s="219"/>
      <c r="DB51" s="219"/>
      <c r="DC51" s="219"/>
      <c r="DD51" s="219"/>
      <c r="DE51" s="219"/>
      <c r="DF51" s="219"/>
      <c r="DG51" s="219"/>
      <c r="DH51" s="219"/>
      <c r="DI51" s="219"/>
      <c r="DJ51" s="219"/>
      <c r="DK51" s="219"/>
      <c r="DL51" s="219"/>
      <c r="DM51" s="219"/>
      <c r="DN51" s="219"/>
      <c r="DO51" s="219"/>
      <c r="DP51" s="219"/>
      <c r="DQ51" s="219"/>
      <c r="DR51" s="219"/>
      <c r="DS51" s="219"/>
      <c r="DT51" s="219"/>
      <c r="DU51" s="219"/>
      <c r="DV51" s="219"/>
      <c r="DW51" s="219"/>
      <c r="DX51" s="219"/>
      <c r="DY51" s="219"/>
      <c r="DZ51" s="219"/>
      <c r="EA51" s="219"/>
      <c r="EB51" s="219"/>
      <c r="EC51" s="219"/>
      <c r="ED51" s="219"/>
      <c r="EE51" s="219"/>
      <c r="EF51" s="219"/>
      <c r="EG51" s="219"/>
      <c r="EH51" s="219"/>
      <c r="EI51" s="219"/>
      <c r="EJ51" s="219"/>
      <c r="EK51" s="219"/>
      <c r="EL51" s="219"/>
      <c r="EM51" s="219"/>
      <c r="EN51" s="219"/>
      <c r="EO51" s="219"/>
      <c r="EP51" s="219"/>
      <c r="EQ51" s="219"/>
      <c r="ER51" s="219"/>
      <c r="ES51" s="219"/>
      <c r="ET51" s="219"/>
      <c r="EU51" s="219"/>
      <c r="EV51" s="219"/>
      <c r="EW51" s="219"/>
      <c r="EX51" s="219"/>
      <c r="EY51" s="219"/>
      <c r="EZ51" s="219"/>
      <c r="FA51" s="219"/>
      <c r="FB51" s="219"/>
      <c r="FC51" s="219"/>
      <c r="FD51" s="219"/>
      <c r="FE51" s="219"/>
      <c r="FF51" s="219"/>
      <c r="FG51" s="219"/>
      <c r="FH51" s="219"/>
      <c r="FI51" s="219"/>
      <c r="FJ51" s="219"/>
      <c r="FK51" s="219"/>
      <c r="FL51" s="219"/>
      <c r="FM51" s="219"/>
      <c r="FN51" s="219"/>
      <c r="FO51" s="219"/>
      <c r="FP51" s="219"/>
      <c r="FQ51" s="219"/>
      <c r="FR51" s="219"/>
      <c r="FS51" s="219"/>
      <c r="FT51" s="219"/>
      <c r="FU51" s="219"/>
      <c r="FV51" s="219"/>
      <c r="FW51" s="219"/>
      <c r="FX51" s="219"/>
      <c r="FY51" s="219"/>
      <c r="FZ51" s="219"/>
      <c r="GA51" s="219"/>
      <c r="GB51" s="2"/>
      <c r="GC51" s="2"/>
      <c r="GD51" s="219"/>
      <c r="GE51" s="219"/>
      <c r="GF51" s="219"/>
      <c r="GG51" s="219"/>
      <c r="GH51" s="219"/>
      <c r="GI51" s="219"/>
      <c r="GJ51" s="219"/>
      <c r="GK51" s="219"/>
      <c r="GL51" s="219"/>
      <c r="GM51" s="219"/>
    </row>
    <row r="52" spans="1:195" ht="6.95" customHeight="1" x14ac:dyDescent="0.15">
      <c r="A52" s="1"/>
      <c r="B52" s="1"/>
      <c r="C52" s="1"/>
      <c r="D52" s="1"/>
      <c r="E52" s="1"/>
      <c r="F52" s="113"/>
      <c r="G52" s="113"/>
      <c r="H52" s="113"/>
      <c r="I52" s="113"/>
      <c r="J52" s="113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220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219"/>
      <c r="BG52" s="219"/>
      <c r="BH52" s="219"/>
      <c r="BI52" s="219"/>
      <c r="BJ52" s="219"/>
      <c r="BK52" s="219"/>
      <c r="BL52" s="219"/>
      <c r="BM52" s="219"/>
      <c r="BN52" s="219"/>
      <c r="BO52" s="219"/>
      <c r="BP52" s="219"/>
      <c r="BQ52" s="219"/>
      <c r="BR52" s="219"/>
      <c r="BS52" s="219"/>
      <c r="BT52" s="219"/>
      <c r="BU52" s="219"/>
      <c r="BV52" s="219"/>
      <c r="BW52" s="219"/>
      <c r="BX52" s="219"/>
      <c r="BY52" s="219"/>
      <c r="BZ52" s="219"/>
      <c r="CA52" s="219"/>
      <c r="CB52" s="219"/>
      <c r="CC52" s="219"/>
      <c r="CD52" s="219"/>
      <c r="CE52" s="219"/>
      <c r="CF52" s="219"/>
      <c r="CG52" s="219"/>
      <c r="CH52" s="219"/>
      <c r="CI52" s="219"/>
      <c r="CJ52" s="219"/>
      <c r="CK52" s="219"/>
      <c r="CL52" s="219"/>
      <c r="CM52" s="219"/>
      <c r="CN52" s="219"/>
      <c r="CO52" s="219"/>
      <c r="CP52" s="219"/>
      <c r="CQ52" s="219"/>
      <c r="CR52" s="219"/>
      <c r="CS52" s="219"/>
      <c r="CT52" s="219"/>
      <c r="CU52" s="219"/>
      <c r="CV52" s="219"/>
      <c r="CW52" s="219"/>
      <c r="CX52" s="219"/>
      <c r="CY52" s="219"/>
      <c r="CZ52" s="219"/>
      <c r="DA52" s="219"/>
      <c r="DB52" s="219"/>
      <c r="DC52" s="219"/>
      <c r="DD52" s="219"/>
      <c r="DE52" s="219"/>
      <c r="DF52" s="219"/>
      <c r="DG52" s="219"/>
      <c r="DH52" s="219"/>
      <c r="DI52" s="219"/>
      <c r="DJ52" s="219"/>
      <c r="DK52" s="219"/>
      <c r="DL52" s="219"/>
      <c r="DM52" s="219"/>
      <c r="DN52" s="219"/>
      <c r="DO52" s="219"/>
      <c r="DP52" s="219"/>
      <c r="DQ52" s="219"/>
      <c r="DR52" s="219"/>
      <c r="DS52" s="219"/>
      <c r="DT52" s="219"/>
      <c r="DU52" s="219"/>
      <c r="DV52" s="219"/>
      <c r="DW52" s="219"/>
      <c r="DX52" s="219"/>
      <c r="DY52" s="219"/>
      <c r="DZ52" s="219"/>
      <c r="EA52" s="219"/>
      <c r="EB52" s="219"/>
      <c r="EC52" s="219"/>
      <c r="ED52" s="219"/>
      <c r="EE52" s="219"/>
      <c r="EF52" s="219"/>
      <c r="EG52" s="219"/>
      <c r="EH52" s="219"/>
      <c r="EI52" s="219"/>
      <c r="EJ52" s="219"/>
      <c r="EK52" s="219"/>
      <c r="EL52" s="219"/>
      <c r="EM52" s="219"/>
      <c r="EN52" s="219"/>
      <c r="EO52" s="219"/>
      <c r="EP52" s="219"/>
      <c r="EQ52" s="219"/>
      <c r="ER52" s="219"/>
      <c r="ES52" s="219"/>
      <c r="ET52" s="219"/>
      <c r="EU52" s="219"/>
      <c r="EV52" s="219"/>
      <c r="EW52" s="219"/>
      <c r="EX52" s="219"/>
      <c r="EY52" s="219"/>
      <c r="EZ52" s="219"/>
      <c r="FA52" s="219"/>
      <c r="FB52" s="219"/>
      <c r="FC52" s="219"/>
      <c r="FD52" s="219"/>
      <c r="FE52" s="219"/>
      <c r="FF52" s="219"/>
      <c r="FG52" s="219"/>
      <c r="FH52" s="219"/>
      <c r="FI52" s="219"/>
      <c r="FJ52" s="219"/>
      <c r="FK52" s="219"/>
      <c r="FL52" s="219"/>
      <c r="FM52" s="219"/>
      <c r="FN52" s="219"/>
      <c r="FO52" s="219"/>
      <c r="FP52" s="219"/>
      <c r="FQ52" s="219"/>
      <c r="FR52" s="219"/>
      <c r="FS52" s="219"/>
      <c r="FT52" s="219"/>
      <c r="FU52" s="219"/>
      <c r="FV52" s="219"/>
      <c r="FW52" s="219"/>
      <c r="FX52" s="219"/>
      <c r="FY52" s="219"/>
      <c r="FZ52" s="219"/>
      <c r="GA52" s="219"/>
      <c r="GB52" s="2"/>
      <c r="GC52" s="2"/>
      <c r="GD52" s="219"/>
      <c r="GE52" s="219"/>
      <c r="GF52" s="219"/>
      <c r="GG52" s="219"/>
      <c r="GH52" s="219"/>
      <c r="GI52" s="219"/>
      <c r="GJ52" s="219"/>
      <c r="GK52" s="219"/>
      <c r="GL52" s="219"/>
      <c r="GM52" s="219"/>
    </row>
    <row r="53" spans="1:195" ht="6.95" customHeight="1" x14ac:dyDescent="0.15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219"/>
      <c r="BG53" s="219"/>
      <c r="BH53" s="219"/>
      <c r="BI53" s="219"/>
      <c r="BJ53" s="219"/>
      <c r="BK53" s="219"/>
      <c r="BL53" s="219"/>
      <c r="BM53" s="219"/>
      <c r="BN53" s="219"/>
      <c r="BO53" s="219"/>
      <c r="BP53" s="219"/>
      <c r="BQ53" s="219"/>
      <c r="BR53" s="219"/>
      <c r="BS53" s="219"/>
      <c r="BT53" s="219"/>
      <c r="BU53" s="219"/>
      <c r="BV53" s="219"/>
      <c r="BW53" s="219"/>
      <c r="BX53" s="219"/>
      <c r="BY53" s="219"/>
      <c r="BZ53" s="219"/>
      <c r="CA53" s="219"/>
      <c r="CB53" s="219"/>
      <c r="CC53" s="219"/>
      <c r="CD53" s="219"/>
      <c r="CE53" s="219"/>
      <c r="CF53" s="219"/>
      <c r="CG53" s="219"/>
      <c r="CH53" s="219"/>
      <c r="CI53" s="219"/>
      <c r="CJ53" s="219"/>
      <c r="CK53" s="219"/>
      <c r="CL53" s="219"/>
      <c r="CM53" s="219"/>
      <c r="CN53" s="219"/>
      <c r="CO53" s="219"/>
      <c r="CP53" s="219"/>
      <c r="CQ53" s="219"/>
      <c r="CR53" s="219"/>
      <c r="CS53" s="219"/>
      <c r="CT53" s="219"/>
      <c r="CU53" s="219"/>
      <c r="CV53" s="219"/>
      <c r="CW53" s="219"/>
      <c r="CX53" s="219"/>
      <c r="CY53" s="219"/>
      <c r="CZ53" s="219"/>
      <c r="DA53" s="219"/>
      <c r="DB53" s="219"/>
      <c r="DC53" s="219"/>
      <c r="DD53" s="219"/>
      <c r="DE53" s="219"/>
      <c r="DF53" s="219"/>
      <c r="DG53" s="219"/>
      <c r="DH53" s="219"/>
      <c r="DI53" s="219"/>
      <c r="DJ53" s="219"/>
      <c r="DK53" s="219"/>
      <c r="DL53" s="219"/>
      <c r="DM53" s="219"/>
      <c r="DN53" s="219"/>
      <c r="DO53" s="219"/>
      <c r="DP53" s="219"/>
      <c r="DQ53" s="219"/>
      <c r="DR53" s="219"/>
      <c r="DS53" s="219"/>
      <c r="DT53" s="219"/>
      <c r="DU53" s="219"/>
      <c r="DV53" s="219"/>
      <c r="DW53" s="219"/>
      <c r="DX53" s="219"/>
      <c r="DY53" s="219"/>
      <c r="DZ53" s="219"/>
      <c r="EA53" s="219"/>
      <c r="EB53" s="219"/>
      <c r="EC53" s="219"/>
      <c r="ED53" s="219"/>
      <c r="EE53" s="219"/>
      <c r="EF53" s="219"/>
      <c r="EG53" s="219"/>
      <c r="EH53" s="219"/>
      <c r="EI53" s="219"/>
      <c r="EJ53" s="219"/>
      <c r="EK53" s="219"/>
      <c r="EL53" s="219"/>
      <c r="EM53" s="219"/>
      <c r="EN53" s="219"/>
      <c r="EO53" s="219"/>
      <c r="EP53" s="219"/>
      <c r="EQ53" s="219"/>
      <c r="ER53" s="219"/>
      <c r="ES53" s="219"/>
      <c r="ET53" s="219"/>
      <c r="EU53" s="219"/>
      <c r="EV53" s="219"/>
      <c r="EW53" s="219"/>
      <c r="EX53" s="219"/>
      <c r="EY53" s="219"/>
      <c r="EZ53" s="219"/>
      <c r="FA53" s="219"/>
      <c r="FB53" s="219"/>
      <c r="FC53" s="219"/>
      <c r="FD53" s="219"/>
      <c r="FE53" s="219"/>
      <c r="FF53" s="219"/>
      <c r="FG53" s="219"/>
      <c r="FH53" s="219"/>
      <c r="FI53" s="219"/>
      <c r="FJ53" s="219"/>
      <c r="FK53" s="219"/>
      <c r="FL53" s="219"/>
      <c r="FM53" s="219"/>
      <c r="FN53" s="219"/>
      <c r="FO53" s="219"/>
      <c r="FP53" s="219"/>
      <c r="FQ53" s="219"/>
      <c r="FR53" s="219"/>
      <c r="FS53" s="219"/>
      <c r="FT53" s="219"/>
      <c r="FU53" s="219"/>
      <c r="FV53" s="219"/>
      <c r="FW53" s="219"/>
      <c r="FX53" s="219"/>
      <c r="FY53" s="219"/>
      <c r="FZ53" s="219"/>
      <c r="GA53" s="219"/>
      <c r="GB53" s="2"/>
      <c r="GC53" s="2"/>
      <c r="GD53" s="219"/>
      <c r="GE53" s="219"/>
      <c r="GF53" s="219"/>
      <c r="GG53" s="219"/>
      <c r="GH53" s="219"/>
      <c r="GI53" s="219"/>
      <c r="GJ53" s="219"/>
      <c r="GK53" s="219"/>
      <c r="GL53" s="219"/>
      <c r="GM53" s="219"/>
    </row>
    <row r="54" spans="1:195" ht="6.95" customHeight="1" x14ac:dyDescent="0.15">
      <c r="A54" s="1"/>
      <c r="B54" s="1"/>
      <c r="C54" s="1"/>
      <c r="D54" s="1"/>
      <c r="E54" s="1"/>
      <c r="F54" s="112"/>
      <c r="G54" s="112"/>
      <c r="H54" s="112"/>
      <c r="I54" s="112"/>
      <c r="J54" s="112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220">
        <f>F54*Y54</f>
        <v>0</v>
      </c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219"/>
      <c r="BG54" s="219"/>
      <c r="BH54" s="219"/>
      <c r="BI54" s="219"/>
      <c r="BJ54" s="219"/>
      <c r="BK54" s="219"/>
      <c r="BL54" s="219"/>
      <c r="BM54" s="219"/>
      <c r="BN54" s="219"/>
      <c r="BO54" s="219"/>
      <c r="BP54" s="219"/>
      <c r="BQ54" s="219"/>
      <c r="BR54" s="219"/>
      <c r="BS54" s="219"/>
      <c r="BT54" s="219"/>
      <c r="BU54" s="219"/>
      <c r="BV54" s="219"/>
      <c r="BW54" s="219"/>
      <c r="BX54" s="219"/>
      <c r="BY54" s="219"/>
      <c r="BZ54" s="219"/>
      <c r="CA54" s="219"/>
      <c r="CB54" s="219"/>
      <c r="CC54" s="219"/>
      <c r="CD54" s="219"/>
      <c r="CE54" s="219"/>
      <c r="CF54" s="219"/>
      <c r="CG54" s="219"/>
      <c r="CH54" s="219"/>
      <c r="CI54" s="219"/>
      <c r="CJ54" s="219"/>
      <c r="CK54" s="219"/>
      <c r="CL54" s="219"/>
      <c r="CM54" s="219"/>
      <c r="CN54" s="219"/>
      <c r="CO54" s="219"/>
      <c r="CP54" s="219"/>
      <c r="CQ54" s="219"/>
      <c r="CR54" s="219"/>
      <c r="CS54" s="219"/>
      <c r="CT54" s="219"/>
      <c r="CU54" s="219"/>
      <c r="CV54" s="219"/>
      <c r="CW54" s="219"/>
      <c r="CX54" s="219"/>
      <c r="CY54" s="219"/>
      <c r="CZ54" s="219"/>
      <c r="DA54" s="219"/>
      <c r="DB54" s="219"/>
      <c r="DC54" s="219"/>
      <c r="DD54" s="219"/>
      <c r="DE54" s="219"/>
      <c r="DF54" s="219"/>
      <c r="DG54" s="219"/>
      <c r="DH54" s="219"/>
      <c r="DI54" s="219"/>
      <c r="DJ54" s="219"/>
      <c r="DK54" s="219"/>
      <c r="DL54" s="219"/>
      <c r="DM54" s="219"/>
      <c r="DN54" s="219"/>
      <c r="DO54" s="219"/>
      <c r="DP54" s="219"/>
      <c r="DQ54" s="219"/>
      <c r="DR54" s="219"/>
      <c r="DS54" s="219"/>
      <c r="DT54" s="219"/>
      <c r="DU54" s="219"/>
      <c r="DV54" s="219"/>
      <c r="DW54" s="219"/>
      <c r="DX54" s="219"/>
      <c r="DY54" s="219"/>
      <c r="DZ54" s="219"/>
      <c r="EA54" s="219"/>
      <c r="EB54" s="219"/>
      <c r="EC54" s="219"/>
      <c r="ED54" s="219"/>
      <c r="EE54" s="219"/>
      <c r="EF54" s="219"/>
      <c r="EG54" s="219"/>
      <c r="EH54" s="219"/>
      <c r="EI54" s="219"/>
      <c r="EJ54" s="219"/>
      <c r="EK54" s="219"/>
      <c r="EL54" s="219"/>
      <c r="EM54" s="219"/>
      <c r="EN54" s="219"/>
      <c r="EO54" s="219"/>
      <c r="EP54" s="219"/>
      <c r="EQ54" s="219"/>
      <c r="ER54" s="219"/>
      <c r="ES54" s="219"/>
      <c r="ET54" s="219"/>
      <c r="EU54" s="219"/>
      <c r="EV54" s="219"/>
      <c r="EW54" s="219"/>
      <c r="EX54" s="219"/>
      <c r="EY54" s="219"/>
      <c r="EZ54" s="219"/>
      <c r="FA54" s="219"/>
      <c r="FB54" s="219"/>
      <c r="FC54" s="219"/>
      <c r="FD54" s="219"/>
      <c r="FE54" s="219"/>
      <c r="FF54" s="219"/>
      <c r="FG54" s="219"/>
      <c r="FH54" s="219"/>
      <c r="FI54" s="219"/>
      <c r="FJ54" s="219"/>
      <c r="FK54" s="219"/>
      <c r="FL54" s="219"/>
      <c r="FM54" s="219"/>
      <c r="FN54" s="219"/>
      <c r="FO54" s="219"/>
      <c r="FP54" s="219"/>
      <c r="FQ54" s="219"/>
      <c r="FR54" s="219"/>
      <c r="FS54" s="219"/>
      <c r="FT54" s="219"/>
      <c r="FU54" s="219"/>
      <c r="FV54" s="219"/>
      <c r="FW54" s="219"/>
      <c r="FX54" s="219"/>
      <c r="FY54" s="219"/>
      <c r="FZ54" s="219"/>
      <c r="GA54" s="219"/>
      <c r="GB54" s="2"/>
      <c r="GC54" s="2"/>
      <c r="GD54" s="219"/>
      <c r="GE54" s="219"/>
      <c r="GF54" s="219"/>
      <c r="GG54" s="219"/>
      <c r="GH54" s="219"/>
      <c r="GI54" s="219"/>
      <c r="GJ54" s="219"/>
      <c r="GK54" s="219"/>
      <c r="GL54" s="219"/>
      <c r="GM54" s="219"/>
    </row>
    <row r="55" spans="1:195" ht="6.95" customHeight="1" x14ac:dyDescent="0.15">
      <c r="A55" s="1"/>
      <c r="B55" s="1"/>
      <c r="C55" s="1"/>
      <c r="D55" s="1"/>
      <c r="E55" s="1"/>
      <c r="F55" s="112"/>
      <c r="G55" s="112"/>
      <c r="H55" s="112"/>
      <c r="I55" s="112"/>
      <c r="J55" s="112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220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219"/>
      <c r="BG55" s="219"/>
      <c r="BH55" s="219"/>
      <c r="BI55" s="219"/>
      <c r="BJ55" s="219"/>
      <c r="BK55" s="219"/>
      <c r="BL55" s="219"/>
      <c r="BM55" s="219"/>
      <c r="BN55" s="219"/>
      <c r="BO55" s="219"/>
      <c r="BP55" s="219"/>
      <c r="BQ55" s="219"/>
      <c r="BR55" s="219"/>
      <c r="BS55" s="219"/>
      <c r="BT55" s="219"/>
      <c r="BU55" s="219"/>
      <c r="BV55" s="219"/>
      <c r="BW55" s="219"/>
      <c r="BX55" s="219"/>
      <c r="BY55" s="219"/>
      <c r="BZ55" s="219"/>
      <c r="CA55" s="219"/>
      <c r="CB55" s="219"/>
      <c r="CC55" s="219"/>
      <c r="CD55" s="219"/>
      <c r="CE55" s="219"/>
      <c r="CF55" s="219"/>
      <c r="CG55" s="219"/>
      <c r="CH55" s="219"/>
      <c r="CI55" s="219"/>
      <c r="CJ55" s="219"/>
      <c r="CK55" s="219"/>
      <c r="CL55" s="219"/>
      <c r="CM55" s="219"/>
      <c r="CN55" s="219"/>
      <c r="CO55" s="219"/>
      <c r="CP55" s="219"/>
      <c r="CQ55" s="219"/>
      <c r="CR55" s="219"/>
      <c r="CS55" s="219"/>
      <c r="CT55" s="219"/>
      <c r="CU55" s="219"/>
      <c r="CV55" s="219"/>
      <c r="CW55" s="219"/>
      <c r="CX55" s="219"/>
      <c r="CY55" s="219"/>
      <c r="CZ55" s="219"/>
      <c r="DA55" s="219"/>
      <c r="DB55" s="219"/>
      <c r="DC55" s="219"/>
      <c r="DD55" s="219"/>
      <c r="DE55" s="219"/>
      <c r="DF55" s="219"/>
      <c r="DG55" s="219"/>
      <c r="DH55" s="219"/>
      <c r="DI55" s="219"/>
      <c r="DJ55" s="219"/>
      <c r="DK55" s="219"/>
      <c r="DL55" s="219"/>
      <c r="DM55" s="219"/>
      <c r="DN55" s="219"/>
      <c r="DO55" s="219"/>
      <c r="DP55" s="219"/>
      <c r="DQ55" s="219"/>
      <c r="DR55" s="219"/>
      <c r="DS55" s="219"/>
      <c r="DT55" s="219"/>
      <c r="DU55" s="219"/>
      <c r="DV55" s="219"/>
      <c r="DW55" s="219"/>
      <c r="DX55" s="219"/>
      <c r="DY55" s="219"/>
      <c r="DZ55" s="219"/>
      <c r="EA55" s="219"/>
      <c r="EB55" s="219"/>
      <c r="EC55" s="219"/>
      <c r="ED55" s="219"/>
      <c r="EE55" s="219"/>
      <c r="EF55" s="219"/>
      <c r="EG55" s="219"/>
      <c r="EH55" s="219"/>
      <c r="EI55" s="219"/>
      <c r="EJ55" s="219"/>
      <c r="EK55" s="219"/>
      <c r="EL55" s="219"/>
      <c r="EM55" s="219"/>
      <c r="EN55" s="219"/>
      <c r="EO55" s="219"/>
      <c r="EP55" s="219"/>
      <c r="EQ55" s="219"/>
      <c r="ER55" s="219"/>
      <c r="ES55" s="219"/>
      <c r="ET55" s="219"/>
      <c r="EU55" s="219"/>
      <c r="EV55" s="219"/>
      <c r="EW55" s="219"/>
      <c r="EX55" s="219"/>
      <c r="EY55" s="219"/>
      <c r="EZ55" s="219"/>
      <c r="FA55" s="219"/>
      <c r="FB55" s="219"/>
      <c r="FC55" s="219"/>
      <c r="FD55" s="219"/>
      <c r="FE55" s="219"/>
      <c r="FF55" s="219"/>
      <c r="FG55" s="219"/>
      <c r="FH55" s="219"/>
      <c r="FI55" s="219"/>
      <c r="FJ55" s="219"/>
      <c r="FK55" s="219"/>
      <c r="FL55" s="219"/>
      <c r="FM55" s="219"/>
      <c r="FN55" s="219"/>
      <c r="FO55" s="219"/>
      <c r="FP55" s="219"/>
      <c r="FQ55" s="219"/>
      <c r="FR55" s="219"/>
      <c r="FS55" s="219"/>
      <c r="FT55" s="219"/>
      <c r="FU55" s="219"/>
      <c r="FV55" s="219"/>
      <c r="FW55" s="219"/>
      <c r="FX55" s="219"/>
      <c r="FY55" s="219"/>
      <c r="FZ55" s="219"/>
      <c r="GA55" s="219"/>
      <c r="GB55" s="2"/>
      <c r="GC55" s="2"/>
      <c r="GD55" s="219"/>
      <c r="GE55" s="219"/>
      <c r="GF55" s="219"/>
      <c r="GG55" s="219"/>
      <c r="GH55" s="219"/>
      <c r="GI55" s="219"/>
      <c r="GJ55" s="219"/>
      <c r="GK55" s="219"/>
      <c r="GL55" s="219"/>
      <c r="GM55" s="219"/>
    </row>
    <row r="56" spans="1:195" ht="6.95" customHeight="1" x14ac:dyDescent="0.15">
      <c r="A56" s="1"/>
      <c r="B56" s="1"/>
      <c r="C56" s="1"/>
      <c r="D56" s="1"/>
      <c r="E56" s="1"/>
      <c r="F56" s="112"/>
      <c r="G56" s="112"/>
      <c r="H56" s="112"/>
      <c r="I56" s="112"/>
      <c r="J56" s="112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220">
        <f>F54*Y56</f>
        <v>0</v>
      </c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219"/>
      <c r="BG56" s="219"/>
      <c r="BH56" s="219"/>
      <c r="BI56" s="219"/>
      <c r="BJ56" s="219"/>
      <c r="BK56" s="219"/>
      <c r="BL56" s="219"/>
      <c r="BM56" s="219"/>
      <c r="BN56" s="219"/>
      <c r="BO56" s="219"/>
      <c r="BP56" s="219"/>
      <c r="BQ56" s="219"/>
      <c r="BR56" s="219"/>
      <c r="BS56" s="219"/>
      <c r="BT56" s="219"/>
      <c r="BU56" s="219"/>
      <c r="BV56" s="219"/>
      <c r="BW56" s="219"/>
      <c r="BX56" s="219"/>
      <c r="BY56" s="219"/>
      <c r="BZ56" s="219"/>
      <c r="CA56" s="219"/>
      <c r="CB56" s="219"/>
      <c r="CC56" s="219"/>
      <c r="CD56" s="219"/>
      <c r="CE56" s="219"/>
      <c r="CF56" s="219"/>
      <c r="CG56" s="219"/>
      <c r="CH56" s="219"/>
      <c r="CI56" s="219"/>
      <c r="CJ56" s="219"/>
      <c r="CK56" s="219"/>
      <c r="CL56" s="219"/>
      <c r="CM56" s="219"/>
      <c r="CN56" s="219"/>
      <c r="CO56" s="219"/>
      <c r="CP56" s="219"/>
      <c r="CQ56" s="219"/>
      <c r="CR56" s="219"/>
      <c r="CS56" s="219"/>
      <c r="CT56" s="219"/>
      <c r="CU56" s="219"/>
      <c r="CV56" s="219"/>
      <c r="CW56" s="219"/>
      <c r="CX56" s="219"/>
      <c r="CY56" s="219"/>
      <c r="CZ56" s="219"/>
      <c r="DA56" s="219"/>
      <c r="DB56" s="219"/>
      <c r="DC56" s="219"/>
      <c r="DD56" s="219"/>
      <c r="DE56" s="219"/>
      <c r="DF56" s="219"/>
      <c r="DG56" s="219"/>
      <c r="DH56" s="219"/>
      <c r="DI56" s="219"/>
      <c r="DJ56" s="219"/>
      <c r="DK56" s="219"/>
      <c r="DL56" s="219"/>
      <c r="DM56" s="219"/>
      <c r="DN56" s="219"/>
      <c r="DO56" s="219"/>
      <c r="DP56" s="219"/>
      <c r="DQ56" s="219"/>
      <c r="DR56" s="219"/>
      <c r="DS56" s="219"/>
      <c r="DT56" s="219"/>
      <c r="DU56" s="219"/>
      <c r="DV56" s="219"/>
      <c r="DW56" s="219"/>
      <c r="DX56" s="219"/>
      <c r="DY56" s="219"/>
      <c r="DZ56" s="219"/>
      <c r="EA56" s="219"/>
      <c r="EB56" s="219"/>
      <c r="EC56" s="219"/>
      <c r="ED56" s="219"/>
      <c r="EE56" s="219"/>
      <c r="EF56" s="219"/>
      <c r="EG56" s="219"/>
      <c r="EH56" s="219"/>
      <c r="EI56" s="219"/>
      <c r="EJ56" s="219"/>
      <c r="EK56" s="219"/>
      <c r="EL56" s="219"/>
      <c r="EM56" s="219"/>
      <c r="EN56" s="219"/>
      <c r="EO56" s="219"/>
      <c r="EP56" s="219"/>
      <c r="EQ56" s="219"/>
      <c r="ER56" s="219"/>
      <c r="ES56" s="219"/>
      <c r="ET56" s="219"/>
      <c r="EU56" s="219"/>
      <c r="EV56" s="219"/>
      <c r="EW56" s="219"/>
      <c r="EX56" s="219"/>
      <c r="EY56" s="219"/>
      <c r="EZ56" s="219"/>
      <c r="FA56" s="219"/>
      <c r="FB56" s="219"/>
      <c r="FC56" s="219"/>
      <c r="FD56" s="219"/>
      <c r="FE56" s="219"/>
      <c r="FF56" s="219"/>
      <c r="FG56" s="219"/>
      <c r="FH56" s="219"/>
      <c r="FI56" s="219"/>
      <c r="FJ56" s="219"/>
      <c r="FK56" s="219"/>
      <c r="FL56" s="219"/>
      <c r="FM56" s="219"/>
      <c r="FN56" s="219"/>
      <c r="FO56" s="219"/>
      <c r="FP56" s="219"/>
      <c r="FQ56" s="219"/>
      <c r="FR56" s="219"/>
      <c r="FS56" s="219"/>
      <c r="FT56" s="219"/>
      <c r="FU56" s="219"/>
      <c r="FV56" s="219"/>
      <c r="FW56" s="219"/>
      <c r="FX56" s="219"/>
      <c r="FY56" s="219"/>
      <c r="FZ56" s="219"/>
      <c r="GA56" s="219"/>
      <c r="GB56" s="2"/>
      <c r="GC56" s="2"/>
      <c r="GD56" s="219"/>
      <c r="GE56" s="219"/>
      <c r="GF56" s="219"/>
      <c r="GG56" s="219"/>
      <c r="GH56" s="219"/>
      <c r="GI56" s="219"/>
      <c r="GJ56" s="219"/>
      <c r="GK56" s="219"/>
      <c r="GL56" s="219"/>
      <c r="GM56" s="219"/>
    </row>
    <row r="57" spans="1:195" ht="6.95" customHeight="1" x14ac:dyDescent="0.15">
      <c r="A57" s="1"/>
      <c r="B57" s="1"/>
      <c r="C57" s="1"/>
      <c r="D57" s="1"/>
      <c r="E57" s="1"/>
      <c r="F57" s="112"/>
      <c r="G57" s="112"/>
      <c r="H57" s="112"/>
      <c r="I57" s="112"/>
      <c r="J57" s="112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220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219"/>
      <c r="BG57" s="219"/>
      <c r="BH57" s="219"/>
      <c r="BI57" s="219"/>
      <c r="BJ57" s="219"/>
      <c r="BK57" s="219"/>
      <c r="BL57" s="219"/>
      <c r="BM57" s="219"/>
      <c r="BN57" s="219"/>
      <c r="BO57" s="219"/>
      <c r="BP57" s="219"/>
      <c r="BQ57" s="219"/>
      <c r="BR57" s="219"/>
      <c r="BS57" s="219"/>
      <c r="BT57" s="219"/>
      <c r="BU57" s="219"/>
      <c r="BV57" s="219"/>
      <c r="BW57" s="219"/>
      <c r="BX57" s="219"/>
      <c r="BY57" s="219"/>
      <c r="BZ57" s="219"/>
      <c r="CA57" s="219"/>
      <c r="CB57" s="219"/>
      <c r="CC57" s="219"/>
      <c r="CD57" s="219"/>
      <c r="CE57" s="219"/>
      <c r="CF57" s="219"/>
      <c r="CG57" s="219"/>
      <c r="CH57" s="219"/>
      <c r="CI57" s="219"/>
      <c r="CJ57" s="219"/>
      <c r="CK57" s="219"/>
      <c r="CL57" s="219"/>
      <c r="CM57" s="219"/>
      <c r="CN57" s="219"/>
      <c r="CO57" s="219"/>
      <c r="CP57" s="219"/>
      <c r="CQ57" s="219"/>
      <c r="CR57" s="219"/>
      <c r="CS57" s="219"/>
      <c r="CT57" s="219"/>
      <c r="CU57" s="219"/>
      <c r="CV57" s="219"/>
      <c r="CW57" s="219"/>
      <c r="CX57" s="219"/>
      <c r="CY57" s="219"/>
      <c r="CZ57" s="219"/>
      <c r="DA57" s="219"/>
      <c r="DB57" s="219"/>
      <c r="DC57" s="219"/>
      <c r="DD57" s="219"/>
      <c r="DE57" s="219"/>
      <c r="DF57" s="219"/>
      <c r="DG57" s="219"/>
      <c r="DH57" s="219"/>
      <c r="DI57" s="219"/>
      <c r="DJ57" s="219"/>
      <c r="DK57" s="219"/>
      <c r="DL57" s="219"/>
      <c r="DM57" s="219"/>
      <c r="DN57" s="219"/>
      <c r="DO57" s="219"/>
      <c r="DP57" s="219"/>
      <c r="DQ57" s="219"/>
      <c r="DR57" s="219"/>
      <c r="DS57" s="219"/>
      <c r="DT57" s="219"/>
      <c r="DU57" s="219"/>
      <c r="DV57" s="219"/>
      <c r="DW57" s="219"/>
      <c r="DX57" s="219"/>
      <c r="DY57" s="219"/>
      <c r="DZ57" s="219"/>
      <c r="EA57" s="219"/>
      <c r="EB57" s="219"/>
      <c r="EC57" s="219"/>
      <c r="ED57" s="219"/>
      <c r="EE57" s="219"/>
      <c r="EF57" s="219"/>
      <c r="EG57" s="219"/>
      <c r="EH57" s="219"/>
      <c r="EI57" s="219"/>
      <c r="EJ57" s="219"/>
      <c r="EK57" s="219"/>
      <c r="EL57" s="219"/>
      <c r="EM57" s="219"/>
      <c r="EN57" s="219"/>
      <c r="EO57" s="219"/>
      <c r="EP57" s="219"/>
      <c r="EQ57" s="219"/>
      <c r="ER57" s="219"/>
      <c r="ES57" s="219"/>
      <c r="ET57" s="219"/>
      <c r="EU57" s="219"/>
      <c r="EV57" s="219"/>
      <c r="EW57" s="219"/>
      <c r="EX57" s="219"/>
      <c r="EY57" s="219"/>
      <c r="EZ57" s="219"/>
      <c r="FA57" s="219"/>
      <c r="FB57" s="219"/>
      <c r="FC57" s="219"/>
      <c r="FD57" s="219"/>
      <c r="FE57" s="219"/>
      <c r="FF57" s="219"/>
      <c r="FG57" s="219"/>
      <c r="FH57" s="219"/>
      <c r="FI57" s="219"/>
      <c r="FJ57" s="219"/>
      <c r="FK57" s="219"/>
      <c r="FL57" s="219"/>
      <c r="FM57" s="219"/>
      <c r="FN57" s="219"/>
      <c r="FO57" s="219"/>
      <c r="FP57" s="219"/>
      <c r="FQ57" s="219"/>
      <c r="FR57" s="219"/>
      <c r="FS57" s="219"/>
      <c r="FT57" s="219"/>
      <c r="FU57" s="219"/>
      <c r="FV57" s="219"/>
      <c r="FW57" s="219"/>
      <c r="FX57" s="219"/>
      <c r="FY57" s="219"/>
      <c r="FZ57" s="219"/>
      <c r="GA57" s="219"/>
      <c r="GB57" s="2"/>
      <c r="GC57" s="2"/>
      <c r="GD57" s="219"/>
      <c r="GE57" s="219"/>
      <c r="GF57" s="219"/>
      <c r="GG57" s="219"/>
      <c r="GH57" s="219"/>
      <c r="GI57" s="219"/>
      <c r="GJ57" s="219"/>
      <c r="GK57" s="219"/>
      <c r="GL57" s="219"/>
      <c r="GM57" s="219"/>
    </row>
    <row r="58" spans="1:195" ht="6.95" customHeight="1" x14ac:dyDescent="0.15">
      <c r="A58" s="1"/>
      <c r="B58" s="1"/>
      <c r="C58" s="1"/>
      <c r="D58" s="1"/>
      <c r="E58" s="1"/>
      <c r="F58" s="113"/>
      <c r="G58" s="113"/>
      <c r="H58" s="113"/>
      <c r="I58" s="113"/>
      <c r="J58" s="113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220">
        <f>F54*Y58</f>
        <v>0</v>
      </c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219"/>
      <c r="BG58" s="219"/>
      <c r="BH58" s="219"/>
      <c r="BI58" s="219"/>
      <c r="BJ58" s="219"/>
      <c r="BK58" s="219"/>
      <c r="BL58" s="219"/>
      <c r="BM58" s="219"/>
      <c r="BN58" s="219"/>
      <c r="BO58" s="219"/>
      <c r="BP58" s="219"/>
      <c r="BQ58" s="219"/>
      <c r="BR58" s="219"/>
      <c r="BS58" s="219"/>
      <c r="BT58" s="219"/>
      <c r="BU58" s="219"/>
      <c r="BV58" s="219"/>
      <c r="BW58" s="219"/>
      <c r="BX58" s="219"/>
      <c r="BY58" s="219"/>
      <c r="BZ58" s="219"/>
      <c r="CA58" s="219"/>
      <c r="CB58" s="219"/>
      <c r="CC58" s="219"/>
      <c r="CD58" s="219"/>
      <c r="CE58" s="219"/>
      <c r="CF58" s="219"/>
      <c r="CG58" s="219"/>
      <c r="CH58" s="219"/>
      <c r="CI58" s="219"/>
      <c r="CJ58" s="219"/>
      <c r="CK58" s="219"/>
      <c r="CL58" s="219"/>
      <c r="CM58" s="219"/>
      <c r="CN58" s="219"/>
      <c r="CO58" s="219"/>
      <c r="CP58" s="219"/>
      <c r="CQ58" s="219"/>
      <c r="CR58" s="219"/>
      <c r="CS58" s="219"/>
      <c r="CT58" s="219"/>
      <c r="CU58" s="219"/>
      <c r="CV58" s="219"/>
      <c r="CW58" s="219"/>
      <c r="CX58" s="219"/>
      <c r="CY58" s="219"/>
      <c r="CZ58" s="219"/>
      <c r="DA58" s="219"/>
      <c r="DB58" s="219"/>
      <c r="DC58" s="219"/>
      <c r="DD58" s="219"/>
      <c r="DE58" s="219"/>
      <c r="DF58" s="219"/>
      <c r="DG58" s="219"/>
      <c r="DH58" s="219"/>
      <c r="DI58" s="219"/>
      <c r="DJ58" s="219"/>
      <c r="DK58" s="219"/>
      <c r="DL58" s="219"/>
      <c r="DM58" s="219"/>
      <c r="DN58" s="219"/>
      <c r="DO58" s="219"/>
      <c r="DP58" s="219"/>
      <c r="DQ58" s="219"/>
      <c r="DR58" s="219"/>
      <c r="DS58" s="219"/>
      <c r="DT58" s="219"/>
      <c r="DU58" s="219"/>
      <c r="DV58" s="219"/>
      <c r="DW58" s="219"/>
      <c r="DX58" s="219"/>
      <c r="DY58" s="219"/>
      <c r="DZ58" s="219"/>
      <c r="EA58" s="219"/>
      <c r="EB58" s="219"/>
      <c r="EC58" s="219"/>
      <c r="ED58" s="219"/>
      <c r="EE58" s="219"/>
      <c r="EF58" s="219"/>
      <c r="EG58" s="219"/>
      <c r="EH58" s="219"/>
      <c r="EI58" s="219"/>
      <c r="EJ58" s="219"/>
      <c r="EK58" s="219"/>
      <c r="EL58" s="219"/>
      <c r="EM58" s="219"/>
      <c r="EN58" s="219"/>
      <c r="EO58" s="219"/>
      <c r="EP58" s="219"/>
      <c r="EQ58" s="219"/>
      <c r="ER58" s="219"/>
      <c r="ES58" s="219"/>
      <c r="ET58" s="219"/>
      <c r="EU58" s="219"/>
      <c r="EV58" s="219"/>
      <c r="EW58" s="219"/>
      <c r="EX58" s="219"/>
      <c r="EY58" s="219"/>
      <c r="EZ58" s="219"/>
      <c r="FA58" s="219"/>
      <c r="FB58" s="219"/>
      <c r="FC58" s="219"/>
      <c r="FD58" s="219"/>
      <c r="FE58" s="219"/>
      <c r="FF58" s="219"/>
      <c r="FG58" s="219"/>
      <c r="FH58" s="219"/>
      <c r="FI58" s="219"/>
      <c r="FJ58" s="219"/>
      <c r="FK58" s="219"/>
      <c r="FL58" s="219"/>
      <c r="FM58" s="219"/>
      <c r="FN58" s="219"/>
      <c r="FO58" s="219"/>
      <c r="FP58" s="219"/>
      <c r="FQ58" s="219"/>
      <c r="FR58" s="219"/>
      <c r="FS58" s="219"/>
      <c r="FT58" s="219"/>
      <c r="FU58" s="219"/>
      <c r="FV58" s="219"/>
      <c r="FW58" s="219"/>
      <c r="FX58" s="219"/>
      <c r="FY58" s="219"/>
      <c r="FZ58" s="219"/>
      <c r="GA58" s="219"/>
      <c r="GB58" s="2"/>
      <c r="GC58" s="2"/>
      <c r="GD58" s="219"/>
      <c r="GE58" s="219"/>
      <c r="GF58" s="219"/>
      <c r="GG58" s="219"/>
      <c r="GH58" s="219"/>
      <c r="GI58" s="219"/>
      <c r="GJ58" s="219"/>
      <c r="GK58" s="219"/>
      <c r="GL58" s="219"/>
      <c r="GM58" s="219"/>
    </row>
    <row r="59" spans="1:195" ht="6.95" customHeight="1" x14ac:dyDescent="0.15">
      <c r="A59" s="1"/>
      <c r="B59" s="1"/>
      <c r="C59" s="1"/>
      <c r="D59" s="1"/>
      <c r="E59" s="1"/>
      <c r="F59" s="113"/>
      <c r="G59" s="113"/>
      <c r="H59" s="113"/>
      <c r="I59" s="113"/>
      <c r="J59" s="113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220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219"/>
      <c r="BG59" s="219"/>
      <c r="BH59" s="219"/>
      <c r="BI59" s="219"/>
      <c r="BJ59" s="219"/>
      <c r="BK59" s="219"/>
      <c r="BL59" s="219"/>
      <c r="BM59" s="219"/>
      <c r="BN59" s="219"/>
      <c r="BO59" s="219"/>
      <c r="BP59" s="219"/>
      <c r="BQ59" s="219"/>
      <c r="BR59" s="219"/>
      <c r="BS59" s="219"/>
      <c r="BT59" s="219"/>
      <c r="BU59" s="219"/>
      <c r="BV59" s="219"/>
      <c r="BW59" s="219"/>
      <c r="BX59" s="219"/>
      <c r="BY59" s="219"/>
      <c r="BZ59" s="219"/>
      <c r="CA59" s="219"/>
      <c r="CB59" s="219"/>
      <c r="CC59" s="219"/>
      <c r="CD59" s="219"/>
      <c r="CE59" s="219"/>
      <c r="CF59" s="219"/>
      <c r="CG59" s="219"/>
      <c r="CH59" s="219"/>
      <c r="CI59" s="219"/>
      <c r="CJ59" s="219"/>
      <c r="CK59" s="219"/>
      <c r="CL59" s="219"/>
      <c r="CM59" s="219"/>
      <c r="CN59" s="219"/>
      <c r="CO59" s="219"/>
      <c r="CP59" s="219"/>
      <c r="CQ59" s="219"/>
      <c r="CR59" s="219"/>
      <c r="CS59" s="219"/>
      <c r="CT59" s="219"/>
      <c r="CU59" s="219"/>
      <c r="CV59" s="219"/>
      <c r="CW59" s="219"/>
      <c r="CX59" s="219"/>
      <c r="CY59" s="219"/>
      <c r="CZ59" s="219"/>
      <c r="DA59" s="219"/>
      <c r="DB59" s="219"/>
      <c r="DC59" s="219"/>
      <c r="DD59" s="219"/>
      <c r="DE59" s="219"/>
      <c r="DF59" s="219"/>
      <c r="DG59" s="219"/>
      <c r="DH59" s="219"/>
      <c r="DI59" s="219"/>
      <c r="DJ59" s="219"/>
      <c r="DK59" s="219"/>
      <c r="DL59" s="219"/>
      <c r="DM59" s="219"/>
      <c r="DN59" s="219"/>
      <c r="DO59" s="219"/>
      <c r="DP59" s="219"/>
      <c r="DQ59" s="219"/>
      <c r="DR59" s="219"/>
      <c r="DS59" s="219"/>
      <c r="DT59" s="219"/>
      <c r="DU59" s="219"/>
      <c r="DV59" s="219"/>
      <c r="DW59" s="219"/>
      <c r="DX59" s="219"/>
      <c r="DY59" s="219"/>
      <c r="DZ59" s="219"/>
      <c r="EA59" s="219"/>
      <c r="EB59" s="219"/>
      <c r="EC59" s="219"/>
      <c r="ED59" s="219"/>
      <c r="EE59" s="219"/>
      <c r="EF59" s="219"/>
      <c r="EG59" s="219"/>
      <c r="EH59" s="219"/>
      <c r="EI59" s="219"/>
      <c r="EJ59" s="219"/>
      <c r="EK59" s="219"/>
      <c r="EL59" s="219"/>
      <c r="EM59" s="219"/>
      <c r="EN59" s="219"/>
      <c r="EO59" s="219"/>
      <c r="EP59" s="219"/>
      <c r="EQ59" s="219"/>
      <c r="ER59" s="219"/>
      <c r="ES59" s="219"/>
      <c r="ET59" s="219"/>
      <c r="EU59" s="219"/>
      <c r="EV59" s="219"/>
      <c r="EW59" s="219"/>
      <c r="EX59" s="219"/>
      <c r="EY59" s="219"/>
      <c r="EZ59" s="219"/>
      <c r="FA59" s="219"/>
      <c r="FB59" s="219"/>
      <c r="FC59" s="219"/>
      <c r="FD59" s="219"/>
      <c r="FE59" s="219"/>
      <c r="FF59" s="219"/>
      <c r="FG59" s="219"/>
      <c r="FH59" s="219"/>
      <c r="FI59" s="219"/>
      <c r="FJ59" s="219"/>
      <c r="FK59" s="219"/>
      <c r="FL59" s="219"/>
      <c r="FM59" s="219"/>
      <c r="FN59" s="219"/>
      <c r="FO59" s="219"/>
      <c r="FP59" s="219"/>
      <c r="FQ59" s="219"/>
      <c r="FR59" s="219"/>
      <c r="FS59" s="219"/>
      <c r="FT59" s="219"/>
      <c r="FU59" s="219"/>
      <c r="FV59" s="219"/>
      <c r="FW59" s="219"/>
      <c r="FX59" s="219"/>
      <c r="FY59" s="219"/>
      <c r="FZ59" s="219"/>
      <c r="GA59" s="219"/>
      <c r="GB59" s="2"/>
      <c r="GC59" s="2"/>
      <c r="GD59" s="219"/>
      <c r="GE59" s="219"/>
      <c r="GF59" s="219"/>
      <c r="GG59" s="219"/>
      <c r="GH59" s="219"/>
      <c r="GI59" s="219"/>
      <c r="GJ59" s="219"/>
      <c r="GK59" s="219"/>
      <c r="GL59" s="219"/>
      <c r="GM59" s="219"/>
    </row>
    <row r="60" spans="1:195" ht="6.95" customHeight="1" x14ac:dyDescent="0.15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219"/>
      <c r="BG60" s="219"/>
      <c r="BH60" s="219"/>
      <c r="BI60" s="219"/>
      <c r="BJ60" s="219"/>
      <c r="BK60" s="219"/>
      <c r="BL60" s="219"/>
      <c r="BM60" s="219"/>
      <c r="BN60" s="219"/>
      <c r="BO60" s="219"/>
      <c r="BP60" s="219"/>
      <c r="BQ60" s="219"/>
      <c r="BR60" s="219"/>
      <c r="BS60" s="219"/>
      <c r="BT60" s="219"/>
      <c r="BU60" s="219"/>
      <c r="BV60" s="219"/>
      <c r="BW60" s="219"/>
      <c r="BX60" s="219"/>
      <c r="BY60" s="219"/>
      <c r="BZ60" s="219"/>
      <c r="CA60" s="219"/>
      <c r="CB60" s="219"/>
      <c r="CC60" s="219"/>
      <c r="CD60" s="219"/>
      <c r="CE60" s="219"/>
      <c r="CF60" s="219"/>
      <c r="CG60" s="219"/>
      <c r="CH60" s="219"/>
      <c r="CI60" s="219"/>
      <c r="CJ60" s="219"/>
      <c r="CK60" s="219"/>
      <c r="CL60" s="219"/>
      <c r="CM60" s="219"/>
      <c r="CN60" s="219"/>
      <c r="CO60" s="219"/>
      <c r="CP60" s="219"/>
      <c r="CQ60" s="219"/>
      <c r="CR60" s="219"/>
      <c r="CS60" s="219"/>
      <c r="CT60" s="219"/>
      <c r="CU60" s="219"/>
      <c r="CV60" s="219"/>
      <c r="CW60" s="219"/>
      <c r="CX60" s="219"/>
      <c r="CY60" s="219"/>
      <c r="CZ60" s="219"/>
      <c r="DA60" s="219"/>
      <c r="DB60" s="219"/>
      <c r="DC60" s="219"/>
      <c r="DD60" s="219"/>
      <c r="DE60" s="219"/>
      <c r="DF60" s="219"/>
      <c r="DG60" s="219"/>
      <c r="DH60" s="219"/>
      <c r="DI60" s="219"/>
      <c r="DJ60" s="219"/>
      <c r="DK60" s="219"/>
      <c r="DL60" s="219"/>
      <c r="DM60" s="219"/>
      <c r="DN60" s="219"/>
      <c r="DO60" s="219"/>
      <c r="DP60" s="219"/>
      <c r="DQ60" s="219"/>
      <c r="DR60" s="219"/>
      <c r="DS60" s="219"/>
      <c r="DT60" s="219"/>
      <c r="DU60" s="219"/>
      <c r="DV60" s="219"/>
      <c r="DW60" s="219"/>
      <c r="DX60" s="219"/>
      <c r="DY60" s="219"/>
      <c r="DZ60" s="219"/>
      <c r="EA60" s="219"/>
      <c r="EB60" s="219"/>
      <c r="EC60" s="219"/>
      <c r="ED60" s="219"/>
      <c r="EE60" s="219"/>
      <c r="EF60" s="219"/>
      <c r="EG60" s="219"/>
      <c r="EH60" s="219"/>
      <c r="EI60" s="219"/>
      <c r="EJ60" s="219"/>
      <c r="EK60" s="219"/>
      <c r="EL60" s="219"/>
      <c r="EM60" s="219"/>
      <c r="EN60" s="219"/>
      <c r="EO60" s="219"/>
      <c r="EP60" s="219"/>
      <c r="EQ60" s="219"/>
      <c r="ER60" s="219"/>
      <c r="ES60" s="219"/>
      <c r="ET60" s="219"/>
      <c r="EU60" s="219"/>
      <c r="EV60" s="219"/>
      <c r="EW60" s="219"/>
      <c r="EX60" s="219"/>
      <c r="EY60" s="219"/>
      <c r="EZ60" s="219"/>
      <c r="FA60" s="219"/>
      <c r="FB60" s="219"/>
      <c r="FC60" s="219"/>
      <c r="FD60" s="219"/>
      <c r="FE60" s="219"/>
      <c r="FF60" s="219"/>
      <c r="FG60" s="219"/>
      <c r="FH60" s="219"/>
      <c r="FI60" s="219"/>
      <c r="FJ60" s="219"/>
      <c r="FK60" s="219"/>
      <c r="FL60" s="219"/>
      <c r="FM60" s="219"/>
      <c r="FN60" s="219"/>
      <c r="FO60" s="219"/>
      <c r="FP60" s="219"/>
      <c r="FQ60" s="219"/>
      <c r="FR60" s="219"/>
      <c r="FS60" s="219"/>
      <c r="FT60" s="219"/>
      <c r="FU60" s="219"/>
      <c r="FV60" s="219"/>
      <c r="FW60" s="219"/>
      <c r="FX60" s="219"/>
      <c r="FY60" s="219"/>
      <c r="FZ60" s="219"/>
      <c r="GA60" s="219"/>
      <c r="GB60" s="2"/>
      <c r="GC60" s="2"/>
      <c r="GD60" s="219"/>
      <c r="GE60" s="219"/>
      <c r="GF60" s="219"/>
      <c r="GG60" s="219"/>
      <c r="GH60" s="219"/>
      <c r="GI60" s="219"/>
      <c r="GJ60" s="219"/>
      <c r="GK60" s="219"/>
      <c r="GL60" s="219"/>
      <c r="GM60" s="219"/>
    </row>
    <row r="61" spans="1:195" ht="6.95" customHeight="1" x14ac:dyDescent="0.15">
      <c r="A61" s="1"/>
      <c r="B61" s="1"/>
      <c r="C61" s="1"/>
      <c r="D61" s="1"/>
      <c r="E61" s="1"/>
      <c r="F61" s="112"/>
      <c r="G61" s="112"/>
      <c r="H61" s="112"/>
      <c r="I61" s="112"/>
      <c r="J61" s="112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220">
        <f>F61*Y61</f>
        <v>0</v>
      </c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6"/>
      <c r="AS61" s="96"/>
      <c r="AT61" s="96"/>
      <c r="AU61" s="4"/>
      <c r="AV61" s="97"/>
      <c r="AW61" s="97"/>
      <c r="AX61" s="97"/>
      <c r="AY61" s="4"/>
      <c r="AZ61" s="4"/>
      <c r="BA61" s="91"/>
      <c r="BB61" s="91"/>
      <c r="BC61" s="91"/>
      <c r="BD61" s="91"/>
      <c r="BE61" s="91"/>
      <c r="BF61" s="219"/>
      <c r="BG61" s="219"/>
      <c r="BH61" s="219"/>
      <c r="BI61" s="219"/>
      <c r="BJ61" s="219"/>
      <c r="BK61" s="219"/>
      <c r="BL61" s="219"/>
      <c r="BM61" s="219"/>
      <c r="BN61" s="219"/>
      <c r="BO61" s="219"/>
      <c r="BP61" s="219"/>
      <c r="BQ61" s="219"/>
      <c r="BR61" s="219"/>
      <c r="BS61" s="219"/>
      <c r="BT61" s="219"/>
      <c r="BU61" s="219"/>
      <c r="BV61" s="219"/>
      <c r="BW61" s="219"/>
      <c r="BX61" s="219"/>
      <c r="BY61" s="219"/>
      <c r="BZ61" s="219"/>
      <c r="CA61" s="219"/>
      <c r="CB61" s="219"/>
      <c r="CC61" s="219"/>
      <c r="CD61" s="219"/>
      <c r="CE61" s="219"/>
      <c r="CF61" s="219"/>
      <c r="CG61" s="219"/>
      <c r="CH61" s="219"/>
      <c r="CI61" s="219"/>
      <c r="CJ61" s="219"/>
      <c r="CK61" s="219"/>
      <c r="CL61" s="219"/>
      <c r="CM61" s="219"/>
      <c r="CN61" s="219"/>
      <c r="CO61" s="219"/>
      <c r="CP61" s="219"/>
      <c r="CQ61" s="219"/>
      <c r="CR61" s="219"/>
      <c r="CS61" s="219"/>
      <c r="CT61" s="219"/>
      <c r="CU61" s="219"/>
      <c r="CV61" s="219"/>
      <c r="CW61" s="219"/>
      <c r="CX61" s="219"/>
      <c r="CY61" s="219"/>
      <c r="CZ61" s="219"/>
      <c r="DA61" s="219"/>
      <c r="DB61" s="219"/>
      <c r="DC61" s="219"/>
      <c r="DD61" s="219"/>
      <c r="DE61" s="219"/>
      <c r="DF61" s="219"/>
      <c r="DG61" s="219"/>
      <c r="DH61" s="219"/>
      <c r="DI61" s="219"/>
      <c r="DJ61" s="219"/>
      <c r="DK61" s="219"/>
      <c r="DL61" s="219"/>
      <c r="DM61" s="219"/>
      <c r="DN61" s="219"/>
      <c r="DO61" s="219"/>
      <c r="DP61" s="219"/>
      <c r="DQ61" s="219"/>
      <c r="DR61" s="219"/>
      <c r="DS61" s="219"/>
      <c r="DT61" s="219"/>
      <c r="DU61" s="219"/>
      <c r="DV61" s="219"/>
      <c r="DW61" s="219"/>
      <c r="DX61" s="219"/>
      <c r="DY61" s="219"/>
      <c r="DZ61" s="219"/>
      <c r="EA61" s="219"/>
      <c r="EB61" s="219"/>
      <c r="EC61" s="219"/>
      <c r="ED61" s="219"/>
      <c r="EE61" s="219"/>
      <c r="EF61" s="219"/>
      <c r="EG61" s="219"/>
      <c r="EH61" s="219"/>
      <c r="EI61" s="219"/>
      <c r="EJ61" s="219"/>
      <c r="EK61" s="219"/>
      <c r="EL61" s="219"/>
      <c r="EM61" s="219"/>
      <c r="EN61" s="219"/>
      <c r="EO61" s="219"/>
      <c r="EP61" s="219"/>
      <c r="EQ61" s="219"/>
      <c r="ER61" s="219"/>
      <c r="ES61" s="219"/>
      <c r="ET61" s="219"/>
      <c r="EU61" s="219"/>
      <c r="EV61" s="219"/>
      <c r="EW61" s="219"/>
      <c r="EX61" s="219"/>
      <c r="EY61" s="219"/>
      <c r="EZ61" s="219"/>
      <c r="FA61" s="219"/>
      <c r="FB61" s="219"/>
      <c r="FC61" s="219"/>
      <c r="FD61" s="219"/>
      <c r="FE61" s="219"/>
      <c r="FF61" s="219"/>
      <c r="FG61" s="219"/>
      <c r="FH61" s="219"/>
      <c r="FI61" s="219"/>
      <c r="FJ61" s="219"/>
      <c r="FK61" s="219"/>
      <c r="FL61" s="219"/>
      <c r="FM61" s="219"/>
      <c r="FN61" s="219"/>
      <c r="FO61" s="219"/>
      <c r="FP61" s="219"/>
      <c r="FQ61" s="219"/>
      <c r="FR61" s="219"/>
      <c r="FS61" s="219"/>
      <c r="FT61" s="219"/>
      <c r="FU61" s="219"/>
      <c r="FV61" s="219"/>
      <c r="FW61" s="219"/>
      <c r="FX61" s="219"/>
      <c r="FY61" s="219"/>
      <c r="FZ61" s="219"/>
      <c r="GA61" s="219"/>
      <c r="GB61" s="2"/>
      <c r="GC61" s="2"/>
      <c r="GD61" s="219"/>
      <c r="GE61" s="219"/>
      <c r="GF61" s="219"/>
      <c r="GG61" s="219"/>
      <c r="GH61" s="219"/>
      <c r="GI61" s="219"/>
      <c r="GJ61" s="219"/>
      <c r="GK61" s="219"/>
      <c r="GL61" s="219"/>
      <c r="GM61" s="219"/>
    </row>
    <row r="62" spans="1:195" ht="6.95" customHeight="1" x14ac:dyDescent="0.15">
      <c r="A62" s="1"/>
      <c r="B62" s="1"/>
      <c r="C62" s="1"/>
      <c r="D62" s="1"/>
      <c r="E62" s="1"/>
      <c r="F62" s="112"/>
      <c r="G62" s="112"/>
      <c r="H62" s="112"/>
      <c r="I62" s="112"/>
      <c r="J62" s="112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220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6"/>
      <c r="AS62" s="96"/>
      <c r="AT62" s="96"/>
      <c r="AU62" s="4"/>
      <c r="AV62" s="97"/>
      <c r="AW62" s="97"/>
      <c r="AX62" s="97"/>
      <c r="AY62" s="4"/>
      <c r="AZ62" s="4"/>
      <c r="BA62" s="91"/>
      <c r="BB62" s="91"/>
      <c r="BC62" s="91"/>
      <c r="BD62" s="91"/>
      <c r="BE62" s="91"/>
      <c r="BF62" s="219"/>
      <c r="BG62" s="219"/>
      <c r="BH62" s="219"/>
      <c r="BI62" s="219"/>
      <c r="BJ62" s="219"/>
      <c r="BK62" s="219"/>
      <c r="BL62" s="219"/>
      <c r="BM62" s="219"/>
      <c r="BN62" s="219"/>
      <c r="BO62" s="219"/>
      <c r="BP62" s="219"/>
      <c r="BQ62" s="219"/>
      <c r="BR62" s="219"/>
      <c r="BS62" s="219"/>
      <c r="BT62" s="219"/>
      <c r="BU62" s="219"/>
      <c r="BV62" s="219"/>
      <c r="BW62" s="219"/>
      <c r="BX62" s="219"/>
      <c r="BY62" s="219"/>
      <c r="BZ62" s="219"/>
      <c r="CA62" s="219"/>
      <c r="CB62" s="219"/>
      <c r="CC62" s="219"/>
      <c r="CD62" s="219"/>
      <c r="CE62" s="219"/>
      <c r="CF62" s="219"/>
      <c r="CG62" s="219"/>
      <c r="CH62" s="219"/>
      <c r="CI62" s="219"/>
      <c r="CJ62" s="219"/>
      <c r="CK62" s="219"/>
      <c r="CL62" s="219"/>
      <c r="CM62" s="219"/>
      <c r="CN62" s="219"/>
      <c r="CO62" s="219"/>
      <c r="CP62" s="219"/>
      <c r="CQ62" s="219"/>
      <c r="CR62" s="219"/>
      <c r="CS62" s="219"/>
      <c r="CT62" s="219"/>
      <c r="CU62" s="219"/>
      <c r="CV62" s="219"/>
      <c r="CW62" s="219"/>
      <c r="CX62" s="219"/>
      <c r="CY62" s="219"/>
      <c r="CZ62" s="219"/>
      <c r="DA62" s="219"/>
      <c r="DB62" s="219"/>
      <c r="DC62" s="219"/>
      <c r="DD62" s="219"/>
      <c r="DE62" s="219"/>
      <c r="DF62" s="219"/>
      <c r="DG62" s="219"/>
      <c r="DH62" s="219"/>
      <c r="DI62" s="219"/>
      <c r="DJ62" s="219"/>
      <c r="DK62" s="219"/>
      <c r="DL62" s="219"/>
      <c r="DM62" s="219"/>
      <c r="DN62" s="219"/>
      <c r="DO62" s="219"/>
      <c r="DP62" s="219"/>
      <c r="DQ62" s="219"/>
      <c r="DR62" s="219"/>
      <c r="DS62" s="219"/>
      <c r="DT62" s="219"/>
      <c r="DU62" s="219"/>
      <c r="DV62" s="219"/>
      <c r="DW62" s="219"/>
      <c r="DX62" s="219"/>
      <c r="DY62" s="219"/>
      <c r="DZ62" s="219"/>
      <c r="EA62" s="219"/>
      <c r="EB62" s="219"/>
      <c r="EC62" s="219"/>
      <c r="ED62" s="219"/>
      <c r="EE62" s="219"/>
      <c r="EF62" s="219"/>
      <c r="EG62" s="219"/>
      <c r="EH62" s="219"/>
      <c r="EI62" s="219"/>
      <c r="EJ62" s="219"/>
      <c r="EK62" s="219"/>
      <c r="EL62" s="219"/>
      <c r="EM62" s="219"/>
      <c r="EN62" s="219"/>
      <c r="EO62" s="219"/>
      <c r="EP62" s="219"/>
      <c r="EQ62" s="219"/>
      <c r="ER62" s="219"/>
      <c r="ES62" s="219"/>
      <c r="ET62" s="219"/>
      <c r="EU62" s="219"/>
      <c r="EV62" s="219"/>
      <c r="EW62" s="219"/>
      <c r="EX62" s="219"/>
      <c r="EY62" s="219"/>
      <c r="EZ62" s="219"/>
      <c r="FA62" s="219"/>
      <c r="FB62" s="219"/>
      <c r="FC62" s="219"/>
      <c r="FD62" s="219"/>
      <c r="FE62" s="219"/>
      <c r="FF62" s="219"/>
      <c r="FG62" s="219"/>
      <c r="FH62" s="219"/>
      <c r="FI62" s="219"/>
      <c r="FJ62" s="219"/>
      <c r="FK62" s="219"/>
      <c r="FL62" s="219"/>
      <c r="FM62" s="219"/>
      <c r="FN62" s="219"/>
      <c r="FO62" s="219"/>
      <c r="FP62" s="219"/>
      <c r="FQ62" s="219"/>
      <c r="FR62" s="219"/>
      <c r="FS62" s="219"/>
      <c r="FT62" s="219"/>
      <c r="FU62" s="219"/>
      <c r="FV62" s="219"/>
      <c r="FW62" s="219"/>
      <c r="FX62" s="219"/>
      <c r="FY62" s="219"/>
      <c r="FZ62" s="219"/>
      <c r="GA62" s="219"/>
      <c r="GB62" s="2"/>
      <c r="GC62" s="2"/>
      <c r="GD62" s="219"/>
      <c r="GE62" s="219"/>
      <c r="GF62" s="219"/>
      <c r="GG62" s="219"/>
      <c r="GH62" s="219"/>
      <c r="GI62" s="219"/>
      <c r="GJ62" s="219"/>
      <c r="GK62" s="219"/>
      <c r="GL62" s="219"/>
      <c r="GM62" s="219"/>
    </row>
    <row r="63" spans="1:195" ht="6.95" customHeight="1" x14ac:dyDescent="0.15">
      <c r="A63" s="1"/>
      <c r="B63" s="1"/>
      <c r="C63" s="1"/>
      <c r="D63" s="1"/>
      <c r="E63" s="1"/>
      <c r="F63" s="112"/>
      <c r="G63" s="112"/>
      <c r="H63" s="112"/>
      <c r="I63" s="112"/>
      <c r="J63" s="112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220">
        <f>F61*Y63</f>
        <v>0</v>
      </c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3"/>
      <c r="AS63" s="3"/>
      <c r="AT63" s="3"/>
      <c r="AU63" s="4"/>
      <c r="AV63" s="4"/>
      <c r="AW63" s="4"/>
      <c r="AX63" s="96"/>
      <c r="AY63" s="96"/>
      <c r="AZ63" s="96"/>
      <c r="BA63" s="91"/>
      <c r="BB63" s="91"/>
      <c r="BC63" s="91"/>
      <c r="BD63" s="91"/>
      <c r="BE63" s="91"/>
      <c r="BF63" s="219"/>
      <c r="BG63" s="219"/>
      <c r="BH63" s="219"/>
      <c r="BI63" s="219"/>
      <c r="BJ63" s="219"/>
      <c r="BK63" s="219"/>
      <c r="BL63" s="219"/>
      <c r="BM63" s="219"/>
      <c r="BN63" s="219"/>
      <c r="BO63" s="219"/>
      <c r="BP63" s="219"/>
      <c r="BQ63" s="219"/>
      <c r="BR63" s="219"/>
      <c r="BS63" s="219"/>
      <c r="BT63" s="219"/>
      <c r="BU63" s="219"/>
      <c r="BV63" s="219"/>
      <c r="BW63" s="219"/>
      <c r="BX63" s="219"/>
      <c r="BY63" s="219"/>
      <c r="BZ63" s="219"/>
      <c r="CA63" s="219"/>
      <c r="CB63" s="219"/>
      <c r="CC63" s="219"/>
      <c r="CD63" s="219"/>
      <c r="CE63" s="219"/>
      <c r="CF63" s="219"/>
      <c r="CG63" s="219"/>
      <c r="CH63" s="219"/>
      <c r="CI63" s="219"/>
      <c r="CJ63" s="219"/>
      <c r="CK63" s="219"/>
      <c r="CL63" s="219"/>
      <c r="CM63" s="219"/>
      <c r="CN63" s="219"/>
      <c r="CO63" s="219"/>
      <c r="CP63" s="219"/>
      <c r="CQ63" s="219"/>
      <c r="CR63" s="219"/>
      <c r="CS63" s="219"/>
      <c r="CT63" s="219"/>
      <c r="CU63" s="219"/>
      <c r="CV63" s="219"/>
      <c r="CW63" s="219"/>
      <c r="CX63" s="219"/>
      <c r="CY63" s="219"/>
      <c r="CZ63" s="219"/>
      <c r="DA63" s="219"/>
      <c r="DB63" s="219"/>
      <c r="DC63" s="219"/>
      <c r="DD63" s="219"/>
      <c r="DE63" s="219"/>
      <c r="DF63" s="219"/>
      <c r="DG63" s="219"/>
      <c r="DH63" s="219"/>
      <c r="DI63" s="219"/>
      <c r="DJ63" s="219"/>
      <c r="DK63" s="219"/>
      <c r="DL63" s="219"/>
      <c r="DM63" s="219"/>
      <c r="DN63" s="219"/>
      <c r="DO63" s="219"/>
      <c r="DP63" s="219"/>
      <c r="DQ63" s="219"/>
      <c r="DR63" s="219"/>
      <c r="DS63" s="219"/>
      <c r="DT63" s="219"/>
      <c r="DU63" s="219"/>
      <c r="DV63" s="219"/>
      <c r="DW63" s="219"/>
      <c r="DX63" s="219"/>
      <c r="DY63" s="219"/>
      <c r="DZ63" s="219"/>
      <c r="EA63" s="219"/>
      <c r="EB63" s="219"/>
      <c r="EC63" s="219"/>
      <c r="ED63" s="219"/>
      <c r="EE63" s="219"/>
      <c r="EF63" s="219"/>
      <c r="EG63" s="219"/>
      <c r="EH63" s="219"/>
      <c r="EI63" s="219"/>
      <c r="EJ63" s="219"/>
      <c r="EK63" s="219"/>
      <c r="EL63" s="219"/>
      <c r="EM63" s="219"/>
      <c r="EN63" s="219"/>
      <c r="EO63" s="219"/>
      <c r="EP63" s="219"/>
      <c r="EQ63" s="219"/>
      <c r="ER63" s="219"/>
      <c r="ES63" s="219"/>
      <c r="ET63" s="219"/>
      <c r="EU63" s="219"/>
      <c r="EV63" s="219"/>
      <c r="EW63" s="219"/>
      <c r="EX63" s="219"/>
      <c r="EY63" s="219"/>
      <c r="EZ63" s="219"/>
      <c r="FA63" s="219"/>
      <c r="FB63" s="219"/>
      <c r="FC63" s="219"/>
      <c r="FD63" s="219"/>
      <c r="FE63" s="219"/>
      <c r="FF63" s="219"/>
      <c r="FG63" s="219"/>
      <c r="FH63" s="219"/>
      <c r="FI63" s="219"/>
      <c r="FJ63" s="219"/>
      <c r="FK63" s="219"/>
      <c r="FL63" s="219"/>
      <c r="FM63" s="219"/>
      <c r="FN63" s="219"/>
      <c r="FO63" s="219"/>
      <c r="FP63" s="219"/>
      <c r="FQ63" s="219"/>
      <c r="FR63" s="219"/>
      <c r="FS63" s="219"/>
      <c r="FT63" s="219"/>
      <c r="FU63" s="219"/>
      <c r="FV63" s="219"/>
      <c r="FW63" s="219"/>
      <c r="FX63" s="219"/>
      <c r="FY63" s="219"/>
      <c r="FZ63" s="219"/>
      <c r="GA63" s="219"/>
      <c r="GB63" s="2"/>
      <c r="GC63" s="2"/>
      <c r="GD63" s="219"/>
      <c r="GE63" s="219"/>
      <c r="GF63" s="219"/>
      <c r="GG63" s="219"/>
      <c r="GH63" s="219"/>
      <c r="GI63" s="219"/>
      <c r="GJ63" s="219"/>
      <c r="GK63" s="219"/>
      <c r="GL63" s="219"/>
      <c r="GM63" s="219"/>
    </row>
    <row r="64" spans="1:195" ht="6.95" customHeight="1" x14ac:dyDescent="0.15">
      <c r="A64" s="1"/>
      <c r="B64" s="1"/>
      <c r="C64" s="1"/>
      <c r="D64" s="1"/>
      <c r="E64" s="1"/>
      <c r="F64" s="112"/>
      <c r="G64" s="112"/>
      <c r="H64" s="112"/>
      <c r="I64" s="112"/>
      <c r="J64" s="112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220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3"/>
      <c r="AS64" s="3"/>
      <c r="AT64" s="3"/>
      <c r="AU64" s="4"/>
      <c r="AV64" s="4"/>
      <c r="AW64" s="4"/>
      <c r="AX64" s="96"/>
      <c r="AY64" s="96"/>
      <c r="AZ64" s="96"/>
      <c r="BA64" s="91"/>
      <c r="BB64" s="91"/>
      <c r="BC64" s="91"/>
      <c r="BD64" s="91"/>
      <c r="BE64" s="91"/>
      <c r="BF64" s="219"/>
      <c r="BG64" s="219"/>
      <c r="BH64" s="219"/>
      <c r="BI64" s="219"/>
      <c r="BJ64" s="219"/>
      <c r="BK64" s="219"/>
      <c r="BL64" s="219"/>
      <c r="BM64" s="219"/>
      <c r="BN64" s="219"/>
      <c r="BO64" s="219"/>
      <c r="BP64" s="219"/>
      <c r="BQ64" s="219"/>
      <c r="BR64" s="219"/>
      <c r="BS64" s="219"/>
      <c r="BT64" s="219"/>
      <c r="BU64" s="219"/>
      <c r="BV64" s="219"/>
      <c r="BW64" s="219"/>
      <c r="BX64" s="219"/>
      <c r="BY64" s="219"/>
      <c r="BZ64" s="219"/>
      <c r="CA64" s="219"/>
      <c r="CB64" s="219"/>
      <c r="CC64" s="219"/>
      <c r="CD64" s="219"/>
      <c r="CE64" s="219"/>
      <c r="CF64" s="219"/>
      <c r="CG64" s="219"/>
      <c r="CH64" s="219"/>
      <c r="CI64" s="219"/>
      <c r="CJ64" s="219"/>
      <c r="CK64" s="219"/>
      <c r="CL64" s="219"/>
      <c r="CM64" s="219"/>
      <c r="CN64" s="219"/>
      <c r="CO64" s="219"/>
      <c r="CP64" s="219"/>
      <c r="CQ64" s="219"/>
      <c r="CR64" s="219"/>
      <c r="CS64" s="219"/>
      <c r="CT64" s="219"/>
      <c r="CU64" s="219"/>
      <c r="CV64" s="219"/>
      <c r="CW64" s="219"/>
      <c r="CX64" s="219"/>
      <c r="CY64" s="219"/>
      <c r="CZ64" s="219"/>
      <c r="DA64" s="219"/>
      <c r="DB64" s="219"/>
      <c r="DC64" s="219"/>
      <c r="DD64" s="219"/>
      <c r="DE64" s="219"/>
      <c r="DF64" s="219"/>
      <c r="DG64" s="219"/>
      <c r="DH64" s="219"/>
      <c r="DI64" s="219"/>
      <c r="DJ64" s="219"/>
      <c r="DK64" s="219"/>
      <c r="DL64" s="219"/>
      <c r="DM64" s="219"/>
      <c r="DN64" s="219"/>
      <c r="DO64" s="219"/>
      <c r="DP64" s="219"/>
      <c r="DQ64" s="219"/>
      <c r="DR64" s="219"/>
      <c r="DS64" s="219"/>
      <c r="DT64" s="219"/>
      <c r="DU64" s="219"/>
      <c r="DV64" s="219"/>
      <c r="DW64" s="219"/>
      <c r="DX64" s="219"/>
      <c r="DY64" s="219"/>
      <c r="DZ64" s="219"/>
      <c r="EA64" s="219"/>
      <c r="EB64" s="219"/>
      <c r="EC64" s="219"/>
      <c r="ED64" s="219"/>
      <c r="EE64" s="219"/>
      <c r="EF64" s="219"/>
      <c r="EG64" s="219"/>
      <c r="EH64" s="219"/>
      <c r="EI64" s="219"/>
      <c r="EJ64" s="219"/>
      <c r="EK64" s="219"/>
      <c r="EL64" s="219"/>
      <c r="EM64" s="219"/>
      <c r="EN64" s="219"/>
      <c r="EO64" s="219"/>
      <c r="EP64" s="219"/>
      <c r="EQ64" s="219"/>
      <c r="ER64" s="219"/>
      <c r="ES64" s="219"/>
      <c r="ET64" s="219"/>
      <c r="EU64" s="219"/>
      <c r="EV64" s="219"/>
      <c r="EW64" s="219"/>
      <c r="EX64" s="219"/>
      <c r="EY64" s="219"/>
      <c r="EZ64" s="219"/>
      <c r="FA64" s="219"/>
      <c r="FB64" s="219"/>
      <c r="FC64" s="219"/>
      <c r="FD64" s="219"/>
      <c r="FE64" s="219"/>
      <c r="FF64" s="219"/>
      <c r="FG64" s="219"/>
      <c r="FH64" s="219"/>
      <c r="FI64" s="219"/>
      <c r="FJ64" s="219"/>
      <c r="FK64" s="219"/>
      <c r="FL64" s="219"/>
      <c r="FM64" s="219"/>
      <c r="FN64" s="219"/>
      <c r="FO64" s="219"/>
      <c r="FP64" s="219"/>
      <c r="FQ64" s="219"/>
      <c r="FR64" s="219"/>
      <c r="FS64" s="219"/>
      <c r="FT64" s="219"/>
      <c r="FU64" s="219"/>
      <c r="FV64" s="219"/>
      <c r="FW64" s="219"/>
      <c r="FX64" s="219"/>
      <c r="FY64" s="219"/>
      <c r="FZ64" s="219"/>
      <c r="GA64" s="219"/>
      <c r="GB64" s="2"/>
      <c r="GC64" s="2"/>
      <c r="GD64" s="219"/>
      <c r="GE64" s="219"/>
      <c r="GF64" s="219"/>
      <c r="GG64" s="219"/>
      <c r="GH64" s="219"/>
      <c r="GI64" s="219"/>
      <c r="GJ64" s="219"/>
      <c r="GK64" s="219"/>
      <c r="GL64" s="219"/>
      <c r="GM64" s="219"/>
    </row>
    <row r="65" spans="1:195" ht="6.95" customHeight="1" x14ac:dyDescent="0.15">
      <c r="A65" s="1"/>
      <c r="B65" s="1"/>
      <c r="C65" s="1"/>
      <c r="D65" s="1"/>
      <c r="E65" s="1"/>
      <c r="F65" s="113"/>
      <c r="G65" s="113"/>
      <c r="H65" s="113"/>
      <c r="I65" s="113"/>
      <c r="J65" s="113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220">
        <f>F61*Y65</f>
        <v>0</v>
      </c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3"/>
      <c r="AS65" s="3"/>
      <c r="AT65" s="96"/>
      <c r="AU65" s="96"/>
      <c r="AV65" s="96"/>
      <c r="AW65" s="4"/>
      <c r="AX65" s="4"/>
      <c r="AY65" s="4"/>
      <c r="AZ65" s="4"/>
      <c r="BA65" s="91"/>
      <c r="BB65" s="91"/>
      <c r="BC65" s="91"/>
      <c r="BD65" s="91"/>
      <c r="BE65" s="91"/>
      <c r="BF65" s="219"/>
      <c r="BG65" s="219"/>
      <c r="BH65" s="219"/>
      <c r="BI65" s="219"/>
      <c r="BJ65" s="219"/>
      <c r="BK65" s="219"/>
      <c r="BL65" s="219"/>
      <c r="BM65" s="219"/>
      <c r="BN65" s="219"/>
      <c r="BO65" s="219"/>
      <c r="BP65" s="219"/>
      <c r="BQ65" s="219"/>
      <c r="BR65" s="219"/>
      <c r="BS65" s="219"/>
      <c r="BT65" s="219"/>
      <c r="BU65" s="219"/>
      <c r="BV65" s="219"/>
      <c r="BW65" s="219"/>
      <c r="BX65" s="219"/>
      <c r="BY65" s="219"/>
      <c r="BZ65" s="219"/>
      <c r="CA65" s="219"/>
      <c r="CB65" s="219"/>
      <c r="CC65" s="219"/>
      <c r="CD65" s="219"/>
      <c r="CE65" s="219"/>
      <c r="CF65" s="219"/>
      <c r="CG65" s="219"/>
      <c r="CH65" s="219"/>
      <c r="CI65" s="219"/>
      <c r="CJ65" s="219"/>
      <c r="CK65" s="219"/>
      <c r="CL65" s="219"/>
      <c r="CM65" s="219"/>
      <c r="CN65" s="219"/>
      <c r="CO65" s="219"/>
      <c r="CP65" s="219"/>
      <c r="CQ65" s="219"/>
      <c r="CR65" s="219"/>
      <c r="CS65" s="219"/>
      <c r="CT65" s="219"/>
      <c r="CU65" s="219"/>
      <c r="CV65" s="219"/>
      <c r="CW65" s="219"/>
      <c r="CX65" s="219"/>
      <c r="CY65" s="219"/>
      <c r="CZ65" s="219"/>
      <c r="DA65" s="219"/>
      <c r="DB65" s="219"/>
      <c r="DC65" s="219"/>
      <c r="DD65" s="219"/>
      <c r="DE65" s="219"/>
      <c r="DF65" s="219"/>
      <c r="DG65" s="219"/>
      <c r="DH65" s="219"/>
      <c r="DI65" s="219"/>
      <c r="DJ65" s="219"/>
      <c r="DK65" s="219"/>
      <c r="DL65" s="219"/>
      <c r="DM65" s="219"/>
      <c r="DN65" s="219"/>
      <c r="DO65" s="219"/>
      <c r="DP65" s="219"/>
      <c r="DQ65" s="219"/>
      <c r="DR65" s="219"/>
      <c r="DS65" s="219"/>
      <c r="DT65" s="219"/>
      <c r="DU65" s="219"/>
      <c r="DV65" s="219"/>
      <c r="DW65" s="219"/>
      <c r="DX65" s="219"/>
      <c r="DY65" s="219"/>
      <c r="DZ65" s="219"/>
      <c r="EA65" s="219"/>
      <c r="EB65" s="219"/>
      <c r="EC65" s="219"/>
      <c r="ED65" s="219"/>
      <c r="EE65" s="219"/>
      <c r="EF65" s="219"/>
      <c r="EG65" s="219"/>
      <c r="EH65" s="219"/>
      <c r="EI65" s="219"/>
      <c r="EJ65" s="219"/>
      <c r="EK65" s="219"/>
      <c r="EL65" s="219"/>
      <c r="EM65" s="219"/>
      <c r="EN65" s="219"/>
      <c r="EO65" s="219"/>
      <c r="EP65" s="219"/>
      <c r="EQ65" s="219"/>
      <c r="ER65" s="219"/>
      <c r="ES65" s="219"/>
      <c r="ET65" s="219"/>
      <c r="EU65" s="219"/>
      <c r="EV65" s="219"/>
      <c r="EW65" s="219"/>
      <c r="EX65" s="219"/>
      <c r="EY65" s="219"/>
      <c r="EZ65" s="219"/>
      <c r="FA65" s="219"/>
      <c r="FB65" s="219"/>
      <c r="FC65" s="219"/>
      <c r="FD65" s="219"/>
      <c r="FE65" s="219"/>
      <c r="FF65" s="219"/>
      <c r="FG65" s="219"/>
      <c r="FH65" s="219"/>
      <c r="FI65" s="219"/>
      <c r="FJ65" s="219"/>
      <c r="FK65" s="219"/>
      <c r="FL65" s="219"/>
      <c r="FM65" s="219"/>
      <c r="FN65" s="219"/>
      <c r="FO65" s="219"/>
      <c r="FP65" s="219"/>
      <c r="FQ65" s="219"/>
      <c r="FR65" s="219"/>
      <c r="FS65" s="219"/>
      <c r="FT65" s="219"/>
      <c r="FU65" s="219"/>
      <c r="FV65" s="219"/>
      <c r="FW65" s="219"/>
      <c r="FX65" s="219"/>
      <c r="FY65" s="219"/>
      <c r="FZ65" s="219"/>
      <c r="GA65" s="219"/>
      <c r="GB65" s="2"/>
      <c r="GC65" s="2"/>
      <c r="GD65" s="219"/>
      <c r="GE65" s="219"/>
      <c r="GF65" s="219"/>
      <c r="GG65" s="219"/>
      <c r="GH65" s="219"/>
      <c r="GI65" s="219"/>
      <c r="GJ65" s="219"/>
      <c r="GK65" s="219"/>
      <c r="GL65" s="219"/>
      <c r="GM65" s="219"/>
    </row>
    <row r="66" spans="1:195" ht="6.95" customHeight="1" x14ac:dyDescent="0.15">
      <c r="A66" s="1"/>
      <c r="B66" s="1"/>
      <c r="C66" s="1"/>
      <c r="D66" s="1"/>
      <c r="E66" s="1"/>
      <c r="F66" s="113"/>
      <c r="G66" s="113"/>
      <c r="H66" s="113"/>
      <c r="I66" s="113"/>
      <c r="J66" s="113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220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3"/>
      <c r="AS66" s="3"/>
      <c r="AT66" s="96"/>
      <c r="AU66" s="96"/>
      <c r="AV66" s="96"/>
      <c r="AW66" s="4"/>
      <c r="AX66" s="4"/>
      <c r="AY66" s="4"/>
      <c r="AZ66" s="4"/>
      <c r="BA66" s="91"/>
      <c r="BB66" s="91"/>
      <c r="BC66" s="91"/>
      <c r="BD66" s="91"/>
      <c r="BE66" s="91"/>
      <c r="BF66" s="219"/>
      <c r="BG66" s="219"/>
      <c r="BH66" s="219"/>
      <c r="BI66" s="219"/>
      <c r="BJ66" s="219"/>
      <c r="BK66" s="219"/>
      <c r="BL66" s="219"/>
      <c r="BM66" s="219"/>
      <c r="BN66" s="219"/>
      <c r="BO66" s="219"/>
      <c r="BP66" s="219"/>
      <c r="BQ66" s="219"/>
      <c r="BR66" s="219"/>
      <c r="BS66" s="219"/>
      <c r="BT66" s="219"/>
      <c r="BU66" s="219"/>
      <c r="BV66" s="219"/>
      <c r="BW66" s="219"/>
      <c r="BX66" s="219"/>
      <c r="BY66" s="219"/>
      <c r="BZ66" s="219"/>
      <c r="CA66" s="219"/>
      <c r="CB66" s="219"/>
      <c r="CC66" s="219"/>
      <c r="CD66" s="219"/>
      <c r="CE66" s="219"/>
      <c r="CF66" s="219"/>
      <c r="CG66" s="219"/>
      <c r="CH66" s="219"/>
      <c r="CI66" s="219"/>
      <c r="CJ66" s="219"/>
      <c r="CK66" s="219"/>
      <c r="CL66" s="219"/>
      <c r="CM66" s="219"/>
      <c r="CN66" s="219"/>
      <c r="CO66" s="219"/>
      <c r="CP66" s="219"/>
      <c r="CQ66" s="219"/>
      <c r="CR66" s="219"/>
      <c r="CS66" s="219"/>
      <c r="CT66" s="219"/>
      <c r="CU66" s="219"/>
      <c r="CV66" s="219"/>
      <c r="CW66" s="219"/>
      <c r="CX66" s="219"/>
      <c r="CY66" s="219"/>
      <c r="CZ66" s="219"/>
      <c r="DA66" s="219"/>
      <c r="DB66" s="219"/>
      <c r="DC66" s="219"/>
      <c r="DD66" s="219"/>
      <c r="DE66" s="219"/>
      <c r="DF66" s="219"/>
      <c r="DG66" s="219"/>
      <c r="DH66" s="219"/>
      <c r="DI66" s="219"/>
      <c r="DJ66" s="219"/>
      <c r="DK66" s="219"/>
      <c r="DL66" s="219"/>
      <c r="DM66" s="219"/>
      <c r="DN66" s="219"/>
      <c r="DO66" s="219"/>
      <c r="DP66" s="219"/>
      <c r="DQ66" s="219"/>
      <c r="DR66" s="219"/>
      <c r="DS66" s="219"/>
      <c r="DT66" s="219"/>
      <c r="DU66" s="219"/>
      <c r="DV66" s="219"/>
      <c r="DW66" s="219"/>
      <c r="DX66" s="219"/>
      <c r="DY66" s="219"/>
      <c r="DZ66" s="219"/>
      <c r="EA66" s="219"/>
      <c r="EB66" s="219"/>
      <c r="EC66" s="219"/>
      <c r="ED66" s="219"/>
      <c r="EE66" s="219"/>
      <c r="EF66" s="219"/>
      <c r="EG66" s="219"/>
      <c r="EH66" s="219"/>
      <c r="EI66" s="219"/>
      <c r="EJ66" s="219"/>
      <c r="EK66" s="219"/>
      <c r="EL66" s="219"/>
      <c r="EM66" s="219"/>
      <c r="EN66" s="219"/>
      <c r="EO66" s="219"/>
      <c r="EP66" s="219"/>
      <c r="EQ66" s="219"/>
      <c r="ER66" s="219"/>
      <c r="ES66" s="219"/>
      <c r="ET66" s="219"/>
      <c r="EU66" s="219"/>
      <c r="EV66" s="219"/>
      <c r="EW66" s="219"/>
      <c r="EX66" s="219"/>
      <c r="EY66" s="219"/>
      <c r="EZ66" s="219"/>
      <c r="FA66" s="219"/>
      <c r="FB66" s="219"/>
      <c r="FC66" s="219"/>
      <c r="FD66" s="219"/>
      <c r="FE66" s="219"/>
      <c r="FF66" s="219"/>
      <c r="FG66" s="219"/>
      <c r="FH66" s="219"/>
      <c r="FI66" s="219"/>
      <c r="FJ66" s="219"/>
      <c r="FK66" s="219"/>
      <c r="FL66" s="219"/>
      <c r="FM66" s="219"/>
      <c r="FN66" s="219"/>
      <c r="FO66" s="219"/>
      <c r="FP66" s="219"/>
      <c r="FQ66" s="219"/>
      <c r="FR66" s="219"/>
      <c r="FS66" s="219"/>
      <c r="FT66" s="219"/>
      <c r="FU66" s="219"/>
      <c r="FV66" s="219"/>
      <c r="FW66" s="219"/>
      <c r="FX66" s="219"/>
      <c r="FY66" s="219"/>
      <c r="FZ66" s="219"/>
      <c r="GA66" s="219"/>
      <c r="GB66" s="2"/>
      <c r="GC66" s="2"/>
      <c r="GD66" s="219"/>
      <c r="GE66" s="219"/>
      <c r="GF66" s="219"/>
      <c r="GG66" s="219"/>
      <c r="GH66" s="219"/>
      <c r="GI66" s="219"/>
      <c r="GJ66" s="219"/>
      <c r="GK66" s="219"/>
      <c r="GL66" s="219"/>
      <c r="GM66" s="219"/>
    </row>
    <row r="67" spans="1:195" ht="6.95" customHeight="1" x14ac:dyDescent="0.15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219"/>
      <c r="BG67" s="219"/>
      <c r="BH67" s="219"/>
      <c r="BI67" s="219"/>
      <c r="BJ67" s="219"/>
      <c r="BK67" s="219"/>
      <c r="BL67" s="219"/>
      <c r="BM67" s="219"/>
      <c r="BN67" s="219"/>
      <c r="BO67" s="219"/>
      <c r="BP67" s="219"/>
      <c r="BQ67" s="219"/>
      <c r="BR67" s="219"/>
      <c r="BS67" s="219"/>
      <c r="BT67" s="219"/>
      <c r="BU67" s="219"/>
      <c r="BV67" s="219"/>
      <c r="BW67" s="219"/>
      <c r="BX67" s="219"/>
      <c r="BY67" s="219"/>
      <c r="BZ67" s="219"/>
      <c r="CA67" s="219"/>
      <c r="CB67" s="219"/>
      <c r="CC67" s="219"/>
      <c r="CD67" s="219"/>
      <c r="CE67" s="219"/>
      <c r="CF67" s="219"/>
      <c r="CG67" s="219"/>
      <c r="CH67" s="219"/>
      <c r="CI67" s="219"/>
      <c r="CJ67" s="219"/>
      <c r="CK67" s="219"/>
      <c r="CL67" s="219"/>
      <c r="CM67" s="219"/>
      <c r="CN67" s="219"/>
      <c r="CO67" s="219"/>
      <c r="CP67" s="219"/>
      <c r="CQ67" s="219"/>
      <c r="CR67" s="219"/>
      <c r="CS67" s="219"/>
      <c r="CT67" s="219"/>
      <c r="CU67" s="219"/>
      <c r="CV67" s="219"/>
      <c r="CW67" s="219"/>
      <c r="CX67" s="219"/>
      <c r="CY67" s="219"/>
      <c r="CZ67" s="219"/>
      <c r="DA67" s="219"/>
      <c r="DB67" s="219"/>
      <c r="DC67" s="219"/>
      <c r="DD67" s="219"/>
      <c r="DE67" s="219"/>
      <c r="DF67" s="219"/>
      <c r="DG67" s="219"/>
      <c r="DH67" s="219"/>
      <c r="DI67" s="219"/>
      <c r="DJ67" s="219"/>
      <c r="DK67" s="219"/>
      <c r="DL67" s="219"/>
      <c r="DM67" s="219"/>
      <c r="DN67" s="219"/>
      <c r="DO67" s="219"/>
      <c r="DP67" s="219"/>
      <c r="DQ67" s="219"/>
      <c r="DR67" s="219"/>
      <c r="DS67" s="219"/>
      <c r="DT67" s="219"/>
      <c r="DU67" s="219"/>
      <c r="DV67" s="219"/>
      <c r="DW67" s="219"/>
      <c r="DX67" s="219"/>
      <c r="DY67" s="219"/>
      <c r="DZ67" s="219"/>
      <c r="EA67" s="219"/>
      <c r="EB67" s="219"/>
      <c r="EC67" s="219"/>
      <c r="ED67" s="219"/>
      <c r="EE67" s="219"/>
      <c r="EF67" s="219"/>
      <c r="EG67" s="219"/>
      <c r="EH67" s="219"/>
      <c r="EI67" s="219"/>
      <c r="EJ67" s="219"/>
      <c r="EK67" s="219"/>
      <c r="EL67" s="219"/>
      <c r="EM67" s="219"/>
      <c r="EN67" s="219"/>
      <c r="EO67" s="219"/>
      <c r="EP67" s="219"/>
      <c r="EQ67" s="219"/>
      <c r="ER67" s="219"/>
      <c r="ES67" s="219"/>
      <c r="ET67" s="219"/>
      <c r="EU67" s="219"/>
      <c r="EV67" s="219"/>
      <c r="EW67" s="219"/>
      <c r="EX67" s="219"/>
      <c r="EY67" s="219"/>
      <c r="EZ67" s="219"/>
      <c r="FA67" s="219"/>
      <c r="FB67" s="219"/>
      <c r="FC67" s="219"/>
      <c r="FD67" s="219"/>
      <c r="FE67" s="219"/>
      <c r="FF67" s="219"/>
      <c r="FG67" s="219"/>
      <c r="FH67" s="219"/>
      <c r="FI67" s="219"/>
      <c r="FJ67" s="219"/>
      <c r="FK67" s="219"/>
      <c r="FL67" s="219"/>
      <c r="FM67" s="219"/>
      <c r="FN67" s="219"/>
      <c r="FO67" s="219"/>
      <c r="FP67" s="219"/>
      <c r="FQ67" s="219"/>
      <c r="FR67" s="219"/>
      <c r="FS67" s="219"/>
      <c r="FT67" s="219"/>
      <c r="FU67" s="219"/>
      <c r="FV67" s="219"/>
      <c r="FW67" s="219"/>
      <c r="FX67" s="219"/>
      <c r="FY67" s="219"/>
      <c r="FZ67" s="219"/>
      <c r="GA67" s="219"/>
      <c r="GB67" s="2"/>
      <c r="GC67" s="2"/>
      <c r="GD67" s="219"/>
      <c r="GE67" s="219"/>
      <c r="GF67" s="219"/>
      <c r="GG67" s="219"/>
      <c r="GH67" s="219"/>
      <c r="GI67" s="219"/>
      <c r="GJ67" s="219"/>
      <c r="GK67" s="219"/>
      <c r="GL67" s="219"/>
      <c r="GM67" s="219"/>
    </row>
    <row r="68" spans="1:195" ht="6.95" customHeight="1" x14ac:dyDescent="0.15">
      <c r="A68" s="1"/>
      <c r="B68" s="1"/>
      <c r="C68" s="1"/>
      <c r="D68" s="1"/>
      <c r="E68" s="1"/>
      <c r="F68" s="112"/>
      <c r="G68" s="112"/>
      <c r="H68" s="112"/>
      <c r="I68" s="112"/>
      <c r="J68" s="112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220">
        <f>F68*Y68</f>
        <v>0</v>
      </c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219"/>
      <c r="BG68" s="219"/>
      <c r="BH68" s="219"/>
      <c r="BI68" s="219"/>
      <c r="BJ68" s="219"/>
      <c r="BK68" s="219"/>
      <c r="BL68" s="219"/>
      <c r="BM68" s="219"/>
      <c r="BN68" s="219"/>
      <c r="BO68" s="219"/>
      <c r="BP68" s="219"/>
      <c r="BQ68" s="219"/>
      <c r="BR68" s="219"/>
      <c r="BS68" s="219"/>
      <c r="BT68" s="219"/>
      <c r="BU68" s="219"/>
      <c r="BV68" s="219"/>
      <c r="BW68" s="219"/>
      <c r="BX68" s="219"/>
      <c r="BY68" s="219"/>
      <c r="BZ68" s="219"/>
      <c r="CA68" s="219"/>
      <c r="CB68" s="219"/>
      <c r="CC68" s="219"/>
      <c r="CD68" s="219"/>
      <c r="CE68" s="219"/>
      <c r="CF68" s="219"/>
      <c r="CG68" s="219"/>
      <c r="CH68" s="219"/>
      <c r="CI68" s="219"/>
      <c r="CJ68" s="219"/>
      <c r="CK68" s="219"/>
      <c r="CL68" s="219"/>
      <c r="CM68" s="219"/>
      <c r="CN68" s="219"/>
      <c r="CO68" s="219"/>
      <c r="CP68" s="219"/>
      <c r="CQ68" s="219"/>
      <c r="CR68" s="219"/>
      <c r="CS68" s="219"/>
      <c r="CT68" s="219"/>
      <c r="CU68" s="219"/>
      <c r="CV68" s="219"/>
      <c r="CW68" s="219"/>
      <c r="CX68" s="219"/>
      <c r="CY68" s="219"/>
      <c r="CZ68" s="219"/>
      <c r="DA68" s="219"/>
      <c r="DB68" s="219"/>
      <c r="DC68" s="219"/>
      <c r="DD68" s="219"/>
      <c r="DE68" s="219"/>
      <c r="DF68" s="219"/>
      <c r="DG68" s="219"/>
      <c r="DH68" s="219"/>
      <c r="DI68" s="219"/>
      <c r="DJ68" s="219"/>
      <c r="DK68" s="219"/>
      <c r="DL68" s="219"/>
      <c r="DM68" s="219"/>
      <c r="DN68" s="219"/>
      <c r="DO68" s="219"/>
      <c r="DP68" s="219"/>
      <c r="DQ68" s="219"/>
      <c r="DR68" s="219"/>
      <c r="DS68" s="219"/>
      <c r="DT68" s="219"/>
      <c r="DU68" s="219"/>
      <c r="DV68" s="219"/>
      <c r="DW68" s="219"/>
      <c r="DX68" s="219"/>
      <c r="DY68" s="219"/>
      <c r="DZ68" s="219"/>
      <c r="EA68" s="219"/>
      <c r="EB68" s="219"/>
      <c r="EC68" s="219"/>
      <c r="ED68" s="219"/>
      <c r="EE68" s="219"/>
      <c r="EF68" s="219"/>
      <c r="EG68" s="219"/>
      <c r="EH68" s="219"/>
      <c r="EI68" s="219"/>
      <c r="EJ68" s="219"/>
      <c r="EK68" s="219"/>
      <c r="EL68" s="219"/>
      <c r="EM68" s="219"/>
      <c r="EN68" s="219"/>
      <c r="EO68" s="219"/>
      <c r="EP68" s="219"/>
      <c r="EQ68" s="219"/>
      <c r="ER68" s="219"/>
      <c r="ES68" s="219"/>
      <c r="ET68" s="219"/>
      <c r="EU68" s="219"/>
      <c r="EV68" s="219"/>
      <c r="EW68" s="219"/>
      <c r="EX68" s="219"/>
      <c r="EY68" s="219"/>
      <c r="EZ68" s="219"/>
      <c r="FA68" s="219"/>
      <c r="FB68" s="219"/>
      <c r="FC68" s="219"/>
      <c r="FD68" s="219"/>
      <c r="FE68" s="219"/>
      <c r="FF68" s="219"/>
      <c r="FG68" s="219"/>
      <c r="FH68" s="219"/>
      <c r="FI68" s="219"/>
      <c r="FJ68" s="219"/>
      <c r="FK68" s="219"/>
      <c r="FL68" s="219"/>
      <c r="FM68" s="219"/>
      <c r="FN68" s="219"/>
      <c r="FO68" s="219"/>
      <c r="FP68" s="219"/>
      <c r="FQ68" s="219"/>
      <c r="FR68" s="219"/>
      <c r="FS68" s="219"/>
      <c r="FT68" s="219"/>
      <c r="FU68" s="219"/>
      <c r="FV68" s="219"/>
      <c r="FW68" s="219"/>
      <c r="FX68" s="219"/>
      <c r="FY68" s="219"/>
      <c r="FZ68" s="219"/>
      <c r="GA68" s="219"/>
      <c r="GB68" s="2"/>
      <c r="GC68" s="2"/>
      <c r="GD68" s="219"/>
      <c r="GE68" s="219"/>
      <c r="GF68" s="219"/>
      <c r="GG68" s="219"/>
      <c r="GH68" s="219"/>
      <c r="GI68" s="219"/>
      <c r="GJ68" s="219"/>
      <c r="GK68" s="219"/>
      <c r="GL68" s="219"/>
      <c r="GM68" s="219"/>
    </row>
    <row r="69" spans="1:195" ht="6.95" customHeight="1" x14ac:dyDescent="0.15">
      <c r="A69" s="1"/>
      <c r="B69" s="1"/>
      <c r="C69" s="1"/>
      <c r="D69" s="1"/>
      <c r="E69" s="1"/>
      <c r="F69" s="112"/>
      <c r="G69" s="112"/>
      <c r="H69" s="112"/>
      <c r="I69" s="112"/>
      <c r="J69" s="112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220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219"/>
      <c r="BG69" s="219"/>
      <c r="BH69" s="219"/>
      <c r="BI69" s="219"/>
      <c r="BJ69" s="219"/>
      <c r="BK69" s="219"/>
      <c r="BL69" s="219"/>
      <c r="BM69" s="219"/>
      <c r="BN69" s="219"/>
      <c r="BO69" s="219"/>
      <c r="BP69" s="219"/>
      <c r="BQ69" s="219"/>
      <c r="BR69" s="219"/>
      <c r="BS69" s="219"/>
      <c r="BT69" s="219"/>
      <c r="BU69" s="219"/>
      <c r="BV69" s="219"/>
      <c r="BW69" s="219"/>
      <c r="BX69" s="219"/>
      <c r="BY69" s="219"/>
      <c r="BZ69" s="219"/>
      <c r="CA69" s="219"/>
      <c r="CB69" s="219"/>
      <c r="CC69" s="219"/>
      <c r="CD69" s="219"/>
      <c r="CE69" s="219"/>
      <c r="CF69" s="219"/>
      <c r="CG69" s="219"/>
      <c r="CH69" s="219"/>
      <c r="CI69" s="219"/>
      <c r="CJ69" s="219"/>
      <c r="CK69" s="219"/>
      <c r="CL69" s="219"/>
      <c r="CM69" s="219"/>
      <c r="CN69" s="219"/>
      <c r="CO69" s="219"/>
      <c r="CP69" s="219"/>
      <c r="CQ69" s="219"/>
      <c r="CR69" s="219"/>
      <c r="CS69" s="219"/>
      <c r="CT69" s="219"/>
      <c r="CU69" s="219"/>
      <c r="CV69" s="219"/>
      <c r="CW69" s="219"/>
      <c r="CX69" s="219"/>
      <c r="CY69" s="219"/>
      <c r="CZ69" s="219"/>
      <c r="DA69" s="219"/>
      <c r="DB69" s="219"/>
      <c r="DC69" s="219"/>
      <c r="DD69" s="219"/>
      <c r="DE69" s="219"/>
      <c r="DF69" s="219"/>
      <c r="DG69" s="219"/>
      <c r="DH69" s="219"/>
      <c r="DI69" s="219"/>
      <c r="DJ69" s="219"/>
      <c r="DK69" s="219"/>
      <c r="DL69" s="219"/>
      <c r="DM69" s="219"/>
      <c r="DN69" s="219"/>
      <c r="DO69" s="219"/>
      <c r="DP69" s="219"/>
      <c r="DQ69" s="219"/>
      <c r="DR69" s="219"/>
      <c r="DS69" s="219"/>
      <c r="DT69" s="219"/>
      <c r="DU69" s="219"/>
      <c r="DV69" s="219"/>
      <c r="DW69" s="219"/>
      <c r="DX69" s="219"/>
      <c r="DY69" s="219"/>
      <c r="DZ69" s="219"/>
      <c r="EA69" s="219"/>
      <c r="EB69" s="219"/>
      <c r="EC69" s="219"/>
      <c r="ED69" s="219"/>
      <c r="EE69" s="219"/>
      <c r="EF69" s="219"/>
      <c r="EG69" s="219"/>
      <c r="EH69" s="219"/>
      <c r="EI69" s="219"/>
      <c r="EJ69" s="219"/>
      <c r="EK69" s="219"/>
      <c r="EL69" s="219"/>
      <c r="EM69" s="219"/>
      <c r="EN69" s="219"/>
      <c r="EO69" s="219"/>
      <c r="EP69" s="219"/>
      <c r="EQ69" s="219"/>
      <c r="ER69" s="219"/>
      <c r="ES69" s="219"/>
      <c r="ET69" s="219"/>
      <c r="EU69" s="219"/>
      <c r="EV69" s="219"/>
      <c r="EW69" s="219"/>
      <c r="EX69" s="219"/>
      <c r="EY69" s="219"/>
      <c r="EZ69" s="219"/>
      <c r="FA69" s="219"/>
      <c r="FB69" s="219"/>
      <c r="FC69" s="219"/>
      <c r="FD69" s="219"/>
      <c r="FE69" s="219"/>
      <c r="FF69" s="219"/>
      <c r="FG69" s="219"/>
      <c r="FH69" s="219"/>
      <c r="FI69" s="219"/>
      <c r="FJ69" s="219"/>
      <c r="FK69" s="219"/>
      <c r="FL69" s="219"/>
      <c r="FM69" s="219"/>
      <c r="FN69" s="219"/>
      <c r="FO69" s="219"/>
      <c r="FP69" s="219"/>
      <c r="FQ69" s="219"/>
      <c r="FR69" s="219"/>
      <c r="FS69" s="219"/>
      <c r="FT69" s="219"/>
      <c r="FU69" s="219"/>
      <c r="FV69" s="219"/>
      <c r="FW69" s="219"/>
      <c r="FX69" s="219"/>
      <c r="FY69" s="219"/>
      <c r="FZ69" s="219"/>
      <c r="GA69" s="219"/>
      <c r="GB69" s="2"/>
      <c r="GC69" s="2"/>
      <c r="GD69" s="219"/>
      <c r="GE69" s="219"/>
      <c r="GF69" s="219"/>
      <c r="GG69" s="219"/>
      <c r="GH69" s="219"/>
      <c r="GI69" s="219"/>
      <c r="GJ69" s="219"/>
      <c r="GK69" s="219"/>
      <c r="GL69" s="219"/>
      <c r="GM69" s="219"/>
    </row>
    <row r="70" spans="1:195" ht="6.95" customHeight="1" x14ac:dyDescent="0.15">
      <c r="A70" s="1"/>
      <c r="B70" s="1"/>
      <c r="C70" s="1"/>
      <c r="D70" s="1"/>
      <c r="E70" s="1"/>
      <c r="F70" s="112"/>
      <c r="G70" s="112"/>
      <c r="H70" s="112"/>
      <c r="I70" s="112"/>
      <c r="J70" s="112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220">
        <f>F68*Y70</f>
        <v>0</v>
      </c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219"/>
      <c r="BG70" s="219"/>
      <c r="BH70" s="219"/>
      <c r="BI70" s="219"/>
      <c r="BJ70" s="219"/>
      <c r="BK70" s="219"/>
      <c r="BL70" s="219"/>
      <c r="BM70" s="219"/>
      <c r="BN70" s="219"/>
      <c r="BO70" s="219"/>
      <c r="BP70" s="219"/>
      <c r="BQ70" s="219"/>
      <c r="BR70" s="219"/>
      <c r="BS70" s="219"/>
      <c r="BT70" s="219"/>
      <c r="BU70" s="219"/>
      <c r="BV70" s="219"/>
      <c r="BW70" s="219"/>
      <c r="BX70" s="219"/>
      <c r="BY70" s="219"/>
      <c r="BZ70" s="219"/>
      <c r="CA70" s="219"/>
      <c r="CB70" s="219"/>
      <c r="CC70" s="219"/>
      <c r="CD70" s="219"/>
      <c r="CE70" s="219"/>
      <c r="CF70" s="219"/>
      <c r="CG70" s="219"/>
      <c r="CH70" s="219"/>
      <c r="CI70" s="219"/>
      <c r="CJ70" s="219"/>
      <c r="CK70" s="219"/>
      <c r="CL70" s="219"/>
      <c r="CM70" s="219"/>
      <c r="CN70" s="219"/>
      <c r="CO70" s="219"/>
      <c r="CP70" s="219"/>
      <c r="CQ70" s="219"/>
      <c r="CR70" s="219"/>
      <c r="CS70" s="219"/>
      <c r="CT70" s="219"/>
      <c r="CU70" s="219"/>
      <c r="CV70" s="219"/>
      <c r="CW70" s="219"/>
      <c r="CX70" s="219"/>
      <c r="CY70" s="219"/>
      <c r="CZ70" s="219"/>
      <c r="DA70" s="219"/>
      <c r="DB70" s="219"/>
      <c r="DC70" s="219"/>
      <c r="DD70" s="219"/>
      <c r="DE70" s="219"/>
      <c r="DF70" s="219"/>
      <c r="DG70" s="219"/>
      <c r="DH70" s="219"/>
      <c r="DI70" s="219"/>
      <c r="DJ70" s="219"/>
      <c r="DK70" s="219"/>
      <c r="DL70" s="219"/>
      <c r="DM70" s="219"/>
      <c r="DN70" s="219"/>
      <c r="DO70" s="219"/>
      <c r="DP70" s="219"/>
      <c r="DQ70" s="219"/>
      <c r="DR70" s="219"/>
      <c r="DS70" s="219"/>
      <c r="DT70" s="219"/>
      <c r="DU70" s="219"/>
      <c r="DV70" s="219"/>
      <c r="DW70" s="219"/>
      <c r="DX70" s="219"/>
      <c r="DY70" s="219"/>
      <c r="DZ70" s="219"/>
      <c r="EA70" s="219"/>
      <c r="EB70" s="219"/>
      <c r="EC70" s="219"/>
      <c r="ED70" s="219"/>
      <c r="EE70" s="219"/>
      <c r="EF70" s="219"/>
      <c r="EG70" s="219"/>
      <c r="EH70" s="219"/>
      <c r="EI70" s="219"/>
      <c r="EJ70" s="219"/>
      <c r="EK70" s="219"/>
      <c r="EL70" s="219"/>
      <c r="EM70" s="219"/>
      <c r="EN70" s="219"/>
      <c r="EO70" s="219"/>
      <c r="EP70" s="219"/>
      <c r="EQ70" s="219"/>
      <c r="ER70" s="219"/>
      <c r="ES70" s="219"/>
      <c r="ET70" s="219"/>
      <c r="EU70" s="219"/>
      <c r="EV70" s="219"/>
      <c r="EW70" s="219"/>
      <c r="EX70" s="219"/>
      <c r="EY70" s="219"/>
      <c r="EZ70" s="219"/>
      <c r="FA70" s="219"/>
      <c r="FB70" s="219"/>
      <c r="FC70" s="219"/>
      <c r="FD70" s="219"/>
      <c r="FE70" s="219"/>
      <c r="FF70" s="219"/>
      <c r="FG70" s="219"/>
      <c r="FH70" s="219"/>
      <c r="FI70" s="219"/>
      <c r="FJ70" s="219"/>
      <c r="FK70" s="219"/>
      <c r="FL70" s="219"/>
      <c r="FM70" s="219"/>
      <c r="FN70" s="219"/>
      <c r="FO70" s="219"/>
      <c r="FP70" s="219"/>
      <c r="FQ70" s="219"/>
      <c r="FR70" s="219"/>
      <c r="FS70" s="219"/>
      <c r="FT70" s="219"/>
      <c r="FU70" s="219"/>
      <c r="FV70" s="219"/>
      <c r="FW70" s="219"/>
      <c r="FX70" s="219"/>
      <c r="FY70" s="219"/>
      <c r="FZ70" s="219"/>
      <c r="GA70" s="219"/>
      <c r="GB70" s="2"/>
      <c r="GC70" s="2"/>
      <c r="GD70" s="219"/>
      <c r="GE70" s="219"/>
      <c r="GF70" s="219"/>
      <c r="GG70" s="219"/>
      <c r="GH70" s="219"/>
      <c r="GI70" s="219"/>
      <c r="GJ70" s="219"/>
      <c r="GK70" s="219"/>
      <c r="GL70" s="219"/>
      <c r="GM70" s="219"/>
    </row>
    <row r="71" spans="1:195" ht="6.95" customHeight="1" x14ac:dyDescent="0.15">
      <c r="A71" s="1"/>
      <c r="B71" s="1"/>
      <c r="C71" s="1"/>
      <c r="D71" s="1"/>
      <c r="E71" s="1"/>
      <c r="F71" s="112"/>
      <c r="G71" s="112"/>
      <c r="H71" s="112"/>
      <c r="I71" s="112"/>
      <c r="J71" s="112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220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219"/>
      <c r="BG71" s="219"/>
      <c r="BH71" s="219"/>
      <c r="BI71" s="219"/>
      <c r="BJ71" s="219"/>
      <c r="BK71" s="219"/>
      <c r="BL71" s="219"/>
      <c r="BM71" s="219"/>
      <c r="BN71" s="219"/>
      <c r="BO71" s="219"/>
      <c r="BP71" s="219"/>
      <c r="BQ71" s="219"/>
      <c r="BR71" s="219"/>
      <c r="BS71" s="219"/>
      <c r="BT71" s="219"/>
      <c r="BU71" s="219"/>
      <c r="BV71" s="219"/>
      <c r="BW71" s="219"/>
      <c r="BX71" s="219"/>
      <c r="BY71" s="219"/>
      <c r="BZ71" s="219"/>
      <c r="CA71" s="219"/>
      <c r="CB71" s="219"/>
      <c r="CC71" s="219"/>
      <c r="CD71" s="219"/>
      <c r="CE71" s="219"/>
      <c r="CF71" s="219"/>
      <c r="CG71" s="219"/>
      <c r="CH71" s="219"/>
      <c r="CI71" s="219"/>
      <c r="CJ71" s="219"/>
      <c r="CK71" s="219"/>
      <c r="CL71" s="219"/>
      <c r="CM71" s="219"/>
      <c r="CN71" s="219"/>
      <c r="CO71" s="219"/>
      <c r="CP71" s="219"/>
      <c r="CQ71" s="219"/>
      <c r="CR71" s="219"/>
      <c r="CS71" s="219"/>
      <c r="CT71" s="219"/>
      <c r="CU71" s="219"/>
      <c r="CV71" s="219"/>
      <c r="CW71" s="219"/>
      <c r="CX71" s="219"/>
      <c r="CY71" s="219"/>
      <c r="CZ71" s="219"/>
      <c r="DA71" s="219"/>
      <c r="DB71" s="219"/>
      <c r="DC71" s="219"/>
      <c r="DD71" s="219"/>
      <c r="DE71" s="219"/>
      <c r="DF71" s="219"/>
      <c r="DG71" s="219"/>
      <c r="DH71" s="219"/>
      <c r="DI71" s="219"/>
      <c r="DJ71" s="219"/>
      <c r="DK71" s="219"/>
      <c r="DL71" s="219"/>
      <c r="DM71" s="219"/>
      <c r="DN71" s="219"/>
      <c r="DO71" s="219"/>
      <c r="DP71" s="219"/>
      <c r="DQ71" s="219"/>
      <c r="DR71" s="219"/>
      <c r="DS71" s="219"/>
      <c r="DT71" s="219"/>
      <c r="DU71" s="219"/>
      <c r="DV71" s="219"/>
      <c r="DW71" s="219"/>
      <c r="DX71" s="219"/>
      <c r="DY71" s="219"/>
      <c r="DZ71" s="219"/>
      <c r="EA71" s="219"/>
      <c r="EB71" s="219"/>
      <c r="EC71" s="219"/>
      <c r="ED71" s="219"/>
      <c r="EE71" s="219"/>
      <c r="EF71" s="219"/>
      <c r="EG71" s="219"/>
      <c r="EH71" s="219"/>
      <c r="EI71" s="219"/>
      <c r="EJ71" s="219"/>
      <c r="EK71" s="219"/>
      <c r="EL71" s="219"/>
      <c r="EM71" s="219"/>
      <c r="EN71" s="219"/>
      <c r="EO71" s="219"/>
      <c r="EP71" s="219"/>
      <c r="EQ71" s="219"/>
      <c r="ER71" s="219"/>
      <c r="ES71" s="219"/>
      <c r="ET71" s="219"/>
      <c r="EU71" s="219"/>
      <c r="EV71" s="219"/>
      <c r="EW71" s="219"/>
      <c r="EX71" s="219"/>
      <c r="EY71" s="219"/>
      <c r="EZ71" s="219"/>
      <c r="FA71" s="219"/>
      <c r="FB71" s="219"/>
      <c r="FC71" s="219"/>
      <c r="FD71" s="219"/>
      <c r="FE71" s="219"/>
      <c r="FF71" s="219"/>
      <c r="FG71" s="219"/>
      <c r="FH71" s="219"/>
      <c r="FI71" s="219"/>
      <c r="FJ71" s="219"/>
      <c r="FK71" s="219"/>
      <c r="FL71" s="219"/>
      <c r="FM71" s="219"/>
      <c r="FN71" s="219"/>
      <c r="FO71" s="219"/>
      <c r="FP71" s="219"/>
      <c r="FQ71" s="219"/>
      <c r="FR71" s="219"/>
      <c r="FS71" s="219"/>
      <c r="FT71" s="219"/>
      <c r="FU71" s="219"/>
      <c r="FV71" s="219"/>
      <c r="FW71" s="219"/>
      <c r="FX71" s="219"/>
      <c r="FY71" s="219"/>
      <c r="FZ71" s="219"/>
      <c r="GA71" s="219"/>
      <c r="GB71" s="2"/>
      <c r="GC71" s="2"/>
      <c r="GD71" s="219"/>
      <c r="GE71" s="219"/>
      <c r="GF71" s="219"/>
      <c r="GG71" s="219"/>
      <c r="GH71" s="219"/>
      <c r="GI71" s="219"/>
      <c r="GJ71" s="219"/>
      <c r="GK71" s="219"/>
      <c r="GL71" s="219"/>
      <c r="GM71" s="219"/>
    </row>
    <row r="72" spans="1:195" ht="6.95" customHeight="1" x14ac:dyDescent="0.15">
      <c r="A72" s="1"/>
      <c r="B72" s="1"/>
      <c r="C72" s="1"/>
      <c r="D72" s="1"/>
      <c r="E72" s="1"/>
      <c r="F72" s="113"/>
      <c r="G72" s="113"/>
      <c r="H72" s="113"/>
      <c r="I72" s="113"/>
      <c r="J72" s="113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220">
        <f>F68*Y72</f>
        <v>0</v>
      </c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219"/>
      <c r="BG72" s="219"/>
      <c r="BH72" s="219"/>
      <c r="BI72" s="219"/>
      <c r="BJ72" s="219"/>
      <c r="BK72" s="219"/>
      <c r="BL72" s="219"/>
      <c r="BM72" s="219"/>
      <c r="BN72" s="219"/>
      <c r="BO72" s="219"/>
      <c r="BP72" s="219"/>
      <c r="BQ72" s="219"/>
      <c r="BR72" s="219"/>
      <c r="BS72" s="219"/>
      <c r="BT72" s="219"/>
      <c r="BU72" s="219"/>
      <c r="BV72" s="219"/>
      <c r="BW72" s="219"/>
      <c r="BX72" s="219"/>
      <c r="BY72" s="219"/>
      <c r="BZ72" s="219"/>
      <c r="CA72" s="219"/>
      <c r="CB72" s="219"/>
      <c r="CC72" s="219"/>
      <c r="CD72" s="219"/>
      <c r="CE72" s="219"/>
      <c r="CF72" s="219"/>
      <c r="CG72" s="219"/>
      <c r="CH72" s="219"/>
      <c r="CI72" s="219"/>
      <c r="CJ72" s="219"/>
      <c r="CK72" s="219"/>
      <c r="CL72" s="219"/>
      <c r="CM72" s="219"/>
      <c r="CN72" s="219"/>
      <c r="CO72" s="219"/>
      <c r="CP72" s="219"/>
      <c r="CQ72" s="219"/>
      <c r="CR72" s="219"/>
      <c r="CS72" s="219"/>
      <c r="CT72" s="219"/>
      <c r="CU72" s="219"/>
      <c r="CV72" s="219"/>
      <c r="CW72" s="219"/>
      <c r="CX72" s="219"/>
      <c r="CY72" s="219"/>
      <c r="CZ72" s="219"/>
      <c r="DA72" s="219"/>
      <c r="DB72" s="219"/>
      <c r="DC72" s="219"/>
      <c r="DD72" s="219"/>
      <c r="DE72" s="219"/>
      <c r="DF72" s="219"/>
      <c r="DG72" s="219"/>
      <c r="DH72" s="219"/>
      <c r="DI72" s="219"/>
      <c r="DJ72" s="219"/>
      <c r="DK72" s="219"/>
      <c r="DL72" s="219"/>
      <c r="DM72" s="219"/>
      <c r="DN72" s="219"/>
      <c r="DO72" s="219"/>
      <c r="DP72" s="219"/>
      <c r="DQ72" s="219"/>
      <c r="DR72" s="219"/>
      <c r="DS72" s="219"/>
      <c r="DT72" s="219"/>
      <c r="DU72" s="219"/>
      <c r="DV72" s="219"/>
      <c r="DW72" s="219"/>
      <c r="DX72" s="219"/>
      <c r="DY72" s="219"/>
      <c r="DZ72" s="219"/>
      <c r="EA72" s="219"/>
      <c r="EB72" s="219"/>
      <c r="EC72" s="219"/>
      <c r="ED72" s="219"/>
      <c r="EE72" s="219"/>
      <c r="EF72" s="219"/>
      <c r="EG72" s="219"/>
      <c r="EH72" s="219"/>
      <c r="EI72" s="219"/>
      <c r="EJ72" s="219"/>
      <c r="EK72" s="219"/>
      <c r="EL72" s="219"/>
      <c r="EM72" s="219"/>
      <c r="EN72" s="219"/>
      <c r="EO72" s="219"/>
      <c r="EP72" s="219"/>
      <c r="EQ72" s="219"/>
      <c r="ER72" s="219"/>
      <c r="ES72" s="219"/>
      <c r="ET72" s="219"/>
      <c r="EU72" s="219"/>
      <c r="EV72" s="219"/>
      <c r="EW72" s="219"/>
      <c r="EX72" s="219"/>
      <c r="EY72" s="219"/>
      <c r="EZ72" s="219"/>
      <c r="FA72" s="219"/>
      <c r="FB72" s="219"/>
      <c r="FC72" s="219"/>
      <c r="FD72" s="219"/>
      <c r="FE72" s="219"/>
      <c r="FF72" s="219"/>
      <c r="FG72" s="219"/>
      <c r="FH72" s="219"/>
      <c r="FI72" s="219"/>
      <c r="FJ72" s="219"/>
      <c r="FK72" s="219"/>
      <c r="FL72" s="219"/>
      <c r="FM72" s="219"/>
      <c r="FN72" s="219"/>
      <c r="FO72" s="219"/>
      <c r="FP72" s="219"/>
      <c r="FQ72" s="219"/>
      <c r="FR72" s="219"/>
      <c r="FS72" s="219"/>
      <c r="FT72" s="219"/>
      <c r="FU72" s="219"/>
      <c r="FV72" s="219"/>
      <c r="FW72" s="219"/>
      <c r="FX72" s="219"/>
      <c r="FY72" s="219"/>
      <c r="FZ72" s="219"/>
      <c r="GA72" s="219"/>
      <c r="GB72" s="2"/>
      <c r="GC72" s="2"/>
      <c r="GD72" s="219"/>
      <c r="GE72" s="219"/>
      <c r="GF72" s="219"/>
      <c r="GG72" s="219"/>
      <c r="GH72" s="219"/>
      <c r="GI72" s="219"/>
      <c r="GJ72" s="219"/>
      <c r="GK72" s="219"/>
      <c r="GL72" s="219"/>
      <c r="GM72" s="219"/>
    </row>
    <row r="73" spans="1:195" ht="6.95" customHeight="1" x14ac:dyDescent="0.15">
      <c r="A73" s="1"/>
      <c r="B73" s="1"/>
      <c r="C73" s="1"/>
      <c r="D73" s="1"/>
      <c r="E73" s="1"/>
      <c r="F73" s="113"/>
      <c r="G73" s="113"/>
      <c r="H73" s="113"/>
      <c r="I73" s="113"/>
      <c r="J73" s="113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220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219"/>
      <c r="BG73" s="219"/>
      <c r="BH73" s="219"/>
      <c r="BI73" s="219"/>
      <c r="BJ73" s="219"/>
      <c r="BK73" s="219"/>
      <c r="BL73" s="219"/>
      <c r="BM73" s="219"/>
      <c r="BN73" s="219"/>
      <c r="BO73" s="219"/>
      <c r="BP73" s="219"/>
      <c r="BQ73" s="219"/>
      <c r="BR73" s="219"/>
      <c r="BS73" s="219"/>
      <c r="BT73" s="219"/>
      <c r="BU73" s="219"/>
      <c r="BV73" s="219"/>
      <c r="BW73" s="219"/>
      <c r="BX73" s="219"/>
      <c r="BY73" s="219"/>
      <c r="BZ73" s="219"/>
      <c r="CA73" s="219"/>
      <c r="CB73" s="219"/>
      <c r="CC73" s="219"/>
      <c r="CD73" s="219"/>
      <c r="CE73" s="219"/>
      <c r="CF73" s="219"/>
      <c r="CG73" s="219"/>
      <c r="CH73" s="219"/>
      <c r="CI73" s="219"/>
      <c r="CJ73" s="219"/>
      <c r="CK73" s="219"/>
      <c r="CL73" s="219"/>
      <c r="CM73" s="219"/>
      <c r="CN73" s="219"/>
      <c r="CO73" s="219"/>
      <c r="CP73" s="219"/>
      <c r="CQ73" s="219"/>
      <c r="CR73" s="219"/>
      <c r="CS73" s="219"/>
      <c r="CT73" s="219"/>
      <c r="CU73" s="219"/>
      <c r="CV73" s="219"/>
      <c r="CW73" s="219"/>
      <c r="CX73" s="219"/>
      <c r="CY73" s="219"/>
      <c r="CZ73" s="219"/>
      <c r="DA73" s="219"/>
      <c r="DB73" s="219"/>
      <c r="DC73" s="219"/>
      <c r="DD73" s="219"/>
      <c r="DE73" s="219"/>
      <c r="DF73" s="219"/>
      <c r="DG73" s="219"/>
      <c r="DH73" s="219"/>
      <c r="DI73" s="219"/>
      <c r="DJ73" s="219"/>
      <c r="DK73" s="219"/>
      <c r="DL73" s="219"/>
      <c r="DM73" s="219"/>
      <c r="DN73" s="219"/>
      <c r="DO73" s="219"/>
      <c r="DP73" s="219"/>
      <c r="DQ73" s="219"/>
      <c r="DR73" s="219"/>
      <c r="DS73" s="219"/>
      <c r="DT73" s="219"/>
      <c r="DU73" s="219"/>
      <c r="DV73" s="219"/>
      <c r="DW73" s="219"/>
      <c r="DX73" s="219"/>
      <c r="DY73" s="219"/>
      <c r="DZ73" s="219"/>
      <c r="EA73" s="219"/>
      <c r="EB73" s="219"/>
      <c r="EC73" s="219"/>
      <c r="ED73" s="219"/>
      <c r="EE73" s="219"/>
      <c r="EF73" s="219"/>
      <c r="EG73" s="219"/>
      <c r="EH73" s="219"/>
      <c r="EI73" s="219"/>
      <c r="EJ73" s="219"/>
      <c r="EK73" s="219"/>
      <c r="EL73" s="219"/>
      <c r="EM73" s="219"/>
      <c r="EN73" s="219"/>
      <c r="EO73" s="219"/>
      <c r="EP73" s="219"/>
      <c r="EQ73" s="219"/>
      <c r="ER73" s="219"/>
      <c r="ES73" s="219"/>
      <c r="ET73" s="219"/>
      <c r="EU73" s="219"/>
      <c r="EV73" s="219"/>
      <c r="EW73" s="219"/>
      <c r="EX73" s="219"/>
      <c r="EY73" s="219"/>
      <c r="EZ73" s="219"/>
      <c r="FA73" s="219"/>
      <c r="FB73" s="219"/>
      <c r="FC73" s="219"/>
      <c r="FD73" s="219"/>
      <c r="FE73" s="219"/>
      <c r="FF73" s="219"/>
      <c r="FG73" s="219"/>
      <c r="FH73" s="219"/>
      <c r="FI73" s="219"/>
      <c r="FJ73" s="219"/>
      <c r="FK73" s="219"/>
      <c r="FL73" s="219"/>
      <c r="FM73" s="219"/>
      <c r="FN73" s="219"/>
      <c r="FO73" s="219"/>
      <c r="FP73" s="219"/>
      <c r="FQ73" s="219"/>
      <c r="FR73" s="219"/>
      <c r="FS73" s="219"/>
      <c r="FT73" s="219"/>
      <c r="FU73" s="219"/>
      <c r="FV73" s="219"/>
      <c r="FW73" s="219"/>
      <c r="FX73" s="219"/>
      <c r="FY73" s="219"/>
      <c r="FZ73" s="219"/>
      <c r="GA73" s="219"/>
      <c r="GB73" s="2"/>
      <c r="GC73" s="2"/>
      <c r="GD73" s="219"/>
      <c r="GE73" s="219"/>
      <c r="GF73" s="219"/>
      <c r="GG73" s="219"/>
      <c r="GH73" s="219"/>
      <c r="GI73" s="219"/>
      <c r="GJ73" s="219"/>
      <c r="GK73" s="219"/>
      <c r="GL73" s="219"/>
      <c r="GM73" s="219"/>
    </row>
    <row r="74" spans="1:195" ht="6.95" customHeight="1" x14ac:dyDescent="0.15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219"/>
      <c r="BG74" s="219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R74" s="219"/>
      <c r="BS74" s="219"/>
      <c r="BT74" s="219"/>
      <c r="BU74" s="219"/>
      <c r="BV74" s="219"/>
      <c r="BW74" s="219"/>
      <c r="BX74" s="219"/>
      <c r="BY74" s="219"/>
      <c r="BZ74" s="219"/>
      <c r="CA74" s="219"/>
      <c r="CB74" s="219"/>
      <c r="CC74" s="219"/>
      <c r="CD74" s="219"/>
      <c r="CE74" s="219"/>
      <c r="CF74" s="219"/>
      <c r="CG74" s="219"/>
      <c r="CH74" s="219"/>
      <c r="CI74" s="219"/>
      <c r="CJ74" s="219"/>
      <c r="CK74" s="219"/>
      <c r="CL74" s="219"/>
      <c r="CM74" s="219"/>
      <c r="CN74" s="219"/>
      <c r="CO74" s="219"/>
      <c r="CP74" s="219"/>
      <c r="CQ74" s="219"/>
      <c r="CR74" s="219"/>
      <c r="CS74" s="219"/>
      <c r="CT74" s="219"/>
      <c r="CU74" s="219"/>
      <c r="CV74" s="219"/>
      <c r="CW74" s="219"/>
      <c r="CX74" s="219"/>
      <c r="CY74" s="219"/>
      <c r="CZ74" s="219"/>
      <c r="DA74" s="219"/>
      <c r="DB74" s="219"/>
      <c r="DC74" s="219"/>
      <c r="DD74" s="219"/>
      <c r="DE74" s="219"/>
      <c r="DF74" s="219"/>
      <c r="DG74" s="219"/>
      <c r="DH74" s="219"/>
      <c r="DI74" s="219"/>
      <c r="DJ74" s="219"/>
      <c r="DK74" s="219"/>
      <c r="DL74" s="219"/>
      <c r="DM74" s="219"/>
      <c r="DN74" s="219"/>
      <c r="DO74" s="219"/>
      <c r="DP74" s="219"/>
      <c r="DQ74" s="219"/>
      <c r="DR74" s="219"/>
      <c r="DS74" s="219"/>
      <c r="DT74" s="219"/>
      <c r="DU74" s="219"/>
      <c r="DV74" s="219"/>
      <c r="DW74" s="219"/>
      <c r="DX74" s="219"/>
      <c r="DY74" s="219"/>
      <c r="DZ74" s="219"/>
      <c r="EA74" s="219"/>
      <c r="EB74" s="219"/>
      <c r="EC74" s="219"/>
      <c r="ED74" s="219"/>
      <c r="EE74" s="219"/>
      <c r="EF74" s="219"/>
      <c r="EG74" s="219"/>
      <c r="EH74" s="219"/>
      <c r="EI74" s="219"/>
      <c r="EJ74" s="219"/>
      <c r="EK74" s="219"/>
      <c r="EL74" s="219"/>
      <c r="EM74" s="219"/>
      <c r="EN74" s="219"/>
      <c r="EO74" s="219"/>
      <c r="EP74" s="219"/>
      <c r="EQ74" s="219"/>
      <c r="ER74" s="219"/>
      <c r="ES74" s="219"/>
      <c r="ET74" s="219"/>
      <c r="EU74" s="219"/>
      <c r="EV74" s="219"/>
      <c r="EW74" s="219"/>
      <c r="EX74" s="219"/>
      <c r="EY74" s="219"/>
      <c r="EZ74" s="219"/>
      <c r="FA74" s="219"/>
      <c r="FB74" s="219"/>
      <c r="FC74" s="219"/>
      <c r="FD74" s="219"/>
      <c r="FE74" s="219"/>
      <c r="FF74" s="219"/>
      <c r="FG74" s="219"/>
      <c r="FH74" s="219"/>
      <c r="FI74" s="219"/>
      <c r="FJ74" s="219"/>
      <c r="FK74" s="219"/>
      <c r="FL74" s="219"/>
      <c r="FM74" s="219"/>
      <c r="FN74" s="219"/>
      <c r="FO74" s="219"/>
      <c r="FP74" s="219"/>
      <c r="FQ74" s="219"/>
      <c r="FR74" s="219"/>
      <c r="FS74" s="219"/>
      <c r="FT74" s="219"/>
      <c r="FU74" s="219"/>
      <c r="FV74" s="219"/>
      <c r="FW74" s="219"/>
      <c r="FX74" s="219"/>
      <c r="FY74" s="219"/>
      <c r="FZ74" s="219"/>
      <c r="GA74" s="219"/>
      <c r="GB74" s="2"/>
      <c r="GC74" s="2"/>
      <c r="GD74" s="219"/>
      <c r="GE74" s="219"/>
      <c r="GF74" s="219"/>
      <c r="GG74" s="219"/>
      <c r="GH74" s="219"/>
      <c r="GI74" s="219"/>
      <c r="GJ74" s="219"/>
      <c r="GK74" s="219"/>
      <c r="GL74" s="219"/>
      <c r="GM74" s="219"/>
    </row>
    <row r="75" spans="1:195" ht="6.95" customHeight="1" x14ac:dyDescent="0.15">
      <c r="A75" s="1"/>
      <c r="B75" s="1"/>
      <c r="C75" s="1"/>
      <c r="D75" s="1"/>
      <c r="E75" s="1"/>
      <c r="F75" s="112"/>
      <c r="G75" s="112"/>
      <c r="H75" s="112"/>
      <c r="I75" s="112"/>
      <c r="J75" s="112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220">
        <f>F75*Y75</f>
        <v>0</v>
      </c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219"/>
      <c r="BG75" s="219"/>
      <c r="BH75" s="219"/>
      <c r="BI75" s="219"/>
      <c r="BJ75" s="219"/>
      <c r="BK75" s="219"/>
      <c r="BL75" s="219"/>
      <c r="BM75" s="219"/>
      <c r="BN75" s="219"/>
      <c r="BO75" s="219"/>
      <c r="BP75" s="219"/>
      <c r="BQ75" s="219"/>
      <c r="BR75" s="219"/>
      <c r="BS75" s="219"/>
      <c r="BT75" s="219"/>
      <c r="BU75" s="219"/>
      <c r="BV75" s="219"/>
      <c r="BW75" s="219"/>
      <c r="BX75" s="219"/>
      <c r="BY75" s="219"/>
      <c r="BZ75" s="219"/>
      <c r="CA75" s="219"/>
      <c r="CB75" s="219"/>
      <c r="CC75" s="219"/>
      <c r="CD75" s="219"/>
      <c r="CE75" s="219"/>
      <c r="CF75" s="219"/>
      <c r="CG75" s="219"/>
      <c r="CH75" s="219"/>
      <c r="CI75" s="219"/>
      <c r="CJ75" s="219"/>
      <c r="CK75" s="219"/>
      <c r="CL75" s="219"/>
      <c r="CM75" s="219"/>
      <c r="CN75" s="219"/>
      <c r="CO75" s="219"/>
      <c r="CP75" s="219"/>
      <c r="CQ75" s="219"/>
      <c r="CR75" s="219"/>
      <c r="CS75" s="219"/>
      <c r="CT75" s="219"/>
      <c r="CU75" s="219"/>
      <c r="CV75" s="219"/>
      <c r="CW75" s="219"/>
      <c r="CX75" s="219"/>
      <c r="CY75" s="219"/>
      <c r="CZ75" s="219"/>
      <c r="DA75" s="219"/>
      <c r="DB75" s="219"/>
      <c r="DC75" s="219"/>
      <c r="DD75" s="219"/>
      <c r="DE75" s="219"/>
      <c r="DF75" s="219"/>
      <c r="DG75" s="219"/>
      <c r="DH75" s="219"/>
      <c r="DI75" s="219"/>
      <c r="DJ75" s="219"/>
      <c r="DK75" s="219"/>
      <c r="DL75" s="219"/>
      <c r="DM75" s="219"/>
      <c r="DN75" s="219"/>
      <c r="DO75" s="219"/>
      <c r="DP75" s="219"/>
      <c r="DQ75" s="219"/>
      <c r="DR75" s="219"/>
      <c r="DS75" s="219"/>
      <c r="DT75" s="219"/>
      <c r="DU75" s="219"/>
      <c r="DV75" s="219"/>
      <c r="DW75" s="219"/>
      <c r="DX75" s="219"/>
      <c r="DY75" s="219"/>
      <c r="DZ75" s="219"/>
      <c r="EA75" s="219"/>
      <c r="EB75" s="219"/>
      <c r="EC75" s="219"/>
      <c r="ED75" s="219"/>
      <c r="EE75" s="219"/>
      <c r="EF75" s="219"/>
      <c r="EG75" s="219"/>
      <c r="EH75" s="219"/>
      <c r="EI75" s="219"/>
      <c r="EJ75" s="219"/>
      <c r="EK75" s="219"/>
      <c r="EL75" s="219"/>
      <c r="EM75" s="219"/>
      <c r="EN75" s="219"/>
      <c r="EO75" s="219"/>
      <c r="EP75" s="219"/>
      <c r="EQ75" s="219"/>
      <c r="ER75" s="219"/>
      <c r="ES75" s="219"/>
      <c r="ET75" s="219"/>
      <c r="EU75" s="219"/>
      <c r="EV75" s="219"/>
      <c r="EW75" s="219"/>
      <c r="EX75" s="219"/>
      <c r="EY75" s="219"/>
      <c r="EZ75" s="219"/>
      <c r="FA75" s="219"/>
      <c r="FB75" s="219"/>
      <c r="FC75" s="219"/>
      <c r="FD75" s="219"/>
      <c r="FE75" s="219"/>
      <c r="FF75" s="219"/>
      <c r="FG75" s="219"/>
      <c r="FH75" s="219"/>
      <c r="FI75" s="219"/>
      <c r="FJ75" s="219"/>
      <c r="FK75" s="219"/>
      <c r="FL75" s="219"/>
      <c r="FM75" s="219"/>
      <c r="FN75" s="219"/>
      <c r="FO75" s="219"/>
      <c r="FP75" s="219"/>
      <c r="FQ75" s="219"/>
      <c r="FR75" s="219"/>
      <c r="FS75" s="219"/>
      <c r="FT75" s="219"/>
      <c r="FU75" s="219"/>
      <c r="FV75" s="219"/>
      <c r="FW75" s="219"/>
      <c r="FX75" s="219"/>
      <c r="FY75" s="219"/>
      <c r="FZ75" s="219"/>
      <c r="GA75" s="219"/>
      <c r="GB75" s="2"/>
      <c r="GC75" s="2"/>
      <c r="GD75" s="219"/>
      <c r="GE75" s="219"/>
      <c r="GF75" s="219"/>
      <c r="GG75" s="219"/>
      <c r="GH75" s="219"/>
      <c r="GI75" s="219"/>
      <c r="GJ75" s="219"/>
      <c r="GK75" s="219"/>
      <c r="GL75" s="219"/>
      <c r="GM75" s="219"/>
    </row>
    <row r="76" spans="1:195" ht="6.95" customHeight="1" x14ac:dyDescent="0.15">
      <c r="A76" s="1"/>
      <c r="B76" s="1"/>
      <c r="C76" s="1"/>
      <c r="D76" s="1"/>
      <c r="E76" s="1"/>
      <c r="F76" s="112"/>
      <c r="G76" s="112"/>
      <c r="H76" s="112"/>
      <c r="I76" s="112"/>
      <c r="J76" s="112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220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219"/>
      <c r="BG76" s="219"/>
      <c r="BH76" s="219"/>
      <c r="BI76" s="219"/>
      <c r="BJ76" s="219"/>
      <c r="BK76" s="219"/>
      <c r="BL76" s="219"/>
      <c r="BM76" s="219"/>
      <c r="BN76" s="219"/>
      <c r="BO76" s="219"/>
      <c r="BP76" s="219"/>
      <c r="BQ76" s="219"/>
      <c r="BR76" s="219"/>
      <c r="BS76" s="219"/>
      <c r="BT76" s="219"/>
      <c r="BU76" s="219"/>
      <c r="BV76" s="219"/>
      <c r="BW76" s="219"/>
      <c r="BX76" s="219"/>
      <c r="BY76" s="219"/>
      <c r="BZ76" s="219"/>
      <c r="CA76" s="219"/>
      <c r="CB76" s="219"/>
      <c r="CC76" s="219"/>
      <c r="CD76" s="219"/>
      <c r="CE76" s="219"/>
      <c r="CF76" s="219"/>
      <c r="CG76" s="219"/>
      <c r="CH76" s="219"/>
      <c r="CI76" s="219"/>
      <c r="CJ76" s="219"/>
      <c r="CK76" s="219"/>
      <c r="CL76" s="219"/>
      <c r="CM76" s="219"/>
      <c r="CN76" s="219"/>
      <c r="CO76" s="219"/>
      <c r="CP76" s="219"/>
      <c r="CQ76" s="219"/>
      <c r="CR76" s="219"/>
      <c r="CS76" s="219"/>
      <c r="CT76" s="219"/>
      <c r="CU76" s="219"/>
      <c r="CV76" s="219"/>
      <c r="CW76" s="219"/>
      <c r="CX76" s="219"/>
      <c r="CY76" s="219"/>
      <c r="CZ76" s="219"/>
      <c r="DA76" s="219"/>
      <c r="DB76" s="219"/>
      <c r="DC76" s="219"/>
      <c r="DD76" s="219"/>
      <c r="DE76" s="219"/>
      <c r="DF76" s="219"/>
      <c r="DG76" s="219"/>
      <c r="DH76" s="219"/>
      <c r="DI76" s="219"/>
      <c r="DJ76" s="219"/>
      <c r="DK76" s="219"/>
      <c r="DL76" s="219"/>
      <c r="DM76" s="219"/>
      <c r="DN76" s="219"/>
      <c r="DO76" s="219"/>
      <c r="DP76" s="219"/>
      <c r="DQ76" s="219"/>
      <c r="DR76" s="219"/>
      <c r="DS76" s="219"/>
      <c r="DT76" s="219"/>
      <c r="DU76" s="219"/>
      <c r="DV76" s="219"/>
      <c r="DW76" s="219"/>
      <c r="DX76" s="219"/>
      <c r="DY76" s="219"/>
      <c r="DZ76" s="219"/>
      <c r="EA76" s="219"/>
      <c r="EB76" s="219"/>
      <c r="EC76" s="219"/>
      <c r="ED76" s="219"/>
      <c r="EE76" s="219"/>
      <c r="EF76" s="219"/>
      <c r="EG76" s="219"/>
      <c r="EH76" s="219"/>
      <c r="EI76" s="219"/>
      <c r="EJ76" s="219"/>
      <c r="EK76" s="219"/>
      <c r="EL76" s="219"/>
      <c r="EM76" s="219"/>
      <c r="EN76" s="219"/>
      <c r="EO76" s="219"/>
      <c r="EP76" s="219"/>
      <c r="EQ76" s="219"/>
      <c r="ER76" s="219"/>
      <c r="ES76" s="219"/>
      <c r="ET76" s="219"/>
      <c r="EU76" s="219"/>
      <c r="EV76" s="219"/>
      <c r="EW76" s="219"/>
      <c r="EX76" s="219"/>
      <c r="EY76" s="219"/>
      <c r="EZ76" s="219"/>
      <c r="FA76" s="219"/>
      <c r="FB76" s="219"/>
      <c r="FC76" s="219"/>
      <c r="FD76" s="219"/>
      <c r="FE76" s="219"/>
      <c r="FF76" s="219"/>
      <c r="FG76" s="219"/>
      <c r="FH76" s="219"/>
      <c r="FI76" s="219"/>
      <c r="FJ76" s="219"/>
      <c r="FK76" s="219"/>
      <c r="FL76" s="219"/>
      <c r="FM76" s="219"/>
      <c r="FN76" s="219"/>
      <c r="FO76" s="219"/>
      <c r="FP76" s="219"/>
      <c r="FQ76" s="219"/>
      <c r="FR76" s="219"/>
      <c r="FS76" s="219"/>
      <c r="FT76" s="219"/>
      <c r="FU76" s="219"/>
      <c r="FV76" s="219"/>
      <c r="FW76" s="219"/>
      <c r="FX76" s="219"/>
      <c r="FY76" s="219"/>
      <c r="FZ76" s="219"/>
      <c r="GA76" s="219"/>
      <c r="GB76" s="2"/>
      <c r="GC76" s="2"/>
      <c r="GD76" s="219"/>
      <c r="GE76" s="219"/>
      <c r="GF76" s="219"/>
      <c r="GG76" s="219"/>
      <c r="GH76" s="219"/>
      <c r="GI76" s="219"/>
      <c r="GJ76" s="219"/>
      <c r="GK76" s="219"/>
      <c r="GL76" s="219"/>
      <c r="GM76" s="219"/>
    </row>
    <row r="77" spans="1:195" ht="6.95" customHeight="1" x14ac:dyDescent="0.15">
      <c r="A77" s="1"/>
      <c r="B77" s="1"/>
      <c r="C77" s="1"/>
      <c r="D77" s="1"/>
      <c r="E77" s="1"/>
      <c r="F77" s="112"/>
      <c r="G77" s="112"/>
      <c r="H77" s="112"/>
      <c r="I77" s="112"/>
      <c r="J77" s="112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220">
        <f>F75*Y77</f>
        <v>0</v>
      </c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219"/>
      <c r="BG77" s="219"/>
      <c r="BH77" s="219"/>
      <c r="BI77" s="219"/>
      <c r="BJ77" s="219"/>
      <c r="BK77" s="219"/>
      <c r="BL77" s="219"/>
      <c r="BM77" s="219"/>
      <c r="BN77" s="219"/>
      <c r="BO77" s="219"/>
      <c r="BP77" s="219"/>
      <c r="BQ77" s="219"/>
      <c r="BR77" s="219"/>
      <c r="BS77" s="219"/>
      <c r="BT77" s="219"/>
      <c r="BU77" s="219"/>
      <c r="BV77" s="219"/>
      <c r="BW77" s="219"/>
      <c r="BX77" s="219"/>
      <c r="BY77" s="219"/>
      <c r="BZ77" s="219"/>
      <c r="CA77" s="219"/>
      <c r="CB77" s="219"/>
      <c r="CC77" s="219"/>
      <c r="CD77" s="219"/>
      <c r="CE77" s="219"/>
      <c r="CF77" s="219"/>
      <c r="CG77" s="219"/>
      <c r="CH77" s="219"/>
      <c r="CI77" s="219"/>
      <c r="CJ77" s="219"/>
      <c r="CK77" s="219"/>
      <c r="CL77" s="219"/>
      <c r="CM77" s="219"/>
      <c r="CN77" s="219"/>
      <c r="CO77" s="219"/>
      <c r="CP77" s="219"/>
      <c r="CQ77" s="219"/>
      <c r="CR77" s="219"/>
      <c r="CS77" s="219"/>
      <c r="CT77" s="219"/>
      <c r="CU77" s="219"/>
      <c r="CV77" s="219"/>
      <c r="CW77" s="219"/>
      <c r="CX77" s="219"/>
      <c r="CY77" s="219"/>
      <c r="CZ77" s="219"/>
      <c r="DA77" s="219"/>
      <c r="DB77" s="219"/>
      <c r="DC77" s="219"/>
      <c r="DD77" s="219"/>
      <c r="DE77" s="219"/>
      <c r="DF77" s="219"/>
      <c r="DG77" s="219"/>
      <c r="DH77" s="219"/>
      <c r="DI77" s="219"/>
      <c r="DJ77" s="219"/>
      <c r="DK77" s="219"/>
      <c r="DL77" s="219"/>
      <c r="DM77" s="219"/>
      <c r="DN77" s="219"/>
      <c r="DO77" s="219"/>
      <c r="DP77" s="219"/>
      <c r="DQ77" s="219"/>
      <c r="DR77" s="219"/>
      <c r="DS77" s="219"/>
      <c r="DT77" s="219"/>
      <c r="DU77" s="219"/>
      <c r="DV77" s="219"/>
      <c r="DW77" s="219"/>
      <c r="DX77" s="219"/>
      <c r="DY77" s="219"/>
      <c r="DZ77" s="219"/>
      <c r="EA77" s="219"/>
      <c r="EB77" s="219"/>
      <c r="EC77" s="219"/>
      <c r="ED77" s="219"/>
      <c r="EE77" s="219"/>
      <c r="EF77" s="219"/>
      <c r="EG77" s="219"/>
      <c r="EH77" s="219"/>
      <c r="EI77" s="219"/>
      <c r="EJ77" s="219"/>
      <c r="EK77" s="219"/>
      <c r="EL77" s="219"/>
      <c r="EM77" s="219"/>
      <c r="EN77" s="219"/>
      <c r="EO77" s="219"/>
      <c r="EP77" s="219"/>
      <c r="EQ77" s="219"/>
      <c r="ER77" s="219"/>
      <c r="ES77" s="219"/>
      <c r="ET77" s="219"/>
      <c r="EU77" s="219"/>
      <c r="EV77" s="219"/>
      <c r="EW77" s="219"/>
      <c r="EX77" s="219"/>
      <c r="EY77" s="219"/>
      <c r="EZ77" s="219"/>
      <c r="FA77" s="219"/>
      <c r="FB77" s="219"/>
      <c r="FC77" s="219"/>
      <c r="FD77" s="219"/>
      <c r="FE77" s="219"/>
      <c r="FF77" s="219"/>
      <c r="FG77" s="219"/>
      <c r="FH77" s="219"/>
      <c r="FI77" s="219"/>
      <c r="FJ77" s="219"/>
      <c r="FK77" s="219"/>
      <c r="FL77" s="219"/>
      <c r="FM77" s="219"/>
      <c r="FN77" s="219"/>
      <c r="FO77" s="219"/>
      <c r="FP77" s="219"/>
      <c r="FQ77" s="219"/>
      <c r="FR77" s="219"/>
      <c r="FS77" s="219"/>
      <c r="FT77" s="219"/>
      <c r="FU77" s="219"/>
      <c r="FV77" s="219"/>
      <c r="FW77" s="219"/>
      <c r="FX77" s="219"/>
      <c r="FY77" s="219"/>
      <c r="FZ77" s="219"/>
      <c r="GA77" s="219"/>
      <c r="GB77" s="2"/>
      <c r="GC77" s="2"/>
      <c r="GD77" s="219"/>
      <c r="GE77" s="219"/>
      <c r="GF77" s="219"/>
      <c r="GG77" s="219"/>
      <c r="GH77" s="219"/>
      <c r="GI77" s="219"/>
      <c r="GJ77" s="219"/>
      <c r="GK77" s="219"/>
      <c r="GL77" s="219"/>
      <c r="GM77" s="219"/>
    </row>
    <row r="78" spans="1:195" ht="6.95" customHeight="1" x14ac:dyDescent="0.15">
      <c r="A78" s="1"/>
      <c r="B78" s="1"/>
      <c r="C78" s="1"/>
      <c r="D78" s="1"/>
      <c r="E78" s="1"/>
      <c r="F78" s="112"/>
      <c r="G78" s="112"/>
      <c r="H78" s="112"/>
      <c r="I78" s="112"/>
      <c r="J78" s="112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220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219"/>
      <c r="BG78" s="219"/>
      <c r="BH78" s="219"/>
      <c r="BI78" s="219"/>
      <c r="BJ78" s="219"/>
      <c r="BK78" s="219"/>
      <c r="BL78" s="219"/>
      <c r="BM78" s="219"/>
      <c r="BN78" s="219"/>
      <c r="BO78" s="219"/>
      <c r="BP78" s="219"/>
      <c r="BQ78" s="219"/>
      <c r="BR78" s="219"/>
      <c r="BS78" s="219"/>
      <c r="BT78" s="219"/>
      <c r="BU78" s="219"/>
      <c r="BV78" s="219"/>
      <c r="BW78" s="219"/>
      <c r="BX78" s="219"/>
      <c r="BY78" s="219"/>
      <c r="BZ78" s="219"/>
      <c r="CA78" s="219"/>
      <c r="CB78" s="219"/>
      <c r="CC78" s="219"/>
      <c r="CD78" s="219"/>
      <c r="CE78" s="219"/>
      <c r="CF78" s="219"/>
      <c r="CG78" s="219"/>
      <c r="CH78" s="219"/>
      <c r="CI78" s="219"/>
      <c r="CJ78" s="219"/>
      <c r="CK78" s="219"/>
      <c r="CL78" s="219"/>
      <c r="CM78" s="219"/>
      <c r="CN78" s="219"/>
      <c r="CO78" s="219"/>
      <c r="CP78" s="219"/>
      <c r="CQ78" s="219"/>
      <c r="CR78" s="219"/>
      <c r="CS78" s="219"/>
      <c r="CT78" s="219"/>
      <c r="CU78" s="219"/>
      <c r="CV78" s="219"/>
      <c r="CW78" s="219"/>
      <c r="CX78" s="219"/>
      <c r="CY78" s="219"/>
      <c r="CZ78" s="219"/>
      <c r="DA78" s="219"/>
      <c r="DB78" s="219"/>
      <c r="DC78" s="219"/>
      <c r="DD78" s="219"/>
      <c r="DE78" s="219"/>
      <c r="DF78" s="219"/>
      <c r="DG78" s="219"/>
      <c r="DH78" s="219"/>
      <c r="DI78" s="219"/>
      <c r="DJ78" s="219"/>
      <c r="DK78" s="219"/>
      <c r="DL78" s="219"/>
      <c r="DM78" s="219"/>
      <c r="DN78" s="219"/>
      <c r="DO78" s="219"/>
      <c r="DP78" s="219"/>
      <c r="DQ78" s="219"/>
      <c r="DR78" s="219"/>
      <c r="DS78" s="219"/>
      <c r="DT78" s="219"/>
      <c r="DU78" s="219"/>
      <c r="DV78" s="219"/>
      <c r="DW78" s="219"/>
      <c r="DX78" s="219"/>
      <c r="DY78" s="219"/>
      <c r="DZ78" s="219"/>
      <c r="EA78" s="219"/>
      <c r="EB78" s="219"/>
      <c r="EC78" s="219"/>
      <c r="ED78" s="219"/>
      <c r="EE78" s="219"/>
      <c r="EF78" s="219"/>
      <c r="EG78" s="219"/>
      <c r="EH78" s="219"/>
      <c r="EI78" s="219"/>
      <c r="EJ78" s="219"/>
      <c r="EK78" s="219"/>
      <c r="EL78" s="219"/>
      <c r="EM78" s="219"/>
      <c r="EN78" s="219"/>
      <c r="EO78" s="219"/>
      <c r="EP78" s="219"/>
      <c r="EQ78" s="219"/>
      <c r="ER78" s="219"/>
      <c r="ES78" s="219"/>
      <c r="ET78" s="219"/>
      <c r="EU78" s="219"/>
      <c r="EV78" s="219"/>
      <c r="EW78" s="219"/>
      <c r="EX78" s="219"/>
      <c r="EY78" s="219"/>
      <c r="EZ78" s="219"/>
      <c r="FA78" s="219"/>
      <c r="FB78" s="219"/>
      <c r="FC78" s="219"/>
      <c r="FD78" s="219"/>
      <c r="FE78" s="219"/>
      <c r="FF78" s="219"/>
      <c r="FG78" s="219"/>
      <c r="FH78" s="219"/>
      <c r="FI78" s="219"/>
      <c r="FJ78" s="219"/>
      <c r="FK78" s="219"/>
      <c r="FL78" s="219"/>
      <c r="FM78" s="219"/>
      <c r="FN78" s="219"/>
      <c r="FO78" s="219"/>
      <c r="FP78" s="219"/>
      <c r="FQ78" s="219"/>
      <c r="FR78" s="219"/>
      <c r="FS78" s="219"/>
      <c r="FT78" s="219"/>
      <c r="FU78" s="219"/>
      <c r="FV78" s="219"/>
      <c r="FW78" s="219"/>
      <c r="FX78" s="219"/>
      <c r="FY78" s="219"/>
      <c r="FZ78" s="219"/>
      <c r="GA78" s="219"/>
      <c r="GB78" s="2"/>
      <c r="GC78" s="2"/>
      <c r="GD78" s="219"/>
      <c r="GE78" s="219"/>
      <c r="GF78" s="219"/>
      <c r="GG78" s="219"/>
      <c r="GH78" s="219"/>
      <c r="GI78" s="219"/>
      <c r="GJ78" s="219"/>
      <c r="GK78" s="219"/>
      <c r="GL78" s="219"/>
      <c r="GM78" s="219"/>
    </row>
    <row r="79" spans="1:195" ht="6.95" customHeight="1" x14ac:dyDescent="0.15">
      <c r="A79" s="1"/>
      <c r="B79" s="1"/>
      <c r="C79" s="1"/>
      <c r="D79" s="1"/>
      <c r="E79" s="1"/>
      <c r="F79" s="113"/>
      <c r="G79" s="113"/>
      <c r="H79" s="113"/>
      <c r="I79" s="113"/>
      <c r="J79" s="113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220">
        <f>F75*Y79</f>
        <v>0</v>
      </c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219"/>
      <c r="BG79" s="219"/>
      <c r="BH79" s="219"/>
      <c r="BI79" s="219"/>
      <c r="BJ79" s="219"/>
      <c r="BK79" s="219"/>
      <c r="BL79" s="219"/>
      <c r="BM79" s="219"/>
      <c r="BN79" s="219"/>
      <c r="BO79" s="219"/>
      <c r="BP79" s="219"/>
      <c r="BQ79" s="219"/>
      <c r="BR79" s="219"/>
      <c r="BS79" s="219"/>
      <c r="BT79" s="219"/>
      <c r="BU79" s="219"/>
      <c r="BV79" s="219"/>
      <c r="BW79" s="219"/>
      <c r="BX79" s="219"/>
      <c r="BY79" s="219"/>
      <c r="BZ79" s="219"/>
      <c r="CA79" s="219"/>
      <c r="CB79" s="219"/>
      <c r="CC79" s="219"/>
      <c r="CD79" s="219"/>
      <c r="CE79" s="219"/>
      <c r="CF79" s="219"/>
      <c r="CG79" s="219"/>
      <c r="CH79" s="219"/>
      <c r="CI79" s="219"/>
      <c r="CJ79" s="219"/>
      <c r="CK79" s="219"/>
      <c r="CL79" s="219"/>
      <c r="CM79" s="219"/>
      <c r="CN79" s="219"/>
      <c r="CO79" s="219"/>
      <c r="CP79" s="219"/>
      <c r="CQ79" s="219"/>
      <c r="CR79" s="219"/>
      <c r="CS79" s="219"/>
      <c r="CT79" s="219"/>
      <c r="CU79" s="219"/>
      <c r="CV79" s="219"/>
      <c r="CW79" s="219"/>
      <c r="CX79" s="219"/>
      <c r="CY79" s="219"/>
      <c r="CZ79" s="219"/>
      <c r="DA79" s="219"/>
      <c r="DB79" s="219"/>
      <c r="DC79" s="219"/>
      <c r="DD79" s="219"/>
      <c r="DE79" s="219"/>
      <c r="DF79" s="219"/>
      <c r="DG79" s="219"/>
      <c r="DH79" s="219"/>
      <c r="DI79" s="219"/>
      <c r="DJ79" s="219"/>
      <c r="DK79" s="219"/>
      <c r="DL79" s="219"/>
      <c r="DM79" s="219"/>
      <c r="DN79" s="219"/>
      <c r="DO79" s="219"/>
      <c r="DP79" s="219"/>
      <c r="DQ79" s="219"/>
      <c r="DR79" s="219"/>
      <c r="DS79" s="219"/>
      <c r="DT79" s="219"/>
      <c r="DU79" s="219"/>
      <c r="DV79" s="219"/>
      <c r="DW79" s="219"/>
      <c r="DX79" s="219"/>
      <c r="DY79" s="219"/>
      <c r="DZ79" s="219"/>
      <c r="EA79" s="219"/>
      <c r="EB79" s="219"/>
      <c r="EC79" s="219"/>
      <c r="ED79" s="219"/>
      <c r="EE79" s="219"/>
      <c r="EF79" s="219"/>
      <c r="EG79" s="219"/>
      <c r="EH79" s="219"/>
      <c r="EI79" s="219"/>
      <c r="EJ79" s="219"/>
      <c r="EK79" s="219"/>
      <c r="EL79" s="219"/>
      <c r="EM79" s="219"/>
      <c r="EN79" s="219"/>
      <c r="EO79" s="219"/>
      <c r="EP79" s="219"/>
      <c r="EQ79" s="219"/>
      <c r="ER79" s="219"/>
      <c r="ES79" s="219"/>
      <c r="ET79" s="219"/>
      <c r="EU79" s="219"/>
      <c r="EV79" s="219"/>
      <c r="EW79" s="219"/>
      <c r="EX79" s="219"/>
      <c r="EY79" s="219"/>
      <c r="EZ79" s="219"/>
      <c r="FA79" s="219"/>
      <c r="FB79" s="219"/>
      <c r="FC79" s="219"/>
      <c r="FD79" s="219"/>
      <c r="FE79" s="219"/>
      <c r="FF79" s="219"/>
      <c r="FG79" s="219"/>
      <c r="FH79" s="219"/>
      <c r="FI79" s="219"/>
      <c r="FJ79" s="219"/>
      <c r="FK79" s="219"/>
      <c r="FL79" s="219"/>
      <c r="FM79" s="219"/>
      <c r="FN79" s="219"/>
      <c r="FO79" s="219"/>
      <c r="FP79" s="219"/>
      <c r="FQ79" s="219"/>
      <c r="FR79" s="219"/>
      <c r="FS79" s="219"/>
      <c r="FT79" s="219"/>
      <c r="FU79" s="219"/>
      <c r="FV79" s="219"/>
      <c r="FW79" s="219"/>
      <c r="FX79" s="219"/>
      <c r="FY79" s="219"/>
      <c r="FZ79" s="219"/>
      <c r="GA79" s="219"/>
      <c r="GB79" s="2"/>
      <c r="GC79" s="2"/>
      <c r="GD79" s="219"/>
      <c r="GE79" s="219"/>
      <c r="GF79" s="219"/>
      <c r="GG79" s="219"/>
      <c r="GH79" s="219"/>
      <c r="GI79" s="219"/>
      <c r="GJ79" s="219"/>
      <c r="GK79" s="219"/>
      <c r="GL79" s="219"/>
      <c r="GM79" s="219"/>
    </row>
    <row r="80" spans="1:195" ht="6.95" customHeight="1" x14ac:dyDescent="0.15">
      <c r="A80" s="1"/>
      <c r="B80" s="1"/>
      <c r="C80" s="1"/>
      <c r="D80" s="1"/>
      <c r="E80" s="1"/>
      <c r="F80" s="113"/>
      <c r="G80" s="113"/>
      <c r="H80" s="113"/>
      <c r="I80" s="113"/>
      <c r="J80" s="113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220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219"/>
      <c r="BG80" s="219"/>
      <c r="BH80" s="219"/>
      <c r="BI80" s="219"/>
      <c r="BJ80" s="219"/>
      <c r="BK80" s="219"/>
      <c r="BL80" s="219"/>
      <c r="BM80" s="219"/>
      <c r="BN80" s="219"/>
      <c r="BO80" s="219"/>
      <c r="BP80" s="219"/>
      <c r="BQ80" s="219"/>
      <c r="BR80" s="219"/>
      <c r="BS80" s="219"/>
      <c r="BT80" s="219"/>
      <c r="BU80" s="219"/>
      <c r="BV80" s="219"/>
      <c r="BW80" s="219"/>
      <c r="BX80" s="219"/>
      <c r="BY80" s="219"/>
      <c r="BZ80" s="219"/>
      <c r="CA80" s="219"/>
      <c r="CB80" s="219"/>
      <c r="CC80" s="219"/>
      <c r="CD80" s="219"/>
      <c r="CE80" s="219"/>
      <c r="CF80" s="219"/>
      <c r="CG80" s="219"/>
      <c r="CH80" s="219"/>
      <c r="CI80" s="219"/>
      <c r="CJ80" s="219"/>
      <c r="CK80" s="219"/>
      <c r="CL80" s="219"/>
      <c r="CM80" s="219"/>
      <c r="CN80" s="219"/>
      <c r="CO80" s="219"/>
      <c r="CP80" s="219"/>
      <c r="CQ80" s="219"/>
      <c r="CR80" s="219"/>
      <c r="CS80" s="219"/>
      <c r="CT80" s="219"/>
      <c r="CU80" s="219"/>
      <c r="CV80" s="219"/>
      <c r="CW80" s="219"/>
      <c r="CX80" s="219"/>
      <c r="CY80" s="219"/>
      <c r="CZ80" s="219"/>
      <c r="DA80" s="219"/>
      <c r="DB80" s="219"/>
      <c r="DC80" s="219"/>
      <c r="DD80" s="219"/>
      <c r="DE80" s="219"/>
      <c r="DF80" s="219"/>
      <c r="DG80" s="219"/>
      <c r="DH80" s="219"/>
      <c r="DI80" s="219"/>
      <c r="DJ80" s="219"/>
      <c r="DK80" s="219"/>
      <c r="DL80" s="219"/>
      <c r="DM80" s="219"/>
      <c r="DN80" s="219"/>
      <c r="DO80" s="219"/>
      <c r="DP80" s="219"/>
      <c r="DQ80" s="219"/>
      <c r="DR80" s="219"/>
      <c r="DS80" s="219"/>
      <c r="DT80" s="219"/>
      <c r="DU80" s="219"/>
      <c r="DV80" s="219"/>
      <c r="DW80" s="219"/>
      <c r="DX80" s="219"/>
      <c r="DY80" s="219"/>
      <c r="DZ80" s="219"/>
      <c r="EA80" s="219"/>
      <c r="EB80" s="219"/>
      <c r="EC80" s="219"/>
      <c r="ED80" s="219"/>
      <c r="EE80" s="219"/>
      <c r="EF80" s="219"/>
      <c r="EG80" s="219"/>
      <c r="EH80" s="219"/>
      <c r="EI80" s="219"/>
      <c r="EJ80" s="219"/>
      <c r="EK80" s="219"/>
      <c r="EL80" s="219"/>
      <c r="EM80" s="219"/>
      <c r="EN80" s="219"/>
      <c r="EO80" s="219"/>
      <c r="EP80" s="219"/>
      <c r="EQ80" s="219"/>
      <c r="ER80" s="219"/>
      <c r="ES80" s="219"/>
      <c r="ET80" s="219"/>
      <c r="EU80" s="219"/>
      <c r="EV80" s="219"/>
      <c r="EW80" s="219"/>
      <c r="EX80" s="219"/>
      <c r="EY80" s="219"/>
      <c r="EZ80" s="219"/>
      <c r="FA80" s="219"/>
      <c r="FB80" s="219"/>
      <c r="FC80" s="219"/>
      <c r="FD80" s="219"/>
      <c r="FE80" s="219"/>
      <c r="FF80" s="219"/>
      <c r="FG80" s="219"/>
      <c r="FH80" s="219"/>
      <c r="FI80" s="219"/>
      <c r="FJ80" s="219"/>
      <c r="FK80" s="219"/>
      <c r="FL80" s="219"/>
      <c r="FM80" s="219"/>
      <c r="FN80" s="219"/>
      <c r="FO80" s="219"/>
      <c r="FP80" s="219"/>
      <c r="FQ80" s="219"/>
      <c r="FR80" s="219"/>
      <c r="FS80" s="219"/>
      <c r="FT80" s="219"/>
      <c r="FU80" s="219"/>
      <c r="FV80" s="219"/>
      <c r="FW80" s="219"/>
      <c r="FX80" s="219"/>
      <c r="FY80" s="219"/>
      <c r="FZ80" s="219"/>
      <c r="GA80" s="219"/>
      <c r="GB80" s="2"/>
      <c r="GC80" s="2"/>
      <c r="GD80" s="219"/>
      <c r="GE80" s="219"/>
      <c r="GF80" s="219"/>
      <c r="GG80" s="219"/>
      <c r="GH80" s="219"/>
      <c r="GI80" s="219"/>
      <c r="GJ80" s="219"/>
      <c r="GK80" s="219"/>
      <c r="GL80" s="219"/>
      <c r="GM80" s="219"/>
    </row>
    <row r="81" spans="1:195" ht="6.95" customHeight="1" x14ac:dyDescent="0.15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219"/>
      <c r="BG81" s="219"/>
      <c r="BH81" s="219"/>
      <c r="BI81" s="219"/>
      <c r="BJ81" s="219"/>
      <c r="BK81" s="219"/>
      <c r="BL81" s="219"/>
      <c r="BM81" s="219"/>
      <c r="BN81" s="219"/>
      <c r="BO81" s="219"/>
      <c r="BP81" s="219"/>
      <c r="BQ81" s="219"/>
      <c r="BR81" s="219"/>
      <c r="BS81" s="219"/>
      <c r="BT81" s="219"/>
      <c r="BU81" s="219"/>
      <c r="BV81" s="219"/>
      <c r="BW81" s="219"/>
      <c r="BX81" s="219"/>
      <c r="BY81" s="219"/>
      <c r="BZ81" s="219"/>
      <c r="CA81" s="219"/>
      <c r="CB81" s="219"/>
      <c r="CC81" s="219"/>
      <c r="CD81" s="219"/>
      <c r="CE81" s="219"/>
      <c r="CF81" s="219"/>
      <c r="CG81" s="219"/>
      <c r="CH81" s="219"/>
      <c r="CI81" s="219"/>
      <c r="CJ81" s="219"/>
      <c r="CK81" s="219"/>
      <c r="CL81" s="219"/>
      <c r="CM81" s="219"/>
      <c r="CN81" s="219"/>
      <c r="CO81" s="219"/>
      <c r="CP81" s="219"/>
      <c r="CQ81" s="219"/>
      <c r="CR81" s="219"/>
      <c r="CS81" s="219"/>
      <c r="CT81" s="219"/>
      <c r="CU81" s="219"/>
      <c r="CV81" s="219"/>
      <c r="CW81" s="219"/>
      <c r="CX81" s="219"/>
      <c r="CY81" s="219"/>
      <c r="CZ81" s="219"/>
      <c r="DA81" s="219"/>
      <c r="DB81" s="219"/>
      <c r="DC81" s="219"/>
      <c r="DD81" s="219"/>
      <c r="DE81" s="219"/>
      <c r="DF81" s="219"/>
      <c r="DG81" s="219"/>
      <c r="DH81" s="219"/>
      <c r="DI81" s="219"/>
      <c r="DJ81" s="219"/>
      <c r="DK81" s="219"/>
      <c r="DL81" s="219"/>
      <c r="DM81" s="219"/>
      <c r="DN81" s="219"/>
      <c r="DO81" s="219"/>
      <c r="DP81" s="219"/>
      <c r="DQ81" s="219"/>
      <c r="DR81" s="219"/>
      <c r="DS81" s="219"/>
      <c r="DT81" s="219"/>
      <c r="DU81" s="219"/>
      <c r="DV81" s="219"/>
      <c r="DW81" s="219"/>
      <c r="DX81" s="219"/>
      <c r="DY81" s="219"/>
      <c r="DZ81" s="219"/>
      <c r="EA81" s="219"/>
      <c r="EB81" s="219"/>
      <c r="EC81" s="219"/>
      <c r="ED81" s="219"/>
      <c r="EE81" s="219"/>
      <c r="EF81" s="219"/>
      <c r="EG81" s="219"/>
      <c r="EH81" s="219"/>
      <c r="EI81" s="219"/>
      <c r="EJ81" s="219"/>
      <c r="EK81" s="219"/>
      <c r="EL81" s="219"/>
      <c r="EM81" s="219"/>
      <c r="EN81" s="219"/>
      <c r="EO81" s="219"/>
      <c r="EP81" s="219"/>
      <c r="EQ81" s="219"/>
      <c r="ER81" s="219"/>
      <c r="ES81" s="219"/>
      <c r="ET81" s="219"/>
      <c r="EU81" s="219"/>
      <c r="EV81" s="219"/>
      <c r="EW81" s="219"/>
      <c r="EX81" s="219"/>
      <c r="EY81" s="219"/>
      <c r="EZ81" s="219"/>
      <c r="FA81" s="219"/>
      <c r="FB81" s="219"/>
      <c r="FC81" s="219"/>
      <c r="FD81" s="219"/>
      <c r="FE81" s="219"/>
      <c r="FF81" s="219"/>
      <c r="FG81" s="219"/>
      <c r="FH81" s="219"/>
      <c r="FI81" s="219"/>
      <c r="FJ81" s="219"/>
      <c r="FK81" s="219"/>
      <c r="FL81" s="219"/>
      <c r="FM81" s="219"/>
      <c r="FN81" s="219"/>
      <c r="FO81" s="219"/>
      <c r="FP81" s="219"/>
      <c r="FQ81" s="219"/>
      <c r="FR81" s="219"/>
      <c r="FS81" s="219"/>
      <c r="FT81" s="219"/>
      <c r="FU81" s="219"/>
      <c r="FV81" s="219"/>
      <c r="FW81" s="219"/>
      <c r="FX81" s="219"/>
      <c r="FY81" s="219"/>
      <c r="FZ81" s="219"/>
      <c r="GA81" s="219"/>
      <c r="GB81" s="2"/>
      <c r="GC81" s="2"/>
      <c r="GD81" s="219"/>
      <c r="GE81" s="219"/>
      <c r="GF81" s="219"/>
      <c r="GG81" s="219"/>
      <c r="GH81" s="219"/>
      <c r="GI81" s="219"/>
      <c r="GJ81" s="219"/>
      <c r="GK81" s="219"/>
      <c r="GL81" s="219"/>
      <c r="GM81" s="219"/>
    </row>
    <row r="82" spans="1:195" ht="6.95" customHeight="1" x14ac:dyDescent="0.15">
      <c r="A82" s="1"/>
      <c r="B82" s="1"/>
      <c r="C82" s="1"/>
      <c r="D82" s="1"/>
      <c r="E82" s="1"/>
      <c r="F82" s="112"/>
      <c r="G82" s="112"/>
      <c r="H82" s="112"/>
      <c r="I82" s="112"/>
      <c r="J82" s="112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220">
        <f>F82*Y82</f>
        <v>0</v>
      </c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219"/>
      <c r="BG82" s="219"/>
      <c r="BH82" s="219"/>
      <c r="BI82" s="219"/>
      <c r="BJ82" s="219"/>
      <c r="BK82" s="219"/>
      <c r="BL82" s="219"/>
      <c r="BM82" s="219"/>
      <c r="BN82" s="219"/>
      <c r="BO82" s="219"/>
      <c r="BP82" s="219"/>
      <c r="BQ82" s="219"/>
      <c r="BR82" s="219"/>
      <c r="BS82" s="219"/>
      <c r="BT82" s="219"/>
      <c r="BU82" s="219"/>
      <c r="BV82" s="219"/>
      <c r="BW82" s="219"/>
      <c r="BX82" s="219"/>
      <c r="BY82" s="219"/>
      <c r="BZ82" s="219"/>
      <c r="CA82" s="219"/>
      <c r="CB82" s="219"/>
      <c r="CC82" s="219"/>
      <c r="CD82" s="219"/>
      <c r="CE82" s="219"/>
      <c r="CF82" s="219"/>
      <c r="CG82" s="219"/>
      <c r="CH82" s="219"/>
      <c r="CI82" s="219"/>
      <c r="CJ82" s="219"/>
      <c r="CK82" s="219"/>
      <c r="CL82" s="219"/>
      <c r="CM82" s="219"/>
      <c r="CN82" s="219"/>
      <c r="CO82" s="219"/>
      <c r="CP82" s="219"/>
      <c r="CQ82" s="219"/>
      <c r="CR82" s="219"/>
      <c r="CS82" s="219"/>
      <c r="CT82" s="219"/>
      <c r="CU82" s="219"/>
      <c r="CV82" s="219"/>
      <c r="CW82" s="219"/>
      <c r="CX82" s="219"/>
      <c r="CY82" s="219"/>
      <c r="CZ82" s="219"/>
      <c r="DA82" s="219"/>
      <c r="DB82" s="219"/>
      <c r="DC82" s="219"/>
      <c r="DD82" s="219"/>
      <c r="DE82" s="219"/>
      <c r="DF82" s="219"/>
      <c r="DG82" s="219"/>
      <c r="DH82" s="219"/>
      <c r="DI82" s="219"/>
      <c r="DJ82" s="219"/>
      <c r="DK82" s="219"/>
      <c r="DL82" s="219"/>
      <c r="DM82" s="219"/>
      <c r="DN82" s="219"/>
      <c r="DO82" s="219"/>
      <c r="DP82" s="219"/>
      <c r="DQ82" s="219"/>
      <c r="DR82" s="219"/>
      <c r="DS82" s="219"/>
      <c r="DT82" s="219"/>
      <c r="DU82" s="219"/>
      <c r="DV82" s="219"/>
      <c r="DW82" s="219"/>
      <c r="DX82" s="219"/>
      <c r="DY82" s="219"/>
      <c r="DZ82" s="219"/>
      <c r="EA82" s="219"/>
      <c r="EB82" s="219"/>
      <c r="EC82" s="219"/>
      <c r="ED82" s="219"/>
      <c r="EE82" s="219"/>
      <c r="EF82" s="219"/>
      <c r="EG82" s="219"/>
      <c r="EH82" s="219"/>
      <c r="EI82" s="219"/>
      <c r="EJ82" s="219"/>
      <c r="EK82" s="219"/>
      <c r="EL82" s="219"/>
      <c r="EM82" s="219"/>
      <c r="EN82" s="219"/>
      <c r="EO82" s="219"/>
      <c r="EP82" s="219"/>
      <c r="EQ82" s="219"/>
      <c r="ER82" s="219"/>
      <c r="ES82" s="219"/>
      <c r="ET82" s="219"/>
      <c r="EU82" s="219"/>
      <c r="EV82" s="219"/>
      <c r="EW82" s="219"/>
      <c r="EX82" s="219"/>
      <c r="EY82" s="219"/>
      <c r="EZ82" s="219"/>
      <c r="FA82" s="219"/>
      <c r="FB82" s="219"/>
      <c r="FC82" s="219"/>
      <c r="FD82" s="219"/>
      <c r="FE82" s="219"/>
      <c r="FF82" s="219"/>
      <c r="FG82" s="219"/>
      <c r="FH82" s="219"/>
      <c r="FI82" s="219"/>
      <c r="FJ82" s="219"/>
      <c r="FK82" s="219"/>
      <c r="FL82" s="219"/>
      <c r="FM82" s="219"/>
      <c r="FN82" s="219"/>
      <c r="FO82" s="219"/>
      <c r="FP82" s="219"/>
      <c r="FQ82" s="219"/>
      <c r="FR82" s="219"/>
      <c r="FS82" s="219"/>
      <c r="FT82" s="219"/>
      <c r="FU82" s="219"/>
      <c r="FV82" s="219"/>
      <c r="FW82" s="219"/>
      <c r="FX82" s="219"/>
      <c r="FY82" s="219"/>
      <c r="FZ82" s="219"/>
      <c r="GA82" s="219"/>
      <c r="GB82" s="2"/>
      <c r="GC82" s="2"/>
      <c r="GD82" s="219"/>
      <c r="GE82" s="219"/>
      <c r="GF82" s="219"/>
      <c r="GG82" s="219"/>
      <c r="GH82" s="219"/>
      <c r="GI82" s="219"/>
      <c r="GJ82" s="219"/>
      <c r="GK82" s="219"/>
      <c r="GL82" s="219"/>
      <c r="GM82" s="219"/>
    </row>
    <row r="83" spans="1:195" ht="6.95" customHeight="1" x14ac:dyDescent="0.15">
      <c r="A83" s="1"/>
      <c r="B83" s="1"/>
      <c r="C83" s="1"/>
      <c r="D83" s="1"/>
      <c r="E83" s="1"/>
      <c r="F83" s="112"/>
      <c r="G83" s="112"/>
      <c r="H83" s="112"/>
      <c r="I83" s="112"/>
      <c r="J83" s="112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220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219"/>
      <c r="BG83" s="219"/>
      <c r="BH83" s="219"/>
      <c r="BI83" s="219"/>
      <c r="BJ83" s="219"/>
      <c r="BK83" s="219"/>
      <c r="BL83" s="219"/>
      <c r="BM83" s="219"/>
      <c r="BN83" s="219"/>
      <c r="BO83" s="219"/>
      <c r="BP83" s="219"/>
      <c r="BQ83" s="219"/>
      <c r="BR83" s="219"/>
      <c r="BS83" s="219"/>
      <c r="BT83" s="219"/>
      <c r="BU83" s="219"/>
      <c r="BV83" s="219"/>
      <c r="BW83" s="219"/>
      <c r="BX83" s="219"/>
      <c r="BY83" s="219"/>
      <c r="BZ83" s="219"/>
      <c r="CA83" s="219"/>
      <c r="CB83" s="219"/>
      <c r="CC83" s="219"/>
      <c r="CD83" s="219"/>
      <c r="CE83" s="219"/>
      <c r="CF83" s="219"/>
      <c r="CG83" s="219"/>
      <c r="CH83" s="219"/>
      <c r="CI83" s="219"/>
      <c r="CJ83" s="219"/>
      <c r="CK83" s="219"/>
      <c r="CL83" s="219"/>
      <c r="CM83" s="219"/>
      <c r="CN83" s="219"/>
      <c r="CO83" s="219"/>
      <c r="CP83" s="219"/>
      <c r="CQ83" s="219"/>
      <c r="CR83" s="219"/>
      <c r="CS83" s="219"/>
      <c r="CT83" s="219"/>
      <c r="CU83" s="219"/>
      <c r="CV83" s="219"/>
      <c r="CW83" s="219"/>
      <c r="CX83" s="219"/>
      <c r="CY83" s="219"/>
      <c r="CZ83" s="219"/>
      <c r="DA83" s="219"/>
      <c r="DB83" s="219"/>
      <c r="DC83" s="219"/>
      <c r="DD83" s="219"/>
      <c r="DE83" s="219"/>
      <c r="DF83" s="219"/>
      <c r="DG83" s="219"/>
      <c r="DH83" s="219"/>
      <c r="DI83" s="219"/>
      <c r="DJ83" s="219"/>
      <c r="DK83" s="219"/>
      <c r="DL83" s="219"/>
      <c r="DM83" s="219"/>
      <c r="DN83" s="219"/>
      <c r="DO83" s="219"/>
      <c r="DP83" s="219"/>
      <c r="DQ83" s="219"/>
      <c r="DR83" s="219"/>
      <c r="DS83" s="219"/>
      <c r="DT83" s="219"/>
      <c r="DU83" s="219"/>
      <c r="DV83" s="219"/>
      <c r="DW83" s="219"/>
      <c r="DX83" s="219"/>
      <c r="DY83" s="219"/>
      <c r="DZ83" s="219"/>
      <c r="EA83" s="219"/>
      <c r="EB83" s="219"/>
      <c r="EC83" s="219"/>
      <c r="ED83" s="219"/>
      <c r="EE83" s="219"/>
      <c r="EF83" s="219"/>
      <c r="EG83" s="219"/>
      <c r="EH83" s="219"/>
      <c r="EI83" s="219"/>
      <c r="EJ83" s="219"/>
      <c r="EK83" s="219"/>
      <c r="EL83" s="219"/>
      <c r="EM83" s="219"/>
      <c r="EN83" s="219"/>
      <c r="EO83" s="219"/>
      <c r="EP83" s="219"/>
      <c r="EQ83" s="219"/>
      <c r="ER83" s="219"/>
      <c r="ES83" s="219"/>
      <c r="ET83" s="219"/>
      <c r="EU83" s="219"/>
      <c r="EV83" s="219"/>
      <c r="EW83" s="219"/>
      <c r="EX83" s="219"/>
      <c r="EY83" s="219"/>
      <c r="EZ83" s="219"/>
      <c r="FA83" s="219"/>
      <c r="FB83" s="219"/>
      <c r="FC83" s="219"/>
      <c r="FD83" s="219"/>
      <c r="FE83" s="219"/>
      <c r="FF83" s="219"/>
      <c r="FG83" s="219"/>
      <c r="FH83" s="219"/>
      <c r="FI83" s="219"/>
      <c r="FJ83" s="219"/>
      <c r="FK83" s="219"/>
      <c r="FL83" s="219"/>
      <c r="FM83" s="219"/>
      <c r="FN83" s="219"/>
      <c r="FO83" s="219"/>
      <c r="FP83" s="219"/>
      <c r="FQ83" s="219"/>
      <c r="FR83" s="219"/>
      <c r="FS83" s="219"/>
      <c r="FT83" s="219"/>
      <c r="FU83" s="219"/>
      <c r="FV83" s="219"/>
      <c r="FW83" s="219"/>
      <c r="FX83" s="219"/>
      <c r="FY83" s="219"/>
      <c r="FZ83" s="219"/>
      <c r="GA83" s="219"/>
      <c r="GB83" s="2"/>
      <c r="GC83" s="2"/>
      <c r="GD83" s="219"/>
      <c r="GE83" s="219"/>
      <c r="GF83" s="219"/>
      <c r="GG83" s="219"/>
      <c r="GH83" s="219"/>
      <c r="GI83" s="219"/>
      <c r="GJ83" s="219"/>
      <c r="GK83" s="219"/>
      <c r="GL83" s="219"/>
      <c r="GM83" s="219"/>
    </row>
    <row r="84" spans="1:195" ht="6.95" customHeight="1" x14ac:dyDescent="0.15">
      <c r="A84" s="1"/>
      <c r="B84" s="1"/>
      <c r="C84" s="1"/>
      <c r="D84" s="1"/>
      <c r="E84" s="1"/>
      <c r="F84" s="112"/>
      <c r="G84" s="112"/>
      <c r="H84" s="112"/>
      <c r="I84" s="112"/>
      <c r="J84" s="112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220">
        <f>F82*Y84</f>
        <v>0</v>
      </c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219"/>
      <c r="BG84" s="219"/>
      <c r="BH84" s="219"/>
      <c r="BI84" s="219"/>
      <c r="BJ84" s="219"/>
      <c r="BK84" s="219"/>
      <c r="BL84" s="219"/>
      <c r="BM84" s="219"/>
      <c r="BN84" s="219"/>
      <c r="BO84" s="219"/>
      <c r="BP84" s="219"/>
      <c r="BQ84" s="219"/>
      <c r="BR84" s="219"/>
      <c r="BS84" s="219"/>
      <c r="BT84" s="219"/>
      <c r="BU84" s="219"/>
      <c r="BV84" s="219"/>
      <c r="BW84" s="219"/>
      <c r="BX84" s="219"/>
      <c r="BY84" s="219"/>
      <c r="BZ84" s="219"/>
      <c r="CA84" s="219"/>
      <c r="CB84" s="219"/>
      <c r="CC84" s="219"/>
      <c r="CD84" s="219"/>
      <c r="CE84" s="219"/>
      <c r="CF84" s="219"/>
      <c r="CG84" s="219"/>
      <c r="CH84" s="219"/>
      <c r="CI84" s="219"/>
      <c r="CJ84" s="219"/>
      <c r="CK84" s="219"/>
      <c r="CL84" s="219"/>
      <c r="CM84" s="219"/>
      <c r="CN84" s="219"/>
      <c r="CO84" s="219"/>
      <c r="CP84" s="219"/>
      <c r="CQ84" s="219"/>
      <c r="CR84" s="219"/>
      <c r="CS84" s="219"/>
      <c r="CT84" s="219"/>
      <c r="CU84" s="219"/>
      <c r="CV84" s="219"/>
      <c r="CW84" s="219"/>
      <c r="CX84" s="219"/>
      <c r="CY84" s="219"/>
      <c r="CZ84" s="219"/>
      <c r="DA84" s="219"/>
      <c r="DB84" s="219"/>
      <c r="DC84" s="219"/>
      <c r="DD84" s="219"/>
      <c r="DE84" s="219"/>
      <c r="DF84" s="219"/>
      <c r="DG84" s="219"/>
      <c r="DH84" s="219"/>
      <c r="DI84" s="219"/>
      <c r="DJ84" s="219"/>
      <c r="DK84" s="219"/>
      <c r="DL84" s="219"/>
      <c r="DM84" s="219"/>
      <c r="DN84" s="219"/>
      <c r="DO84" s="219"/>
      <c r="DP84" s="219"/>
      <c r="DQ84" s="219"/>
      <c r="DR84" s="219"/>
      <c r="DS84" s="219"/>
      <c r="DT84" s="219"/>
      <c r="DU84" s="219"/>
      <c r="DV84" s="219"/>
      <c r="DW84" s="219"/>
      <c r="DX84" s="219"/>
      <c r="DY84" s="219"/>
      <c r="DZ84" s="219"/>
      <c r="EA84" s="219"/>
      <c r="EB84" s="219"/>
      <c r="EC84" s="219"/>
      <c r="ED84" s="219"/>
      <c r="EE84" s="219"/>
      <c r="EF84" s="219"/>
      <c r="EG84" s="219"/>
      <c r="EH84" s="219"/>
      <c r="EI84" s="219"/>
      <c r="EJ84" s="219"/>
      <c r="EK84" s="219"/>
      <c r="EL84" s="219"/>
      <c r="EM84" s="219"/>
      <c r="EN84" s="219"/>
      <c r="EO84" s="219"/>
      <c r="EP84" s="219"/>
      <c r="EQ84" s="219"/>
      <c r="ER84" s="219"/>
      <c r="ES84" s="219"/>
      <c r="ET84" s="219"/>
      <c r="EU84" s="219"/>
      <c r="EV84" s="219"/>
      <c r="EW84" s="219"/>
      <c r="EX84" s="219"/>
      <c r="EY84" s="219"/>
      <c r="EZ84" s="219"/>
      <c r="FA84" s="219"/>
      <c r="FB84" s="219"/>
      <c r="FC84" s="219"/>
      <c r="FD84" s="219"/>
      <c r="FE84" s="219"/>
      <c r="FF84" s="219"/>
      <c r="FG84" s="219"/>
      <c r="FH84" s="219"/>
      <c r="FI84" s="219"/>
      <c r="FJ84" s="219"/>
      <c r="FK84" s="219"/>
      <c r="FL84" s="219"/>
      <c r="FM84" s="219"/>
      <c r="FN84" s="219"/>
      <c r="FO84" s="219"/>
      <c r="FP84" s="219"/>
      <c r="FQ84" s="219"/>
      <c r="FR84" s="219"/>
      <c r="FS84" s="219"/>
      <c r="FT84" s="219"/>
      <c r="FU84" s="219"/>
      <c r="FV84" s="219"/>
      <c r="FW84" s="219"/>
      <c r="FX84" s="219"/>
      <c r="FY84" s="219"/>
      <c r="FZ84" s="219"/>
      <c r="GA84" s="219"/>
      <c r="GB84" s="2"/>
      <c r="GC84" s="2"/>
      <c r="GD84" s="219"/>
      <c r="GE84" s="219"/>
      <c r="GF84" s="219"/>
      <c r="GG84" s="219"/>
      <c r="GH84" s="219"/>
      <c r="GI84" s="219"/>
      <c r="GJ84" s="219"/>
      <c r="GK84" s="219"/>
      <c r="GL84" s="219"/>
      <c r="GM84" s="219"/>
    </row>
    <row r="85" spans="1:195" ht="6.95" customHeight="1" x14ac:dyDescent="0.15">
      <c r="A85" s="1"/>
      <c r="B85" s="1"/>
      <c r="C85" s="1"/>
      <c r="D85" s="1"/>
      <c r="E85" s="1"/>
      <c r="F85" s="112"/>
      <c r="G85" s="112"/>
      <c r="H85" s="112"/>
      <c r="I85" s="112"/>
      <c r="J85" s="112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220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219"/>
      <c r="BG85" s="219"/>
      <c r="BH85" s="219"/>
      <c r="BI85" s="219"/>
      <c r="BJ85" s="219"/>
      <c r="BK85" s="219"/>
      <c r="BL85" s="219"/>
      <c r="BM85" s="219"/>
      <c r="BN85" s="219"/>
      <c r="BO85" s="219"/>
      <c r="BP85" s="219"/>
      <c r="BQ85" s="219"/>
      <c r="BR85" s="219"/>
      <c r="BS85" s="219"/>
      <c r="BT85" s="219"/>
      <c r="BU85" s="219"/>
      <c r="BV85" s="219"/>
      <c r="BW85" s="219"/>
      <c r="BX85" s="219"/>
      <c r="BY85" s="219"/>
      <c r="BZ85" s="219"/>
      <c r="CA85" s="219"/>
      <c r="CB85" s="219"/>
      <c r="CC85" s="219"/>
      <c r="CD85" s="219"/>
      <c r="CE85" s="219"/>
      <c r="CF85" s="219"/>
      <c r="CG85" s="219"/>
      <c r="CH85" s="219"/>
      <c r="CI85" s="219"/>
      <c r="CJ85" s="219"/>
      <c r="CK85" s="219"/>
      <c r="CL85" s="219"/>
      <c r="CM85" s="219"/>
      <c r="CN85" s="219"/>
      <c r="CO85" s="219"/>
      <c r="CP85" s="219"/>
      <c r="CQ85" s="219"/>
      <c r="CR85" s="219"/>
      <c r="CS85" s="219"/>
      <c r="CT85" s="219"/>
      <c r="CU85" s="219"/>
      <c r="CV85" s="219"/>
      <c r="CW85" s="219"/>
      <c r="CX85" s="219"/>
      <c r="CY85" s="219"/>
      <c r="CZ85" s="219"/>
      <c r="DA85" s="219"/>
      <c r="DB85" s="219"/>
      <c r="DC85" s="219"/>
      <c r="DD85" s="219"/>
      <c r="DE85" s="219"/>
      <c r="DF85" s="219"/>
      <c r="DG85" s="219"/>
      <c r="DH85" s="219"/>
      <c r="DI85" s="219"/>
      <c r="DJ85" s="219"/>
      <c r="DK85" s="219"/>
      <c r="DL85" s="219"/>
      <c r="DM85" s="219"/>
      <c r="DN85" s="219"/>
      <c r="DO85" s="219"/>
      <c r="DP85" s="219"/>
      <c r="DQ85" s="219"/>
      <c r="DR85" s="219"/>
      <c r="DS85" s="219"/>
      <c r="DT85" s="219"/>
      <c r="DU85" s="219"/>
      <c r="DV85" s="219"/>
      <c r="DW85" s="219"/>
      <c r="DX85" s="219"/>
      <c r="DY85" s="219"/>
      <c r="DZ85" s="219"/>
      <c r="EA85" s="219"/>
      <c r="EB85" s="219"/>
      <c r="EC85" s="219"/>
      <c r="ED85" s="219"/>
      <c r="EE85" s="219"/>
      <c r="EF85" s="219"/>
      <c r="EG85" s="219"/>
      <c r="EH85" s="219"/>
      <c r="EI85" s="219"/>
      <c r="EJ85" s="219"/>
      <c r="EK85" s="219"/>
      <c r="EL85" s="219"/>
      <c r="EM85" s="219"/>
      <c r="EN85" s="219"/>
      <c r="EO85" s="219"/>
      <c r="EP85" s="219"/>
      <c r="EQ85" s="219"/>
      <c r="ER85" s="219"/>
      <c r="ES85" s="219"/>
      <c r="ET85" s="219"/>
      <c r="EU85" s="219"/>
      <c r="EV85" s="219"/>
      <c r="EW85" s="219"/>
      <c r="EX85" s="219"/>
      <c r="EY85" s="219"/>
      <c r="EZ85" s="219"/>
      <c r="FA85" s="219"/>
      <c r="FB85" s="219"/>
      <c r="FC85" s="219"/>
      <c r="FD85" s="219"/>
      <c r="FE85" s="219"/>
      <c r="FF85" s="219"/>
      <c r="FG85" s="219"/>
      <c r="FH85" s="219"/>
      <c r="FI85" s="219"/>
      <c r="FJ85" s="219"/>
      <c r="FK85" s="219"/>
      <c r="FL85" s="219"/>
      <c r="FM85" s="219"/>
      <c r="FN85" s="219"/>
      <c r="FO85" s="219"/>
      <c r="FP85" s="219"/>
      <c r="FQ85" s="219"/>
      <c r="FR85" s="219"/>
      <c r="FS85" s="219"/>
      <c r="FT85" s="219"/>
      <c r="FU85" s="219"/>
      <c r="FV85" s="219"/>
      <c r="FW85" s="219"/>
      <c r="FX85" s="219"/>
      <c r="FY85" s="219"/>
      <c r="FZ85" s="219"/>
      <c r="GA85" s="219"/>
      <c r="GB85" s="2"/>
      <c r="GC85" s="2"/>
      <c r="GD85" s="219"/>
      <c r="GE85" s="219"/>
      <c r="GF85" s="219"/>
      <c r="GG85" s="219"/>
      <c r="GH85" s="219"/>
      <c r="GI85" s="219"/>
      <c r="GJ85" s="219"/>
      <c r="GK85" s="219"/>
      <c r="GL85" s="219"/>
      <c r="GM85" s="219"/>
    </row>
    <row r="86" spans="1:195" ht="6.95" customHeight="1" x14ac:dyDescent="0.15">
      <c r="A86" s="1"/>
      <c r="B86" s="1"/>
      <c r="C86" s="1"/>
      <c r="D86" s="1"/>
      <c r="E86" s="1"/>
      <c r="F86" s="113"/>
      <c r="G86" s="113"/>
      <c r="H86" s="113"/>
      <c r="I86" s="113"/>
      <c r="J86" s="113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220">
        <f>F82*Y86</f>
        <v>0</v>
      </c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219"/>
      <c r="BG86" s="219"/>
      <c r="BH86" s="219"/>
      <c r="BI86" s="219"/>
      <c r="BJ86" s="219"/>
      <c r="BK86" s="219"/>
      <c r="BL86" s="219"/>
      <c r="BM86" s="219"/>
      <c r="BN86" s="219"/>
      <c r="BO86" s="219"/>
      <c r="BP86" s="219"/>
      <c r="BQ86" s="219"/>
      <c r="BR86" s="219"/>
      <c r="BS86" s="219"/>
      <c r="BT86" s="219"/>
      <c r="BU86" s="219"/>
      <c r="BV86" s="219"/>
      <c r="BW86" s="219"/>
      <c r="BX86" s="219"/>
      <c r="BY86" s="219"/>
      <c r="BZ86" s="219"/>
      <c r="CA86" s="219"/>
      <c r="CB86" s="219"/>
      <c r="CC86" s="219"/>
      <c r="CD86" s="219"/>
      <c r="CE86" s="219"/>
      <c r="CF86" s="219"/>
      <c r="CG86" s="219"/>
      <c r="CH86" s="219"/>
      <c r="CI86" s="219"/>
      <c r="CJ86" s="219"/>
      <c r="CK86" s="219"/>
      <c r="CL86" s="219"/>
      <c r="CM86" s="219"/>
      <c r="CN86" s="219"/>
      <c r="CO86" s="219"/>
      <c r="CP86" s="219"/>
      <c r="CQ86" s="219"/>
      <c r="CR86" s="219"/>
      <c r="CS86" s="219"/>
      <c r="CT86" s="219"/>
      <c r="CU86" s="219"/>
      <c r="CV86" s="219"/>
      <c r="CW86" s="219"/>
      <c r="CX86" s="219"/>
      <c r="CY86" s="219"/>
      <c r="CZ86" s="219"/>
      <c r="DA86" s="219"/>
      <c r="DB86" s="219"/>
      <c r="DC86" s="219"/>
      <c r="DD86" s="219"/>
      <c r="DE86" s="219"/>
      <c r="DF86" s="219"/>
      <c r="DG86" s="219"/>
      <c r="DH86" s="219"/>
      <c r="DI86" s="219"/>
      <c r="DJ86" s="219"/>
      <c r="DK86" s="219"/>
      <c r="DL86" s="219"/>
      <c r="DM86" s="219"/>
      <c r="DN86" s="219"/>
      <c r="DO86" s="219"/>
      <c r="DP86" s="219"/>
      <c r="DQ86" s="219"/>
      <c r="DR86" s="219"/>
      <c r="DS86" s="219"/>
      <c r="DT86" s="219"/>
      <c r="DU86" s="219"/>
      <c r="DV86" s="219"/>
      <c r="DW86" s="219"/>
      <c r="DX86" s="219"/>
      <c r="DY86" s="219"/>
      <c r="DZ86" s="219"/>
      <c r="EA86" s="219"/>
      <c r="EB86" s="219"/>
      <c r="EC86" s="219"/>
      <c r="ED86" s="219"/>
      <c r="EE86" s="219"/>
      <c r="EF86" s="219"/>
      <c r="EG86" s="219"/>
      <c r="EH86" s="219"/>
      <c r="EI86" s="219"/>
      <c r="EJ86" s="219"/>
      <c r="EK86" s="219"/>
      <c r="EL86" s="219"/>
      <c r="EM86" s="219"/>
      <c r="EN86" s="219"/>
      <c r="EO86" s="219"/>
      <c r="EP86" s="219"/>
      <c r="EQ86" s="219"/>
      <c r="ER86" s="219"/>
      <c r="ES86" s="219"/>
      <c r="ET86" s="219"/>
      <c r="EU86" s="219"/>
      <c r="EV86" s="219"/>
      <c r="EW86" s="219"/>
      <c r="EX86" s="219"/>
      <c r="EY86" s="219"/>
      <c r="EZ86" s="219"/>
      <c r="FA86" s="219"/>
      <c r="FB86" s="219"/>
      <c r="FC86" s="219"/>
      <c r="FD86" s="219"/>
      <c r="FE86" s="219"/>
      <c r="FF86" s="219"/>
      <c r="FG86" s="219"/>
      <c r="FH86" s="219"/>
      <c r="FI86" s="219"/>
      <c r="FJ86" s="219"/>
      <c r="FK86" s="219"/>
      <c r="FL86" s="219"/>
      <c r="FM86" s="219"/>
      <c r="FN86" s="219"/>
      <c r="FO86" s="219"/>
      <c r="FP86" s="219"/>
      <c r="FQ86" s="219"/>
      <c r="FR86" s="219"/>
      <c r="FS86" s="219"/>
      <c r="FT86" s="219"/>
      <c r="FU86" s="219"/>
      <c r="FV86" s="219"/>
      <c r="FW86" s="219"/>
      <c r="FX86" s="219"/>
      <c r="FY86" s="219"/>
      <c r="FZ86" s="219"/>
      <c r="GA86" s="219"/>
      <c r="GB86" s="2"/>
      <c r="GC86" s="2"/>
      <c r="GD86" s="219"/>
      <c r="GE86" s="219"/>
      <c r="GF86" s="219"/>
      <c r="GG86" s="219"/>
      <c r="GH86" s="219"/>
      <c r="GI86" s="219"/>
      <c r="GJ86" s="219"/>
      <c r="GK86" s="219"/>
      <c r="GL86" s="219"/>
      <c r="GM86" s="219"/>
    </row>
    <row r="87" spans="1:195" ht="6.95" customHeight="1" x14ac:dyDescent="0.15">
      <c r="A87" s="1"/>
      <c r="B87" s="1"/>
      <c r="C87" s="1"/>
      <c r="D87" s="1"/>
      <c r="E87" s="1"/>
      <c r="F87" s="113"/>
      <c r="G87" s="113"/>
      <c r="H87" s="113"/>
      <c r="I87" s="113"/>
      <c r="J87" s="113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220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219"/>
      <c r="BG87" s="219"/>
      <c r="BH87" s="219"/>
      <c r="BI87" s="219"/>
      <c r="BJ87" s="219"/>
      <c r="BK87" s="219"/>
      <c r="BL87" s="219"/>
      <c r="BM87" s="219"/>
      <c r="BN87" s="219"/>
      <c r="BO87" s="219"/>
      <c r="BP87" s="219"/>
      <c r="BQ87" s="219"/>
      <c r="BR87" s="219"/>
      <c r="BS87" s="219"/>
      <c r="BT87" s="219"/>
      <c r="BU87" s="219"/>
      <c r="BV87" s="219"/>
      <c r="BW87" s="219"/>
      <c r="BX87" s="219"/>
      <c r="BY87" s="219"/>
      <c r="BZ87" s="219"/>
      <c r="CA87" s="219"/>
      <c r="CB87" s="219"/>
      <c r="CC87" s="219"/>
      <c r="CD87" s="219"/>
      <c r="CE87" s="219"/>
      <c r="CF87" s="219"/>
      <c r="CG87" s="219"/>
      <c r="CH87" s="219"/>
      <c r="CI87" s="219"/>
      <c r="CJ87" s="219"/>
      <c r="CK87" s="219"/>
      <c r="CL87" s="219"/>
      <c r="CM87" s="219"/>
      <c r="CN87" s="219"/>
      <c r="CO87" s="219"/>
      <c r="CP87" s="219"/>
      <c r="CQ87" s="219"/>
      <c r="CR87" s="219"/>
      <c r="CS87" s="219"/>
      <c r="CT87" s="219"/>
      <c r="CU87" s="219"/>
      <c r="CV87" s="219"/>
      <c r="CW87" s="219"/>
      <c r="CX87" s="219"/>
      <c r="CY87" s="219"/>
      <c r="CZ87" s="219"/>
      <c r="DA87" s="219"/>
      <c r="DB87" s="219"/>
      <c r="DC87" s="219"/>
      <c r="DD87" s="219"/>
      <c r="DE87" s="219"/>
      <c r="DF87" s="219"/>
      <c r="DG87" s="219"/>
      <c r="DH87" s="219"/>
      <c r="DI87" s="219"/>
      <c r="DJ87" s="219"/>
      <c r="DK87" s="219"/>
      <c r="DL87" s="219"/>
      <c r="DM87" s="219"/>
      <c r="DN87" s="219"/>
      <c r="DO87" s="219"/>
      <c r="DP87" s="219"/>
      <c r="DQ87" s="219"/>
      <c r="DR87" s="219"/>
      <c r="DS87" s="219"/>
      <c r="DT87" s="219"/>
      <c r="DU87" s="219"/>
      <c r="DV87" s="219"/>
      <c r="DW87" s="219"/>
      <c r="DX87" s="219"/>
      <c r="DY87" s="219"/>
      <c r="DZ87" s="219"/>
      <c r="EA87" s="219"/>
      <c r="EB87" s="219"/>
      <c r="EC87" s="219"/>
      <c r="ED87" s="219"/>
      <c r="EE87" s="219"/>
      <c r="EF87" s="219"/>
      <c r="EG87" s="219"/>
      <c r="EH87" s="219"/>
      <c r="EI87" s="219"/>
      <c r="EJ87" s="219"/>
      <c r="EK87" s="219"/>
      <c r="EL87" s="219"/>
      <c r="EM87" s="219"/>
      <c r="EN87" s="219"/>
      <c r="EO87" s="219"/>
      <c r="EP87" s="219"/>
      <c r="EQ87" s="219"/>
      <c r="ER87" s="219"/>
      <c r="ES87" s="219"/>
      <c r="ET87" s="219"/>
      <c r="EU87" s="219"/>
      <c r="EV87" s="219"/>
      <c r="EW87" s="219"/>
      <c r="EX87" s="219"/>
      <c r="EY87" s="219"/>
      <c r="EZ87" s="219"/>
      <c r="FA87" s="219"/>
      <c r="FB87" s="219"/>
      <c r="FC87" s="219"/>
      <c r="FD87" s="219"/>
      <c r="FE87" s="219"/>
      <c r="FF87" s="219"/>
      <c r="FG87" s="219"/>
      <c r="FH87" s="219"/>
      <c r="FI87" s="219"/>
      <c r="FJ87" s="219"/>
      <c r="FK87" s="219"/>
      <c r="FL87" s="219"/>
      <c r="FM87" s="219"/>
      <c r="FN87" s="219"/>
      <c r="FO87" s="219"/>
      <c r="FP87" s="219"/>
      <c r="FQ87" s="219"/>
      <c r="FR87" s="219"/>
      <c r="FS87" s="219"/>
      <c r="FT87" s="219"/>
      <c r="FU87" s="219"/>
      <c r="FV87" s="219"/>
      <c r="FW87" s="219"/>
      <c r="FX87" s="219"/>
      <c r="FY87" s="219"/>
      <c r="FZ87" s="219"/>
      <c r="GA87" s="219"/>
      <c r="GB87" s="2"/>
      <c r="GC87" s="2"/>
      <c r="GD87" s="219"/>
      <c r="GE87" s="219"/>
      <c r="GF87" s="219"/>
      <c r="GG87" s="219"/>
      <c r="GH87" s="219"/>
      <c r="GI87" s="219"/>
      <c r="GJ87" s="219"/>
      <c r="GK87" s="219"/>
      <c r="GL87" s="219"/>
      <c r="GM87" s="219"/>
    </row>
    <row r="88" spans="1:195" ht="6.95" customHeight="1" x14ac:dyDescent="0.15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219"/>
      <c r="BG88" s="219"/>
      <c r="BH88" s="219"/>
      <c r="BI88" s="219"/>
      <c r="BJ88" s="219"/>
      <c r="BK88" s="219"/>
      <c r="BL88" s="219"/>
      <c r="BM88" s="219"/>
      <c r="BN88" s="219"/>
      <c r="BO88" s="219"/>
      <c r="BP88" s="219"/>
      <c r="BQ88" s="219"/>
      <c r="BR88" s="219"/>
      <c r="BS88" s="219"/>
      <c r="BT88" s="219"/>
      <c r="BU88" s="219"/>
      <c r="BV88" s="219"/>
      <c r="BW88" s="219"/>
      <c r="BX88" s="219"/>
      <c r="BY88" s="219"/>
      <c r="BZ88" s="219"/>
      <c r="CA88" s="219"/>
      <c r="CB88" s="219"/>
      <c r="CC88" s="219"/>
      <c r="CD88" s="219"/>
      <c r="CE88" s="219"/>
      <c r="CF88" s="219"/>
      <c r="CG88" s="219"/>
      <c r="CH88" s="219"/>
      <c r="CI88" s="219"/>
      <c r="CJ88" s="219"/>
      <c r="CK88" s="219"/>
      <c r="CL88" s="219"/>
      <c r="CM88" s="219"/>
      <c r="CN88" s="219"/>
      <c r="CO88" s="219"/>
      <c r="CP88" s="219"/>
      <c r="CQ88" s="219"/>
      <c r="CR88" s="219"/>
      <c r="CS88" s="219"/>
      <c r="CT88" s="219"/>
      <c r="CU88" s="219"/>
      <c r="CV88" s="219"/>
      <c r="CW88" s="219"/>
      <c r="CX88" s="219"/>
      <c r="CY88" s="219"/>
      <c r="CZ88" s="219"/>
      <c r="DA88" s="219"/>
      <c r="DB88" s="219"/>
      <c r="DC88" s="219"/>
      <c r="DD88" s="219"/>
      <c r="DE88" s="219"/>
      <c r="DF88" s="219"/>
      <c r="DG88" s="219"/>
      <c r="DH88" s="219"/>
      <c r="DI88" s="219"/>
      <c r="DJ88" s="219"/>
      <c r="DK88" s="219"/>
      <c r="DL88" s="219"/>
      <c r="DM88" s="219"/>
      <c r="DN88" s="219"/>
      <c r="DO88" s="219"/>
      <c r="DP88" s="219"/>
      <c r="DQ88" s="219"/>
      <c r="DR88" s="219"/>
      <c r="DS88" s="219"/>
      <c r="DT88" s="219"/>
      <c r="DU88" s="219"/>
      <c r="DV88" s="219"/>
      <c r="DW88" s="219"/>
      <c r="DX88" s="219"/>
      <c r="DY88" s="219"/>
      <c r="DZ88" s="219"/>
      <c r="EA88" s="219"/>
      <c r="EB88" s="219"/>
      <c r="EC88" s="219"/>
      <c r="ED88" s="219"/>
      <c r="EE88" s="219"/>
      <c r="EF88" s="219"/>
      <c r="EG88" s="219"/>
      <c r="EH88" s="219"/>
      <c r="EI88" s="219"/>
      <c r="EJ88" s="219"/>
      <c r="EK88" s="219"/>
      <c r="EL88" s="219"/>
      <c r="EM88" s="219"/>
      <c r="EN88" s="219"/>
      <c r="EO88" s="219"/>
      <c r="EP88" s="219"/>
      <c r="EQ88" s="219"/>
      <c r="ER88" s="219"/>
      <c r="ES88" s="219"/>
      <c r="ET88" s="219"/>
      <c r="EU88" s="219"/>
      <c r="EV88" s="219"/>
      <c r="EW88" s="219"/>
      <c r="EX88" s="219"/>
      <c r="EY88" s="219"/>
      <c r="EZ88" s="219"/>
      <c r="FA88" s="219"/>
      <c r="FB88" s="219"/>
      <c r="FC88" s="219"/>
      <c r="FD88" s="219"/>
      <c r="FE88" s="219"/>
      <c r="FF88" s="219"/>
      <c r="FG88" s="219"/>
      <c r="FH88" s="219"/>
      <c r="FI88" s="219"/>
      <c r="FJ88" s="219"/>
      <c r="FK88" s="219"/>
      <c r="FL88" s="219"/>
      <c r="FM88" s="219"/>
      <c r="FN88" s="219"/>
      <c r="FO88" s="219"/>
      <c r="FP88" s="219"/>
      <c r="FQ88" s="219"/>
      <c r="FR88" s="219"/>
      <c r="FS88" s="219"/>
      <c r="FT88" s="219"/>
      <c r="FU88" s="219"/>
      <c r="FV88" s="219"/>
      <c r="FW88" s="219"/>
      <c r="FX88" s="219"/>
      <c r="FY88" s="219"/>
      <c r="FZ88" s="219"/>
      <c r="GA88" s="219"/>
      <c r="GB88" s="2"/>
      <c r="GC88" s="2"/>
      <c r="GD88" s="219"/>
      <c r="GE88" s="219"/>
      <c r="GF88" s="219"/>
      <c r="GG88" s="219"/>
      <c r="GH88" s="219"/>
      <c r="GI88" s="219"/>
      <c r="GJ88" s="219"/>
      <c r="GK88" s="219"/>
      <c r="GL88" s="219"/>
      <c r="GM88" s="219"/>
    </row>
    <row r="89" spans="1:195" ht="6.95" customHeight="1" x14ac:dyDescent="0.15">
      <c r="A89" s="1"/>
      <c r="B89" s="1"/>
      <c r="C89" s="1"/>
      <c r="D89" s="1"/>
      <c r="E89" s="1"/>
      <c r="F89" s="112"/>
      <c r="G89" s="112"/>
      <c r="H89" s="112"/>
      <c r="I89" s="112"/>
      <c r="J89" s="112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220">
        <f>F89*Y89</f>
        <v>0</v>
      </c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219"/>
      <c r="BG89" s="219"/>
      <c r="BH89" s="219"/>
      <c r="BI89" s="219"/>
      <c r="BJ89" s="219"/>
      <c r="BK89" s="219"/>
      <c r="BL89" s="219"/>
      <c r="BM89" s="219"/>
      <c r="BN89" s="219"/>
      <c r="BO89" s="219"/>
      <c r="BP89" s="219"/>
      <c r="BQ89" s="219"/>
      <c r="BR89" s="219"/>
      <c r="BS89" s="219"/>
      <c r="BT89" s="219"/>
      <c r="BU89" s="219"/>
      <c r="BV89" s="219"/>
      <c r="BW89" s="219"/>
      <c r="BX89" s="219"/>
      <c r="BY89" s="219"/>
      <c r="BZ89" s="219"/>
      <c r="CA89" s="219"/>
      <c r="CB89" s="219"/>
      <c r="CC89" s="219"/>
      <c r="CD89" s="219"/>
      <c r="CE89" s="219"/>
      <c r="CF89" s="219"/>
      <c r="CG89" s="219"/>
      <c r="CH89" s="219"/>
      <c r="CI89" s="219"/>
      <c r="CJ89" s="219"/>
      <c r="CK89" s="219"/>
      <c r="CL89" s="219"/>
      <c r="CM89" s="219"/>
      <c r="CN89" s="219"/>
      <c r="CO89" s="219"/>
      <c r="CP89" s="219"/>
      <c r="CQ89" s="219"/>
      <c r="CR89" s="219"/>
      <c r="CS89" s="219"/>
      <c r="CT89" s="219"/>
      <c r="CU89" s="219"/>
      <c r="CV89" s="219"/>
      <c r="CW89" s="219"/>
      <c r="CX89" s="219"/>
      <c r="CY89" s="219"/>
      <c r="CZ89" s="219"/>
      <c r="DA89" s="219"/>
      <c r="DB89" s="219"/>
      <c r="DC89" s="219"/>
      <c r="DD89" s="219"/>
      <c r="DE89" s="219"/>
      <c r="DF89" s="219"/>
      <c r="DG89" s="219"/>
      <c r="DH89" s="219"/>
      <c r="DI89" s="219"/>
      <c r="DJ89" s="219"/>
      <c r="DK89" s="219"/>
      <c r="DL89" s="219"/>
      <c r="DM89" s="219"/>
      <c r="DN89" s="219"/>
      <c r="DO89" s="219"/>
      <c r="DP89" s="219"/>
      <c r="DQ89" s="219"/>
      <c r="DR89" s="219"/>
      <c r="DS89" s="219"/>
      <c r="DT89" s="219"/>
      <c r="DU89" s="219"/>
      <c r="DV89" s="219"/>
      <c r="DW89" s="219"/>
      <c r="DX89" s="219"/>
      <c r="DY89" s="219"/>
      <c r="DZ89" s="219"/>
      <c r="EA89" s="219"/>
      <c r="EB89" s="219"/>
      <c r="EC89" s="219"/>
      <c r="ED89" s="219"/>
      <c r="EE89" s="219"/>
      <c r="EF89" s="219"/>
      <c r="EG89" s="219"/>
      <c r="EH89" s="219"/>
      <c r="EI89" s="219"/>
      <c r="EJ89" s="219"/>
      <c r="EK89" s="219"/>
      <c r="EL89" s="219"/>
      <c r="EM89" s="219"/>
      <c r="EN89" s="219"/>
      <c r="EO89" s="219"/>
      <c r="EP89" s="219"/>
      <c r="EQ89" s="219"/>
      <c r="ER89" s="219"/>
      <c r="ES89" s="219"/>
      <c r="ET89" s="219"/>
      <c r="EU89" s="219"/>
      <c r="EV89" s="219"/>
      <c r="EW89" s="219"/>
      <c r="EX89" s="219"/>
      <c r="EY89" s="219"/>
      <c r="EZ89" s="219"/>
      <c r="FA89" s="219"/>
      <c r="FB89" s="219"/>
      <c r="FC89" s="219"/>
      <c r="FD89" s="219"/>
      <c r="FE89" s="219"/>
      <c r="FF89" s="219"/>
      <c r="FG89" s="219"/>
      <c r="FH89" s="219"/>
      <c r="FI89" s="219"/>
      <c r="FJ89" s="219"/>
      <c r="FK89" s="219"/>
      <c r="FL89" s="219"/>
      <c r="FM89" s="219"/>
      <c r="FN89" s="219"/>
      <c r="FO89" s="219"/>
      <c r="FP89" s="219"/>
      <c r="FQ89" s="219"/>
      <c r="FR89" s="219"/>
      <c r="FS89" s="219"/>
      <c r="FT89" s="219"/>
      <c r="FU89" s="219"/>
      <c r="FV89" s="219"/>
      <c r="FW89" s="219"/>
      <c r="FX89" s="219"/>
      <c r="FY89" s="219"/>
      <c r="FZ89" s="219"/>
      <c r="GA89" s="219"/>
      <c r="GB89" s="2"/>
      <c r="GC89" s="2"/>
      <c r="GD89" s="219"/>
      <c r="GE89" s="219"/>
      <c r="GF89" s="219"/>
      <c r="GG89" s="219"/>
      <c r="GH89" s="219"/>
      <c r="GI89" s="219"/>
      <c r="GJ89" s="219"/>
      <c r="GK89" s="219"/>
      <c r="GL89" s="219"/>
      <c r="GM89" s="219"/>
    </row>
    <row r="90" spans="1:195" ht="6.95" customHeight="1" x14ac:dyDescent="0.15">
      <c r="A90" s="1"/>
      <c r="B90" s="1"/>
      <c r="C90" s="1"/>
      <c r="D90" s="1"/>
      <c r="E90" s="1"/>
      <c r="F90" s="112"/>
      <c r="G90" s="112"/>
      <c r="H90" s="112"/>
      <c r="I90" s="112"/>
      <c r="J90" s="112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220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219"/>
      <c r="BG90" s="219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19"/>
      <c r="BV90" s="219"/>
      <c r="BW90" s="219"/>
      <c r="BX90" s="219"/>
      <c r="BY90" s="219"/>
      <c r="BZ90" s="219"/>
      <c r="CA90" s="219"/>
      <c r="CB90" s="219"/>
      <c r="CC90" s="219"/>
      <c r="CD90" s="219"/>
      <c r="CE90" s="219"/>
      <c r="CF90" s="219"/>
      <c r="CG90" s="219"/>
      <c r="CH90" s="219"/>
      <c r="CI90" s="219"/>
      <c r="CJ90" s="219"/>
      <c r="CK90" s="219"/>
      <c r="CL90" s="219"/>
      <c r="CM90" s="219"/>
      <c r="CN90" s="219"/>
      <c r="CO90" s="219"/>
      <c r="CP90" s="219"/>
      <c r="CQ90" s="219"/>
      <c r="CR90" s="219"/>
      <c r="CS90" s="219"/>
      <c r="CT90" s="219"/>
      <c r="CU90" s="219"/>
      <c r="CV90" s="219"/>
      <c r="CW90" s="219"/>
      <c r="CX90" s="219"/>
      <c r="CY90" s="219"/>
      <c r="CZ90" s="219"/>
      <c r="DA90" s="219"/>
      <c r="DB90" s="219"/>
      <c r="DC90" s="219"/>
      <c r="DD90" s="219"/>
      <c r="DE90" s="219"/>
      <c r="DF90" s="219"/>
      <c r="DG90" s="219"/>
      <c r="DH90" s="219"/>
      <c r="DI90" s="219"/>
      <c r="DJ90" s="219"/>
      <c r="DK90" s="219"/>
      <c r="DL90" s="219"/>
      <c r="DM90" s="219"/>
      <c r="DN90" s="219"/>
      <c r="DO90" s="219"/>
      <c r="DP90" s="219"/>
      <c r="DQ90" s="219"/>
      <c r="DR90" s="219"/>
      <c r="DS90" s="219"/>
      <c r="DT90" s="219"/>
      <c r="DU90" s="219"/>
      <c r="DV90" s="219"/>
      <c r="DW90" s="219"/>
      <c r="DX90" s="219"/>
      <c r="DY90" s="219"/>
      <c r="DZ90" s="219"/>
      <c r="EA90" s="219"/>
      <c r="EB90" s="219"/>
      <c r="EC90" s="219"/>
      <c r="ED90" s="219"/>
      <c r="EE90" s="219"/>
      <c r="EF90" s="219"/>
      <c r="EG90" s="219"/>
      <c r="EH90" s="219"/>
      <c r="EI90" s="219"/>
      <c r="EJ90" s="219"/>
      <c r="EK90" s="219"/>
      <c r="EL90" s="219"/>
      <c r="EM90" s="219"/>
      <c r="EN90" s="219"/>
      <c r="EO90" s="219"/>
      <c r="EP90" s="219"/>
      <c r="EQ90" s="219"/>
      <c r="ER90" s="219"/>
      <c r="ES90" s="219"/>
      <c r="ET90" s="219"/>
      <c r="EU90" s="219"/>
      <c r="EV90" s="219"/>
      <c r="EW90" s="219"/>
      <c r="EX90" s="219"/>
      <c r="EY90" s="219"/>
      <c r="EZ90" s="219"/>
      <c r="FA90" s="219"/>
      <c r="FB90" s="219"/>
      <c r="FC90" s="219"/>
      <c r="FD90" s="219"/>
      <c r="FE90" s="219"/>
      <c r="FF90" s="219"/>
      <c r="FG90" s="219"/>
      <c r="FH90" s="219"/>
      <c r="FI90" s="219"/>
      <c r="FJ90" s="219"/>
      <c r="FK90" s="219"/>
      <c r="FL90" s="219"/>
      <c r="FM90" s="219"/>
      <c r="FN90" s="219"/>
      <c r="FO90" s="219"/>
      <c r="FP90" s="219"/>
      <c r="FQ90" s="219"/>
      <c r="FR90" s="219"/>
      <c r="FS90" s="219"/>
      <c r="FT90" s="219"/>
      <c r="FU90" s="219"/>
      <c r="FV90" s="219"/>
      <c r="FW90" s="219"/>
      <c r="FX90" s="219"/>
      <c r="FY90" s="219"/>
      <c r="FZ90" s="219"/>
      <c r="GA90" s="219"/>
      <c r="GB90" s="2"/>
      <c r="GC90" s="2"/>
      <c r="GD90" s="219"/>
      <c r="GE90" s="219"/>
      <c r="GF90" s="219"/>
      <c r="GG90" s="219"/>
      <c r="GH90" s="219"/>
      <c r="GI90" s="219"/>
      <c r="GJ90" s="219"/>
      <c r="GK90" s="219"/>
      <c r="GL90" s="219"/>
      <c r="GM90" s="219"/>
    </row>
    <row r="91" spans="1:195" ht="6.95" customHeight="1" x14ac:dyDescent="0.15">
      <c r="A91" s="1"/>
      <c r="B91" s="1"/>
      <c r="C91" s="1"/>
      <c r="D91" s="1"/>
      <c r="E91" s="1"/>
      <c r="F91" s="112"/>
      <c r="G91" s="112"/>
      <c r="H91" s="112"/>
      <c r="I91" s="112"/>
      <c r="J91" s="112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220">
        <f>F89*Y91</f>
        <v>0</v>
      </c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219"/>
      <c r="BG91" s="219"/>
      <c r="BH91" s="219"/>
      <c r="BI91" s="219"/>
      <c r="BJ91" s="219"/>
      <c r="BK91" s="219"/>
      <c r="BL91" s="219"/>
      <c r="BM91" s="219"/>
      <c r="BN91" s="219"/>
      <c r="BO91" s="219"/>
      <c r="BP91" s="219"/>
      <c r="BQ91" s="219"/>
      <c r="BR91" s="219"/>
      <c r="BS91" s="219"/>
      <c r="BT91" s="219"/>
      <c r="BU91" s="219"/>
      <c r="BV91" s="219"/>
      <c r="BW91" s="219"/>
      <c r="BX91" s="219"/>
      <c r="BY91" s="219"/>
      <c r="BZ91" s="219"/>
      <c r="CA91" s="219"/>
      <c r="CB91" s="219"/>
      <c r="CC91" s="219"/>
      <c r="CD91" s="219"/>
      <c r="CE91" s="219"/>
      <c r="CF91" s="219"/>
      <c r="CG91" s="219"/>
      <c r="CH91" s="219"/>
      <c r="CI91" s="219"/>
      <c r="CJ91" s="219"/>
      <c r="CK91" s="219"/>
      <c r="CL91" s="219"/>
      <c r="CM91" s="219"/>
      <c r="CN91" s="219"/>
      <c r="CO91" s="219"/>
      <c r="CP91" s="219"/>
      <c r="CQ91" s="219"/>
      <c r="CR91" s="219"/>
      <c r="CS91" s="219"/>
      <c r="CT91" s="219"/>
      <c r="CU91" s="219"/>
      <c r="CV91" s="219"/>
      <c r="CW91" s="219"/>
      <c r="CX91" s="219"/>
      <c r="CY91" s="219"/>
      <c r="CZ91" s="219"/>
      <c r="DA91" s="219"/>
      <c r="DB91" s="219"/>
      <c r="DC91" s="219"/>
      <c r="DD91" s="219"/>
      <c r="DE91" s="219"/>
      <c r="DF91" s="219"/>
      <c r="DG91" s="219"/>
      <c r="DH91" s="219"/>
      <c r="DI91" s="219"/>
      <c r="DJ91" s="219"/>
      <c r="DK91" s="219"/>
      <c r="DL91" s="219"/>
      <c r="DM91" s="219"/>
      <c r="DN91" s="219"/>
      <c r="DO91" s="219"/>
      <c r="DP91" s="219"/>
      <c r="DQ91" s="219"/>
      <c r="DR91" s="219"/>
      <c r="DS91" s="219"/>
      <c r="DT91" s="219"/>
      <c r="DU91" s="219"/>
      <c r="DV91" s="219"/>
      <c r="DW91" s="219"/>
      <c r="DX91" s="219"/>
      <c r="DY91" s="219"/>
      <c r="DZ91" s="219"/>
      <c r="EA91" s="219"/>
      <c r="EB91" s="219"/>
      <c r="EC91" s="219"/>
      <c r="ED91" s="219"/>
      <c r="EE91" s="219"/>
      <c r="EF91" s="219"/>
      <c r="EG91" s="219"/>
      <c r="EH91" s="219"/>
      <c r="EI91" s="219"/>
      <c r="EJ91" s="219"/>
      <c r="EK91" s="219"/>
      <c r="EL91" s="219"/>
      <c r="EM91" s="219"/>
      <c r="EN91" s="219"/>
      <c r="EO91" s="219"/>
      <c r="EP91" s="219"/>
      <c r="EQ91" s="219"/>
      <c r="ER91" s="219"/>
      <c r="ES91" s="219"/>
      <c r="ET91" s="219"/>
      <c r="EU91" s="219"/>
      <c r="EV91" s="219"/>
      <c r="EW91" s="219"/>
      <c r="EX91" s="219"/>
      <c r="EY91" s="219"/>
      <c r="EZ91" s="219"/>
      <c r="FA91" s="219"/>
      <c r="FB91" s="219"/>
      <c r="FC91" s="219"/>
      <c r="FD91" s="219"/>
      <c r="FE91" s="219"/>
      <c r="FF91" s="219"/>
      <c r="FG91" s="219"/>
      <c r="FH91" s="219"/>
      <c r="FI91" s="219"/>
      <c r="FJ91" s="219"/>
      <c r="FK91" s="219"/>
      <c r="FL91" s="219"/>
      <c r="FM91" s="219"/>
      <c r="FN91" s="219"/>
      <c r="FO91" s="219"/>
      <c r="FP91" s="219"/>
      <c r="FQ91" s="219"/>
      <c r="FR91" s="219"/>
      <c r="FS91" s="219"/>
      <c r="FT91" s="219"/>
      <c r="FU91" s="219"/>
      <c r="FV91" s="219"/>
      <c r="FW91" s="219"/>
      <c r="FX91" s="219"/>
      <c r="FY91" s="219"/>
      <c r="FZ91" s="219"/>
      <c r="GA91" s="219"/>
      <c r="GB91" s="2"/>
      <c r="GC91" s="2"/>
      <c r="GD91" s="219"/>
      <c r="GE91" s="219"/>
      <c r="GF91" s="219"/>
      <c r="GG91" s="219"/>
      <c r="GH91" s="219"/>
      <c r="GI91" s="219"/>
      <c r="GJ91" s="219"/>
      <c r="GK91" s="219"/>
      <c r="GL91" s="219"/>
      <c r="GM91" s="219"/>
    </row>
    <row r="92" spans="1:195" ht="6.95" customHeight="1" x14ac:dyDescent="0.15">
      <c r="A92" s="1"/>
      <c r="B92" s="1"/>
      <c r="C92" s="1"/>
      <c r="D92" s="1"/>
      <c r="E92" s="1"/>
      <c r="F92" s="112"/>
      <c r="G92" s="112"/>
      <c r="H92" s="112"/>
      <c r="I92" s="112"/>
      <c r="J92" s="112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220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219"/>
      <c r="BG92" s="219"/>
      <c r="BH92" s="219"/>
      <c r="BI92" s="219"/>
      <c r="BJ92" s="219"/>
      <c r="BK92" s="219"/>
      <c r="BL92" s="219"/>
      <c r="BM92" s="219"/>
      <c r="BN92" s="219"/>
      <c r="BO92" s="219"/>
      <c r="BP92" s="219"/>
      <c r="BQ92" s="219"/>
      <c r="BR92" s="219"/>
      <c r="BS92" s="219"/>
      <c r="BT92" s="219"/>
      <c r="BU92" s="219"/>
      <c r="BV92" s="219"/>
      <c r="BW92" s="219"/>
      <c r="BX92" s="219"/>
      <c r="BY92" s="219"/>
      <c r="BZ92" s="219"/>
      <c r="CA92" s="219"/>
      <c r="CB92" s="219"/>
      <c r="CC92" s="219"/>
      <c r="CD92" s="219"/>
      <c r="CE92" s="219"/>
      <c r="CF92" s="219"/>
      <c r="CG92" s="219"/>
      <c r="CH92" s="219"/>
      <c r="CI92" s="219"/>
      <c r="CJ92" s="219"/>
      <c r="CK92" s="219"/>
      <c r="CL92" s="219"/>
      <c r="CM92" s="219"/>
      <c r="CN92" s="219"/>
      <c r="CO92" s="219"/>
      <c r="CP92" s="219"/>
      <c r="CQ92" s="219"/>
      <c r="CR92" s="219"/>
      <c r="CS92" s="219"/>
      <c r="CT92" s="219"/>
      <c r="CU92" s="219"/>
      <c r="CV92" s="219"/>
      <c r="CW92" s="219"/>
      <c r="CX92" s="219"/>
      <c r="CY92" s="219"/>
      <c r="CZ92" s="219"/>
      <c r="DA92" s="219"/>
      <c r="DB92" s="219"/>
      <c r="DC92" s="219"/>
      <c r="DD92" s="219"/>
      <c r="DE92" s="219"/>
      <c r="DF92" s="219"/>
      <c r="DG92" s="219"/>
      <c r="DH92" s="219"/>
      <c r="DI92" s="219"/>
      <c r="DJ92" s="219"/>
      <c r="DK92" s="219"/>
      <c r="DL92" s="219"/>
      <c r="DM92" s="219"/>
      <c r="DN92" s="219"/>
      <c r="DO92" s="219"/>
      <c r="DP92" s="219"/>
      <c r="DQ92" s="219"/>
      <c r="DR92" s="219"/>
      <c r="DS92" s="219"/>
      <c r="DT92" s="219"/>
      <c r="DU92" s="219"/>
      <c r="DV92" s="219"/>
      <c r="DW92" s="219"/>
      <c r="DX92" s="219"/>
      <c r="DY92" s="219"/>
      <c r="DZ92" s="219"/>
      <c r="EA92" s="219"/>
      <c r="EB92" s="219"/>
      <c r="EC92" s="219"/>
      <c r="ED92" s="219"/>
      <c r="EE92" s="219"/>
      <c r="EF92" s="219"/>
      <c r="EG92" s="219"/>
      <c r="EH92" s="219"/>
      <c r="EI92" s="219"/>
      <c r="EJ92" s="219"/>
      <c r="EK92" s="219"/>
      <c r="EL92" s="219"/>
      <c r="EM92" s="219"/>
      <c r="EN92" s="219"/>
      <c r="EO92" s="219"/>
      <c r="EP92" s="219"/>
      <c r="EQ92" s="219"/>
      <c r="ER92" s="219"/>
      <c r="ES92" s="219"/>
      <c r="ET92" s="219"/>
      <c r="EU92" s="219"/>
      <c r="EV92" s="219"/>
      <c r="EW92" s="219"/>
      <c r="EX92" s="219"/>
      <c r="EY92" s="219"/>
      <c r="EZ92" s="219"/>
      <c r="FA92" s="219"/>
      <c r="FB92" s="219"/>
      <c r="FC92" s="219"/>
      <c r="FD92" s="219"/>
      <c r="FE92" s="219"/>
      <c r="FF92" s="219"/>
      <c r="FG92" s="219"/>
      <c r="FH92" s="219"/>
      <c r="FI92" s="219"/>
      <c r="FJ92" s="219"/>
      <c r="FK92" s="219"/>
      <c r="FL92" s="219"/>
      <c r="FM92" s="219"/>
      <c r="FN92" s="219"/>
      <c r="FO92" s="219"/>
      <c r="FP92" s="219"/>
      <c r="FQ92" s="219"/>
      <c r="FR92" s="219"/>
      <c r="FS92" s="219"/>
      <c r="FT92" s="219"/>
      <c r="FU92" s="219"/>
      <c r="FV92" s="219"/>
      <c r="FW92" s="219"/>
      <c r="FX92" s="219"/>
      <c r="FY92" s="219"/>
      <c r="FZ92" s="219"/>
      <c r="GA92" s="219"/>
      <c r="GB92" s="2"/>
      <c r="GC92" s="2"/>
      <c r="GD92" s="219"/>
      <c r="GE92" s="219"/>
      <c r="GF92" s="219"/>
      <c r="GG92" s="219"/>
      <c r="GH92" s="219"/>
      <c r="GI92" s="219"/>
      <c r="GJ92" s="219"/>
      <c r="GK92" s="219"/>
      <c r="GL92" s="219"/>
      <c r="GM92" s="219"/>
    </row>
    <row r="93" spans="1:195" ht="6.95" customHeight="1" x14ac:dyDescent="0.15">
      <c r="A93" s="1"/>
      <c r="B93" s="1"/>
      <c r="C93" s="1"/>
      <c r="D93" s="1"/>
      <c r="E93" s="1"/>
      <c r="F93" s="113"/>
      <c r="G93" s="113"/>
      <c r="H93" s="113"/>
      <c r="I93" s="113"/>
      <c r="J93" s="113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220">
        <f>F89*Y93</f>
        <v>0</v>
      </c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219"/>
      <c r="BG93" s="219"/>
      <c r="BH93" s="219"/>
      <c r="BI93" s="219"/>
      <c r="BJ93" s="219"/>
      <c r="BK93" s="219"/>
      <c r="BL93" s="219"/>
      <c r="BM93" s="219"/>
      <c r="BN93" s="219"/>
      <c r="BO93" s="219"/>
      <c r="BP93" s="219"/>
      <c r="BQ93" s="219"/>
      <c r="BR93" s="219"/>
      <c r="BS93" s="219"/>
      <c r="BT93" s="219"/>
      <c r="BU93" s="219"/>
      <c r="BV93" s="219"/>
      <c r="BW93" s="219"/>
      <c r="BX93" s="219"/>
      <c r="BY93" s="219"/>
      <c r="BZ93" s="219"/>
      <c r="CA93" s="219"/>
      <c r="CB93" s="219"/>
      <c r="CC93" s="219"/>
      <c r="CD93" s="219"/>
      <c r="CE93" s="219"/>
      <c r="CF93" s="219"/>
      <c r="CG93" s="219"/>
      <c r="CH93" s="219"/>
      <c r="CI93" s="219"/>
      <c r="CJ93" s="219"/>
      <c r="CK93" s="219"/>
      <c r="CL93" s="219"/>
      <c r="CM93" s="219"/>
      <c r="CN93" s="219"/>
      <c r="CO93" s="219"/>
      <c r="CP93" s="219"/>
      <c r="CQ93" s="219"/>
      <c r="CR93" s="219"/>
      <c r="CS93" s="219"/>
      <c r="CT93" s="219"/>
      <c r="CU93" s="219"/>
      <c r="CV93" s="219"/>
      <c r="CW93" s="219"/>
      <c r="CX93" s="219"/>
      <c r="CY93" s="219"/>
      <c r="CZ93" s="219"/>
      <c r="DA93" s="219"/>
      <c r="DB93" s="219"/>
      <c r="DC93" s="219"/>
      <c r="DD93" s="219"/>
      <c r="DE93" s="219"/>
      <c r="DF93" s="219"/>
      <c r="DG93" s="219"/>
      <c r="DH93" s="219"/>
      <c r="DI93" s="219"/>
      <c r="DJ93" s="219"/>
      <c r="DK93" s="219"/>
      <c r="DL93" s="219"/>
      <c r="DM93" s="219"/>
      <c r="DN93" s="219"/>
      <c r="DO93" s="219"/>
      <c r="DP93" s="219"/>
      <c r="DQ93" s="219"/>
      <c r="DR93" s="219"/>
      <c r="DS93" s="219"/>
      <c r="DT93" s="219"/>
      <c r="DU93" s="219"/>
      <c r="DV93" s="219"/>
      <c r="DW93" s="219"/>
      <c r="DX93" s="219"/>
      <c r="DY93" s="219"/>
      <c r="DZ93" s="219"/>
      <c r="EA93" s="219"/>
      <c r="EB93" s="219"/>
      <c r="EC93" s="219"/>
      <c r="ED93" s="219"/>
      <c r="EE93" s="219"/>
      <c r="EF93" s="219"/>
      <c r="EG93" s="219"/>
      <c r="EH93" s="219"/>
      <c r="EI93" s="219"/>
      <c r="EJ93" s="219"/>
      <c r="EK93" s="219"/>
      <c r="EL93" s="219"/>
      <c r="EM93" s="219"/>
      <c r="EN93" s="219"/>
      <c r="EO93" s="219"/>
      <c r="EP93" s="219"/>
      <c r="EQ93" s="219"/>
      <c r="ER93" s="219"/>
      <c r="ES93" s="219"/>
      <c r="ET93" s="219"/>
      <c r="EU93" s="219"/>
      <c r="EV93" s="219"/>
      <c r="EW93" s="219"/>
      <c r="EX93" s="219"/>
      <c r="EY93" s="219"/>
      <c r="EZ93" s="219"/>
      <c r="FA93" s="219"/>
      <c r="FB93" s="219"/>
      <c r="FC93" s="219"/>
      <c r="FD93" s="219"/>
      <c r="FE93" s="219"/>
      <c r="FF93" s="219"/>
      <c r="FG93" s="219"/>
      <c r="FH93" s="219"/>
      <c r="FI93" s="219"/>
      <c r="FJ93" s="219"/>
      <c r="FK93" s="219"/>
      <c r="FL93" s="219"/>
      <c r="FM93" s="219"/>
      <c r="FN93" s="219"/>
      <c r="FO93" s="219"/>
      <c r="FP93" s="219"/>
      <c r="FQ93" s="219"/>
      <c r="FR93" s="219"/>
      <c r="FS93" s="219"/>
      <c r="FT93" s="219"/>
      <c r="FU93" s="219"/>
      <c r="FV93" s="219"/>
      <c r="FW93" s="219"/>
      <c r="FX93" s="219"/>
      <c r="FY93" s="219"/>
      <c r="FZ93" s="219"/>
      <c r="GA93" s="219"/>
      <c r="GB93" s="2"/>
      <c r="GC93" s="2"/>
      <c r="GD93" s="219"/>
      <c r="GE93" s="219"/>
      <c r="GF93" s="219"/>
      <c r="GG93" s="219"/>
      <c r="GH93" s="219"/>
      <c r="GI93" s="219"/>
      <c r="GJ93" s="219"/>
      <c r="GK93" s="219"/>
      <c r="GL93" s="219"/>
      <c r="GM93" s="219"/>
    </row>
    <row r="94" spans="1:195" ht="6.95" customHeight="1" x14ac:dyDescent="0.15">
      <c r="A94" s="1"/>
      <c r="B94" s="1"/>
      <c r="C94" s="1"/>
      <c r="D94" s="1"/>
      <c r="E94" s="1"/>
      <c r="F94" s="113"/>
      <c r="G94" s="113"/>
      <c r="H94" s="113"/>
      <c r="I94" s="113"/>
      <c r="J94" s="113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220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219"/>
      <c r="BG94" s="219"/>
      <c r="BH94" s="219"/>
      <c r="BI94" s="219"/>
      <c r="BJ94" s="219"/>
      <c r="BK94" s="219"/>
      <c r="BL94" s="219"/>
      <c r="BM94" s="219"/>
      <c r="BN94" s="219"/>
      <c r="BO94" s="219"/>
      <c r="BP94" s="219"/>
      <c r="BQ94" s="219"/>
      <c r="BR94" s="219"/>
      <c r="BS94" s="219"/>
      <c r="BT94" s="219"/>
      <c r="BU94" s="219"/>
      <c r="BV94" s="219"/>
      <c r="BW94" s="219"/>
      <c r="BX94" s="219"/>
      <c r="BY94" s="219"/>
      <c r="BZ94" s="219"/>
      <c r="CA94" s="219"/>
      <c r="CB94" s="219"/>
      <c r="CC94" s="219"/>
      <c r="CD94" s="219"/>
      <c r="CE94" s="219"/>
      <c r="CF94" s="219"/>
      <c r="CG94" s="219"/>
      <c r="CH94" s="219"/>
      <c r="CI94" s="219"/>
      <c r="CJ94" s="219"/>
      <c r="CK94" s="219"/>
      <c r="CL94" s="219"/>
      <c r="CM94" s="219"/>
      <c r="CN94" s="219"/>
      <c r="CO94" s="219"/>
      <c r="CP94" s="219"/>
      <c r="CQ94" s="219"/>
      <c r="CR94" s="219"/>
      <c r="CS94" s="219"/>
      <c r="CT94" s="219"/>
      <c r="CU94" s="219"/>
      <c r="CV94" s="219"/>
      <c r="CW94" s="219"/>
      <c r="CX94" s="219"/>
      <c r="CY94" s="219"/>
      <c r="CZ94" s="219"/>
      <c r="DA94" s="219"/>
      <c r="DB94" s="219"/>
      <c r="DC94" s="219"/>
      <c r="DD94" s="219"/>
      <c r="DE94" s="219"/>
      <c r="DF94" s="219"/>
      <c r="DG94" s="219"/>
      <c r="DH94" s="219"/>
      <c r="DI94" s="219"/>
      <c r="DJ94" s="219"/>
      <c r="DK94" s="219"/>
      <c r="DL94" s="219"/>
      <c r="DM94" s="219"/>
      <c r="DN94" s="219"/>
      <c r="DO94" s="219"/>
      <c r="DP94" s="219"/>
      <c r="DQ94" s="219"/>
      <c r="DR94" s="219"/>
      <c r="DS94" s="219"/>
      <c r="DT94" s="219"/>
      <c r="DU94" s="219"/>
      <c r="DV94" s="219"/>
      <c r="DW94" s="219"/>
      <c r="DX94" s="219"/>
      <c r="DY94" s="219"/>
      <c r="DZ94" s="219"/>
      <c r="EA94" s="219"/>
      <c r="EB94" s="219"/>
      <c r="EC94" s="219"/>
      <c r="ED94" s="219"/>
      <c r="EE94" s="219"/>
      <c r="EF94" s="219"/>
      <c r="EG94" s="219"/>
      <c r="EH94" s="219"/>
      <c r="EI94" s="219"/>
      <c r="EJ94" s="219"/>
      <c r="EK94" s="219"/>
      <c r="EL94" s="219"/>
      <c r="EM94" s="219"/>
      <c r="EN94" s="219"/>
      <c r="EO94" s="219"/>
      <c r="EP94" s="219"/>
      <c r="EQ94" s="219"/>
      <c r="ER94" s="219"/>
      <c r="ES94" s="219"/>
      <c r="ET94" s="219"/>
      <c r="EU94" s="219"/>
      <c r="EV94" s="219"/>
      <c r="EW94" s="219"/>
      <c r="EX94" s="219"/>
      <c r="EY94" s="219"/>
      <c r="EZ94" s="219"/>
      <c r="FA94" s="219"/>
      <c r="FB94" s="219"/>
      <c r="FC94" s="219"/>
      <c r="FD94" s="219"/>
      <c r="FE94" s="219"/>
      <c r="FF94" s="219"/>
      <c r="FG94" s="219"/>
      <c r="FH94" s="219"/>
      <c r="FI94" s="219"/>
      <c r="FJ94" s="219"/>
      <c r="FK94" s="219"/>
      <c r="FL94" s="219"/>
      <c r="FM94" s="219"/>
      <c r="FN94" s="219"/>
      <c r="FO94" s="219"/>
      <c r="FP94" s="219"/>
      <c r="FQ94" s="219"/>
      <c r="FR94" s="219"/>
      <c r="FS94" s="219"/>
      <c r="FT94" s="219"/>
      <c r="FU94" s="219"/>
      <c r="FV94" s="219"/>
      <c r="FW94" s="219"/>
      <c r="FX94" s="219"/>
      <c r="FY94" s="219"/>
      <c r="FZ94" s="219"/>
      <c r="GA94" s="219"/>
      <c r="GB94" s="2"/>
      <c r="GC94" s="2"/>
      <c r="GD94" s="219"/>
      <c r="GE94" s="219"/>
      <c r="GF94" s="219"/>
      <c r="GG94" s="219"/>
      <c r="GH94" s="219"/>
      <c r="GI94" s="219"/>
      <c r="GJ94" s="219"/>
      <c r="GK94" s="219"/>
      <c r="GL94" s="219"/>
      <c r="GM94" s="219"/>
    </row>
    <row r="95" spans="1:195" ht="6.95" customHeight="1" x14ac:dyDescent="0.1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219"/>
      <c r="BG95" s="219"/>
      <c r="BH95" s="219"/>
      <c r="BI95" s="219"/>
      <c r="BJ95" s="219"/>
      <c r="BK95" s="219"/>
      <c r="BL95" s="219"/>
      <c r="BM95" s="219"/>
      <c r="BN95" s="219"/>
      <c r="BO95" s="219"/>
      <c r="BP95" s="219"/>
      <c r="BQ95" s="219"/>
      <c r="BR95" s="219"/>
      <c r="BS95" s="219"/>
      <c r="BT95" s="219"/>
      <c r="BU95" s="219"/>
      <c r="BV95" s="219"/>
      <c r="BW95" s="219"/>
      <c r="BX95" s="219"/>
      <c r="BY95" s="219"/>
      <c r="BZ95" s="219"/>
      <c r="CA95" s="219"/>
      <c r="CB95" s="219"/>
      <c r="CC95" s="219"/>
      <c r="CD95" s="219"/>
      <c r="CE95" s="219"/>
      <c r="CF95" s="219"/>
      <c r="CG95" s="219"/>
      <c r="CH95" s="219"/>
      <c r="CI95" s="219"/>
      <c r="CJ95" s="219"/>
      <c r="CK95" s="219"/>
      <c r="CL95" s="219"/>
      <c r="CM95" s="219"/>
      <c r="CN95" s="219"/>
      <c r="CO95" s="219"/>
      <c r="CP95" s="219"/>
      <c r="CQ95" s="219"/>
      <c r="CR95" s="219"/>
      <c r="CS95" s="219"/>
      <c r="CT95" s="219"/>
      <c r="CU95" s="219"/>
      <c r="CV95" s="219"/>
      <c r="CW95" s="219"/>
      <c r="CX95" s="219"/>
      <c r="CY95" s="219"/>
      <c r="CZ95" s="219"/>
      <c r="DA95" s="219"/>
      <c r="DB95" s="219"/>
      <c r="DC95" s="219"/>
      <c r="DD95" s="219"/>
      <c r="DE95" s="219"/>
      <c r="DF95" s="219"/>
      <c r="DG95" s="219"/>
      <c r="DH95" s="219"/>
      <c r="DI95" s="219"/>
      <c r="DJ95" s="219"/>
      <c r="DK95" s="219"/>
      <c r="DL95" s="219"/>
      <c r="DM95" s="219"/>
      <c r="DN95" s="219"/>
      <c r="DO95" s="219"/>
      <c r="DP95" s="219"/>
      <c r="DQ95" s="219"/>
      <c r="DR95" s="219"/>
      <c r="DS95" s="219"/>
      <c r="DT95" s="219"/>
      <c r="DU95" s="219"/>
      <c r="DV95" s="219"/>
      <c r="DW95" s="219"/>
      <c r="DX95" s="219"/>
      <c r="DY95" s="219"/>
      <c r="DZ95" s="219"/>
      <c r="EA95" s="219"/>
      <c r="EB95" s="219"/>
      <c r="EC95" s="219"/>
      <c r="ED95" s="219"/>
      <c r="EE95" s="219"/>
      <c r="EF95" s="219"/>
      <c r="EG95" s="219"/>
      <c r="EH95" s="219"/>
      <c r="EI95" s="219"/>
      <c r="EJ95" s="219"/>
      <c r="EK95" s="219"/>
      <c r="EL95" s="219"/>
      <c r="EM95" s="219"/>
      <c r="EN95" s="219"/>
      <c r="EO95" s="219"/>
      <c r="EP95" s="219"/>
      <c r="EQ95" s="219"/>
      <c r="ER95" s="219"/>
      <c r="ES95" s="219"/>
      <c r="ET95" s="219"/>
      <c r="EU95" s="219"/>
      <c r="EV95" s="219"/>
      <c r="EW95" s="219"/>
      <c r="EX95" s="219"/>
      <c r="EY95" s="219"/>
      <c r="EZ95" s="219"/>
      <c r="FA95" s="219"/>
      <c r="FB95" s="219"/>
      <c r="FC95" s="219"/>
      <c r="FD95" s="219"/>
      <c r="FE95" s="219"/>
      <c r="FF95" s="219"/>
      <c r="FG95" s="219"/>
      <c r="FH95" s="219"/>
      <c r="FI95" s="219"/>
      <c r="FJ95" s="219"/>
      <c r="FK95" s="219"/>
      <c r="FL95" s="219"/>
      <c r="FM95" s="219"/>
      <c r="FN95" s="219"/>
      <c r="FO95" s="219"/>
      <c r="FP95" s="219"/>
      <c r="FQ95" s="219"/>
      <c r="FR95" s="219"/>
      <c r="FS95" s="219"/>
      <c r="FT95" s="219"/>
      <c r="FU95" s="219"/>
      <c r="FV95" s="219"/>
      <c r="FW95" s="219"/>
      <c r="FX95" s="219"/>
      <c r="FY95" s="219"/>
      <c r="FZ95" s="219"/>
      <c r="GA95" s="219"/>
      <c r="GB95" s="2"/>
      <c r="GC95" s="2"/>
      <c r="GD95" s="219"/>
      <c r="GE95" s="219"/>
      <c r="GF95" s="219"/>
      <c r="GG95" s="219"/>
      <c r="GH95" s="219"/>
      <c r="GI95" s="219"/>
      <c r="GJ95" s="219"/>
      <c r="GK95" s="219"/>
      <c r="GL95" s="219"/>
      <c r="GM95" s="219"/>
    </row>
    <row r="96" spans="1:195" ht="6.95" customHeight="1" x14ac:dyDescent="0.15">
      <c r="A96" s="1"/>
      <c r="B96" s="1"/>
      <c r="C96" s="1"/>
      <c r="D96" s="1"/>
      <c r="E96" s="1"/>
      <c r="F96" s="112"/>
      <c r="G96" s="112"/>
      <c r="H96" s="112"/>
      <c r="I96" s="112"/>
      <c r="J96" s="112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220">
        <f>F96*Y96</f>
        <v>0</v>
      </c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219"/>
      <c r="BG96" s="219"/>
      <c r="BH96" s="219"/>
      <c r="BI96" s="219"/>
      <c r="BJ96" s="219"/>
      <c r="BK96" s="219"/>
      <c r="BL96" s="219"/>
      <c r="BM96" s="219"/>
      <c r="BN96" s="219"/>
      <c r="BO96" s="219"/>
      <c r="BP96" s="219"/>
      <c r="BQ96" s="219"/>
      <c r="BR96" s="219"/>
      <c r="BS96" s="219"/>
      <c r="BT96" s="219"/>
      <c r="BU96" s="219"/>
      <c r="BV96" s="219"/>
      <c r="BW96" s="219"/>
      <c r="BX96" s="219"/>
      <c r="BY96" s="219"/>
      <c r="BZ96" s="219"/>
      <c r="CA96" s="219"/>
      <c r="CB96" s="219"/>
      <c r="CC96" s="219"/>
      <c r="CD96" s="219"/>
      <c r="CE96" s="219"/>
      <c r="CF96" s="219"/>
      <c r="CG96" s="219"/>
      <c r="CH96" s="219"/>
      <c r="CI96" s="219"/>
      <c r="CJ96" s="219"/>
      <c r="CK96" s="219"/>
      <c r="CL96" s="219"/>
      <c r="CM96" s="219"/>
      <c r="CN96" s="219"/>
      <c r="CO96" s="219"/>
      <c r="CP96" s="219"/>
      <c r="CQ96" s="219"/>
      <c r="CR96" s="219"/>
      <c r="CS96" s="219"/>
      <c r="CT96" s="219"/>
      <c r="CU96" s="219"/>
      <c r="CV96" s="219"/>
      <c r="CW96" s="219"/>
      <c r="CX96" s="219"/>
      <c r="CY96" s="219"/>
      <c r="CZ96" s="219"/>
      <c r="DA96" s="219"/>
      <c r="DB96" s="219"/>
      <c r="DC96" s="219"/>
      <c r="DD96" s="219"/>
      <c r="DE96" s="219"/>
      <c r="DF96" s="219"/>
      <c r="DG96" s="219"/>
      <c r="DH96" s="219"/>
      <c r="DI96" s="219"/>
      <c r="DJ96" s="219"/>
      <c r="DK96" s="219"/>
      <c r="DL96" s="219"/>
      <c r="DM96" s="219"/>
      <c r="DN96" s="219"/>
      <c r="DO96" s="219"/>
      <c r="DP96" s="219"/>
      <c r="DQ96" s="219"/>
      <c r="DR96" s="219"/>
      <c r="DS96" s="219"/>
      <c r="DT96" s="219"/>
      <c r="DU96" s="219"/>
      <c r="DV96" s="219"/>
      <c r="DW96" s="219"/>
      <c r="DX96" s="219"/>
      <c r="DY96" s="219"/>
      <c r="DZ96" s="219"/>
      <c r="EA96" s="219"/>
      <c r="EB96" s="219"/>
      <c r="EC96" s="219"/>
      <c r="ED96" s="219"/>
      <c r="EE96" s="219"/>
      <c r="EF96" s="219"/>
      <c r="EG96" s="219"/>
      <c r="EH96" s="219"/>
      <c r="EI96" s="219"/>
      <c r="EJ96" s="219"/>
      <c r="EK96" s="219"/>
      <c r="EL96" s="219"/>
      <c r="EM96" s="219"/>
      <c r="EN96" s="219"/>
      <c r="EO96" s="219"/>
      <c r="EP96" s="219"/>
      <c r="EQ96" s="219"/>
      <c r="ER96" s="219"/>
      <c r="ES96" s="219"/>
      <c r="ET96" s="219"/>
      <c r="EU96" s="219"/>
      <c r="EV96" s="219"/>
      <c r="EW96" s="219"/>
      <c r="EX96" s="219"/>
      <c r="EY96" s="219"/>
      <c r="EZ96" s="219"/>
      <c r="FA96" s="219"/>
      <c r="FB96" s="219"/>
      <c r="FC96" s="219"/>
      <c r="FD96" s="219"/>
      <c r="FE96" s="219"/>
      <c r="FF96" s="219"/>
      <c r="FG96" s="219"/>
      <c r="FH96" s="219"/>
      <c r="FI96" s="219"/>
      <c r="FJ96" s="219"/>
      <c r="FK96" s="219"/>
      <c r="FL96" s="219"/>
      <c r="FM96" s="219"/>
      <c r="FN96" s="219"/>
      <c r="FO96" s="219"/>
      <c r="FP96" s="219"/>
      <c r="FQ96" s="219"/>
      <c r="FR96" s="219"/>
      <c r="FS96" s="219"/>
      <c r="FT96" s="219"/>
      <c r="FU96" s="219"/>
      <c r="FV96" s="219"/>
      <c r="FW96" s="219"/>
      <c r="FX96" s="219"/>
      <c r="FY96" s="219"/>
      <c r="FZ96" s="219"/>
      <c r="GA96" s="219"/>
      <c r="GB96" s="2"/>
      <c r="GC96" s="2"/>
      <c r="GD96" s="219"/>
      <c r="GE96" s="219"/>
      <c r="GF96" s="219"/>
      <c r="GG96" s="219"/>
      <c r="GH96" s="219"/>
      <c r="GI96" s="219"/>
      <c r="GJ96" s="219"/>
      <c r="GK96" s="219"/>
      <c r="GL96" s="219"/>
      <c r="GM96" s="219"/>
    </row>
    <row r="97" spans="1:195" ht="6.95" customHeight="1" x14ac:dyDescent="0.15">
      <c r="A97" s="1"/>
      <c r="B97" s="1"/>
      <c r="C97" s="1"/>
      <c r="D97" s="1"/>
      <c r="E97" s="1"/>
      <c r="F97" s="112"/>
      <c r="G97" s="112"/>
      <c r="H97" s="112"/>
      <c r="I97" s="112"/>
      <c r="J97" s="112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220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219"/>
      <c r="BG97" s="219"/>
      <c r="BH97" s="219"/>
      <c r="BI97" s="219"/>
      <c r="BJ97" s="219"/>
      <c r="BK97" s="219"/>
      <c r="BL97" s="219"/>
      <c r="BM97" s="219"/>
      <c r="BN97" s="219"/>
      <c r="BO97" s="219"/>
      <c r="BP97" s="219"/>
      <c r="BQ97" s="219"/>
      <c r="BR97" s="219"/>
      <c r="BS97" s="219"/>
      <c r="BT97" s="219"/>
      <c r="BU97" s="219"/>
      <c r="BV97" s="219"/>
      <c r="BW97" s="219"/>
      <c r="BX97" s="219"/>
      <c r="BY97" s="219"/>
      <c r="BZ97" s="219"/>
      <c r="CA97" s="219"/>
      <c r="CB97" s="219"/>
      <c r="CC97" s="219"/>
      <c r="CD97" s="219"/>
      <c r="CE97" s="219"/>
      <c r="CF97" s="219"/>
      <c r="CG97" s="219"/>
      <c r="CH97" s="219"/>
      <c r="CI97" s="219"/>
      <c r="CJ97" s="219"/>
      <c r="CK97" s="219"/>
      <c r="CL97" s="219"/>
      <c r="CM97" s="219"/>
      <c r="CN97" s="219"/>
      <c r="CO97" s="219"/>
      <c r="CP97" s="219"/>
      <c r="CQ97" s="219"/>
      <c r="CR97" s="219"/>
      <c r="CS97" s="219"/>
      <c r="CT97" s="219"/>
      <c r="CU97" s="219"/>
      <c r="CV97" s="219"/>
      <c r="CW97" s="219"/>
      <c r="CX97" s="219"/>
      <c r="CY97" s="219"/>
      <c r="CZ97" s="219"/>
      <c r="DA97" s="219"/>
      <c r="DB97" s="219"/>
      <c r="DC97" s="219"/>
      <c r="DD97" s="219"/>
      <c r="DE97" s="219"/>
      <c r="DF97" s="219"/>
      <c r="DG97" s="219"/>
      <c r="DH97" s="219"/>
      <c r="DI97" s="219"/>
      <c r="DJ97" s="219"/>
      <c r="DK97" s="219"/>
      <c r="DL97" s="219"/>
      <c r="DM97" s="219"/>
      <c r="DN97" s="219"/>
      <c r="DO97" s="219"/>
      <c r="DP97" s="219"/>
      <c r="DQ97" s="219"/>
      <c r="DR97" s="219"/>
      <c r="DS97" s="219"/>
      <c r="DT97" s="219"/>
      <c r="DU97" s="219"/>
      <c r="DV97" s="219"/>
      <c r="DW97" s="219"/>
      <c r="DX97" s="219"/>
      <c r="DY97" s="219"/>
      <c r="DZ97" s="219"/>
      <c r="EA97" s="219"/>
      <c r="EB97" s="219"/>
      <c r="EC97" s="219"/>
      <c r="ED97" s="219"/>
      <c r="EE97" s="219"/>
      <c r="EF97" s="219"/>
      <c r="EG97" s="219"/>
      <c r="EH97" s="219"/>
      <c r="EI97" s="219"/>
      <c r="EJ97" s="219"/>
      <c r="EK97" s="219"/>
      <c r="EL97" s="219"/>
      <c r="EM97" s="219"/>
      <c r="EN97" s="219"/>
      <c r="EO97" s="219"/>
      <c r="EP97" s="219"/>
      <c r="EQ97" s="219"/>
      <c r="ER97" s="219"/>
      <c r="ES97" s="219"/>
      <c r="ET97" s="219"/>
      <c r="EU97" s="219"/>
      <c r="EV97" s="219"/>
      <c r="EW97" s="219"/>
      <c r="EX97" s="219"/>
      <c r="EY97" s="219"/>
      <c r="EZ97" s="219"/>
      <c r="FA97" s="219"/>
      <c r="FB97" s="219"/>
      <c r="FC97" s="219"/>
      <c r="FD97" s="219"/>
      <c r="FE97" s="219"/>
      <c r="FF97" s="219"/>
      <c r="FG97" s="219"/>
      <c r="FH97" s="219"/>
      <c r="FI97" s="219"/>
      <c r="FJ97" s="219"/>
      <c r="FK97" s="219"/>
      <c r="FL97" s="219"/>
      <c r="FM97" s="219"/>
      <c r="FN97" s="219"/>
      <c r="FO97" s="219"/>
      <c r="FP97" s="219"/>
      <c r="FQ97" s="219"/>
      <c r="FR97" s="219"/>
      <c r="FS97" s="219"/>
      <c r="FT97" s="219"/>
      <c r="FU97" s="219"/>
      <c r="FV97" s="219"/>
      <c r="FW97" s="219"/>
      <c r="FX97" s="219"/>
      <c r="FY97" s="219"/>
      <c r="FZ97" s="219"/>
      <c r="GA97" s="219"/>
      <c r="GB97" s="2"/>
      <c r="GC97" s="2"/>
      <c r="GD97" s="219"/>
      <c r="GE97" s="219"/>
      <c r="GF97" s="219"/>
      <c r="GG97" s="219"/>
      <c r="GH97" s="219"/>
      <c r="GI97" s="219"/>
      <c r="GJ97" s="219"/>
      <c r="GK97" s="219"/>
      <c r="GL97" s="219"/>
      <c r="GM97" s="219"/>
    </row>
    <row r="98" spans="1:195" ht="6.95" customHeight="1" x14ac:dyDescent="0.15">
      <c r="A98" s="1"/>
      <c r="B98" s="1"/>
      <c r="C98" s="1"/>
      <c r="D98" s="1"/>
      <c r="E98" s="1"/>
      <c r="F98" s="112"/>
      <c r="G98" s="112"/>
      <c r="H98" s="112"/>
      <c r="I98" s="112"/>
      <c r="J98" s="112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220">
        <f>F96*Y98</f>
        <v>0</v>
      </c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219"/>
      <c r="BG98" s="219"/>
      <c r="BH98" s="219"/>
      <c r="BI98" s="219"/>
      <c r="BJ98" s="219"/>
      <c r="BK98" s="219"/>
      <c r="BL98" s="219"/>
      <c r="BM98" s="219"/>
      <c r="BN98" s="219"/>
      <c r="BO98" s="219"/>
      <c r="BP98" s="219"/>
      <c r="BQ98" s="219"/>
      <c r="BR98" s="219"/>
      <c r="BS98" s="219"/>
      <c r="BT98" s="219"/>
      <c r="BU98" s="219"/>
      <c r="BV98" s="219"/>
      <c r="BW98" s="219"/>
      <c r="BX98" s="219"/>
      <c r="BY98" s="219"/>
      <c r="BZ98" s="219"/>
      <c r="CA98" s="219"/>
      <c r="CB98" s="219"/>
      <c r="CC98" s="219"/>
      <c r="CD98" s="219"/>
      <c r="CE98" s="219"/>
      <c r="CF98" s="219"/>
      <c r="CG98" s="219"/>
      <c r="CH98" s="219"/>
      <c r="CI98" s="219"/>
      <c r="CJ98" s="219"/>
      <c r="CK98" s="219"/>
      <c r="CL98" s="219"/>
      <c r="CM98" s="219"/>
      <c r="CN98" s="219"/>
      <c r="CO98" s="219"/>
      <c r="CP98" s="219"/>
      <c r="CQ98" s="219"/>
      <c r="CR98" s="219"/>
      <c r="CS98" s="219"/>
      <c r="CT98" s="219"/>
      <c r="CU98" s="219"/>
      <c r="CV98" s="219"/>
      <c r="CW98" s="219"/>
      <c r="CX98" s="219"/>
      <c r="CY98" s="219"/>
      <c r="CZ98" s="219"/>
      <c r="DA98" s="219"/>
      <c r="DB98" s="219"/>
      <c r="DC98" s="219"/>
      <c r="DD98" s="219"/>
      <c r="DE98" s="219"/>
      <c r="DF98" s="219"/>
      <c r="DG98" s="219"/>
      <c r="DH98" s="219"/>
      <c r="DI98" s="219"/>
      <c r="DJ98" s="219"/>
      <c r="DK98" s="219"/>
      <c r="DL98" s="219"/>
      <c r="DM98" s="219"/>
      <c r="DN98" s="219"/>
      <c r="DO98" s="219"/>
      <c r="DP98" s="219"/>
      <c r="DQ98" s="219"/>
      <c r="DR98" s="219"/>
      <c r="DS98" s="219"/>
      <c r="DT98" s="219"/>
      <c r="DU98" s="219"/>
      <c r="DV98" s="219"/>
      <c r="DW98" s="219"/>
      <c r="DX98" s="219"/>
      <c r="DY98" s="219"/>
      <c r="DZ98" s="219"/>
      <c r="EA98" s="219"/>
      <c r="EB98" s="219"/>
      <c r="EC98" s="219"/>
      <c r="ED98" s="219"/>
      <c r="EE98" s="219"/>
      <c r="EF98" s="219"/>
      <c r="EG98" s="219"/>
      <c r="EH98" s="219"/>
      <c r="EI98" s="219"/>
      <c r="EJ98" s="219"/>
      <c r="EK98" s="219"/>
      <c r="EL98" s="219"/>
      <c r="EM98" s="219"/>
      <c r="EN98" s="219"/>
      <c r="EO98" s="219"/>
      <c r="EP98" s="219"/>
      <c r="EQ98" s="219"/>
      <c r="ER98" s="219"/>
      <c r="ES98" s="219"/>
      <c r="ET98" s="219"/>
      <c r="EU98" s="219"/>
      <c r="EV98" s="219"/>
      <c r="EW98" s="219"/>
      <c r="EX98" s="219"/>
      <c r="EY98" s="219"/>
      <c r="EZ98" s="219"/>
      <c r="FA98" s="219"/>
      <c r="FB98" s="219"/>
      <c r="FC98" s="219"/>
      <c r="FD98" s="219"/>
      <c r="FE98" s="219"/>
      <c r="FF98" s="219"/>
      <c r="FG98" s="219"/>
      <c r="FH98" s="219"/>
      <c r="FI98" s="219"/>
      <c r="FJ98" s="219"/>
      <c r="FK98" s="219"/>
      <c r="FL98" s="219"/>
      <c r="FM98" s="219"/>
      <c r="FN98" s="219"/>
      <c r="FO98" s="219"/>
      <c r="FP98" s="219"/>
      <c r="FQ98" s="219"/>
      <c r="FR98" s="219"/>
      <c r="FS98" s="219"/>
      <c r="FT98" s="219"/>
      <c r="FU98" s="219"/>
      <c r="FV98" s="219"/>
      <c r="FW98" s="219"/>
      <c r="FX98" s="219"/>
      <c r="FY98" s="219"/>
      <c r="FZ98" s="219"/>
      <c r="GA98" s="219"/>
      <c r="GB98" s="2"/>
      <c r="GC98" s="2"/>
      <c r="GD98" s="219"/>
      <c r="GE98" s="219"/>
      <c r="GF98" s="219"/>
      <c r="GG98" s="219"/>
      <c r="GH98" s="219"/>
      <c r="GI98" s="219"/>
      <c r="GJ98" s="219"/>
      <c r="GK98" s="219"/>
      <c r="GL98" s="219"/>
      <c r="GM98" s="219"/>
    </row>
    <row r="99" spans="1:195" ht="6.95" customHeight="1" x14ac:dyDescent="0.15">
      <c r="A99" s="1"/>
      <c r="B99" s="1"/>
      <c r="C99" s="1"/>
      <c r="D99" s="1"/>
      <c r="E99" s="1"/>
      <c r="F99" s="112"/>
      <c r="G99" s="112"/>
      <c r="H99" s="112"/>
      <c r="I99" s="112"/>
      <c r="J99" s="112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220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219"/>
      <c r="BG99" s="219"/>
      <c r="BH99" s="219"/>
      <c r="BI99" s="219"/>
      <c r="BJ99" s="219"/>
      <c r="BK99" s="219"/>
      <c r="BL99" s="219"/>
      <c r="BM99" s="219"/>
      <c r="BN99" s="219"/>
      <c r="BO99" s="219"/>
      <c r="BP99" s="219"/>
      <c r="BQ99" s="219"/>
      <c r="BR99" s="219"/>
      <c r="BS99" s="219"/>
      <c r="BT99" s="219"/>
      <c r="BU99" s="219"/>
      <c r="BV99" s="219"/>
      <c r="BW99" s="219"/>
      <c r="BX99" s="219"/>
      <c r="BY99" s="219"/>
      <c r="BZ99" s="219"/>
      <c r="CA99" s="219"/>
      <c r="CB99" s="219"/>
      <c r="CC99" s="219"/>
      <c r="CD99" s="219"/>
      <c r="CE99" s="219"/>
      <c r="CF99" s="219"/>
      <c r="CG99" s="219"/>
      <c r="CH99" s="219"/>
      <c r="CI99" s="219"/>
      <c r="CJ99" s="219"/>
      <c r="CK99" s="219"/>
      <c r="CL99" s="219"/>
      <c r="CM99" s="219"/>
      <c r="CN99" s="219"/>
      <c r="CO99" s="219"/>
      <c r="CP99" s="219"/>
      <c r="CQ99" s="219"/>
      <c r="CR99" s="219"/>
      <c r="CS99" s="219"/>
      <c r="CT99" s="219"/>
      <c r="CU99" s="219"/>
      <c r="CV99" s="219"/>
      <c r="CW99" s="219"/>
      <c r="CX99" s="219"/>
      <c r="CY99" s="219"/>
      <c r="CZ99" s="219"/>
      <c r="DA99" s="219"/>
      <c r="DB99" s="219"/>
      <c r="DC99" s="219"/>
      <c r="DD99" s="219"/>
      <c r="DE99" s="219"/>
      <c r="DF99" s="219"/>
      <c r="DG99" s="219"/>
      <c r="DH99" s="219"/>
      <c r="DI99" s="219"/>
      <c r="DJ99" s="219"/>
      <c r="DK99" s="219"/>
      <c r="DL99" s="219"/>
      <c r="DM99" s="219"/>
      <c r="DN99" s="219"/>
      <c r="DO99" s="219"/>
      <c r="DP99" s="219"/>
      <c r="DQ99" s="219"/>
      <c r="DR99" s="219"/>
      <c r="DS99" s="219"/>
      <c r="DT99" s="219"/>
      <c r="DU99" s="219"/>
      <c r="DV99" s="219"/>
      <c r="DW99" s="219"/>
      <c r="DX99" s="219"/>
      <c r="DY99" s="219"/>
      <c r="DZ99" s="219"/>
      <c r="EA99" s="219"/>
      <c r="EB99" s="219"/>
      <c r="EC99" s="219"/>
      <c r="ED99" s="219"/>
      <c r="EE99" s="219"/>
      <c r="EF99" s="219"/>
      <c r="EG99" s="219"/>
      <c r="EH99" s="219"/>
      <c r="EI99" s="219"/>
      <c r="EJ99" s="219"/>
      <c r="EK99" s="219"/>
      <c r="EL99" s="219"/>
      <c r="EM99" s="219"/>
      <c r="EN99" s="219"/>
      <c r="EO99" s="219"/>
      <c r="EP99" s="219"/>
      <c r="EQ99" s="219"/>
      <c r="ER99" s="219"/>
      <c r="ES99" s="219"/>
      <c r="ET99" s="219"/>
      <c r="EU99" s="219"/>
      <c r="EV99" s="219"/>
      <c r="EW99" s="219"/>
      <c r="EX99" s="219"/>
      <c r="EY99" s="219"/>
      <c r="EZ99" s="219"/>
      <c r="FA99" s="219"/>
      <c r="FB99" s="219"/>
      <c r="FC99" s="219"/>
      <c r="FD99" s="219"/>
      <c r="FE99" s="219"/>
      <c r="FF99" s="219"/>
      <c r="FG99" s="219"/>
      <c r="FH99" s="219"/>
      <c r="FI99" s="219"/>
      <c r="FJ99" s="219"/>
      <c r="FK99" s="219"/>
      <c r="FL99" s="219"/>
      <c r="FM99" s="219"/>
      <c r="FN99" s="219"/>
      <c r="FO99" s="219"/>
      <c r="FP99" s="219"/>
      <c r="FQ99" s="219"/>
      <c r="FR99" s="219"/>
      <c r="FS99" s="219"/>
      <c r="FT99" s="219"/>
      <c r="FU99" s="219"/>
      <c r="FV99" s="219"/>
      <c r="FW99" s="219"/>
      <c r="FX99" s="219"/>
      <c r="FY99" s="219"/>
      <c r="FZ99" s="219"/>
      <c r="GA99" s="219"/>
      <c r="GB99" s="2"/>
      <c r="GC99" s="2"/>
      <c r="GD99" s="219"/>
      <c r="GE99" s="219"/>
      <c r="GF99" s="219"/>
      <c r="GG99" s="219"/>
      <c r="GH99" s="219"/>
      <c r="GI99" s="219"/>
      <c r="GJ99" s="219"/>
      <c r="GK99" s="219"/>
      <c r="GL99" s="219"/>
      <c r="GM99" s="219"/>
    </row>
    <row r="100" spans="1:195" ht="6.95" customHeight="1" x14ac:dyDescent="0.15">
      <c r="A100" s="1"/>
      <c r="B100" s="1"/>
      <c r="C100" s="1"/>
      <c r="D100" s="1"/>
      <c r="E100" s="1"/>
      <c r="F100" s="113"/>
      <c r="G100" s="113"/>
      <c r="H100" s="113"/>
      <c r="I100" s="113"/>
      <c r="J100" s="113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220">
        <f>F96*Y100</f>
        <v>0</v>
      </c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219"/>
      <c r="BG100" s="219"/>
      <c r="BH100" s="219"/>
      <c r="BI100" s="219"/>
      <c r="BJ100" s="219"/>
      <c r="BK100" s="219"/>
      <c r="BL100" s="219"/>
      <c r="BM100" s="219"/>
      <c r="BN100" s="219"/>
      <c r="BO100" s="219"/>
      <c r="BP100" s="219"/>
      <c r="BQ100" s="219"/>
      <c r="BR100" s="219"/>
      <c r="BS100" s="219"/>
      <c r="BT100" s="219"/>
      <c r="BU100" s="219"/>
      <c r="BV100" s="219"/>
      <c r="BW100" s="219"/>
      <c r="BX100" s="219"/>
      <c r="BY100" s="219"/>
      <c r="BZ100" s="219"/>
      <c r="CA100" s="219"/>
      <c r="CB100" s="219"/>
      <c r="CC100" s="219"/>
      <c r="CD100" s="219"/>
      <c r="CE100" s="219"/>
      <c r="CF100" s="219"/>
      <c r="CG100" s="219"/>
      <c r="CH100" s="219"/>
      <c r="CI100" s="219"/>
      <c r="CJ100" s="219"/>
      <c r="CK100" s="219"/>
      <c r="CL100" s="219"/>
      <c r="CM100" s="219"/>
      <c r="CN100" s="219"/>
      <c r="CO100" s="219"/>
      <c r="CP100" s="219"/>
      <c r="CQ100" s="219"/>
      <c r="CR100" s="219"/>
      <c r="CS100" s="219"/>
      <c r="CT100" s="219"/>
      <c r="CU100" s="219"/>
      <c r="CV100" s="219"/>
      <c r="CW100" s="219"/>
      <c r="CX100" s="219"/>
      <c r="CY100" s="219"/>
      <c r="CZ100" s="219"/>
      <c r="DA100" s="219"/>
      <c r="DB100" s="219"/>
      <c r="DC100" s="219"/>
      <c r="DD100" s="219"/>
      <c r="DE100" s="219"/>
      <c r="DF100" s="219"/>
      <c r="DG100" s="219"/>
      <c r="DH100" s="219"/>
      <c r="DI100" s="219"/>
      <c r="DJ100" s="219"/>
      <c r="DK100" s="219"/>
      <c r="DL100" s="219"/>
      <c r="DM100" s="219"/>
      <c r="DN100" s="219"/>
      <c r="DO100" s="219"/>
      <c r="DP100" s="219"/>
      <c r="DQ100" s="219"/>
      <c r="DR100" s="219"/>
      <c r="DS100" s="219"/>
      <c r="DT100" s="219"/>
      <c r="DU100" s="219"/>
      <c r="DV100" s="219"/>
      <c r="DW100" s="219"/>
      <c r="DX100" s="219"/>
      <c r="DY100" s="219"/>
      <c r="DZ100" s="219"/>
      <c r="EA100" s="219"/>
      <c r="EB100" s="219"/>
      <c r="EC100" s="219"/>
      <c r="ED100" s="219"/>
      <c r="EE100" s="219"/>
      <c r="EF100" s="219"/>
      <c r="EG100" s="219"/>
      <c r="EH100" s="219"/>
      <c r="EI100" s="219"/>
      <c r="EJ100" s="219"/>
      <c r="EK100" s="219"/>
      <c r="EL100" s="219"/>
      <c r="EM100" s="219"/>
      <c r="EN100" s="219"/>
      <c r="EO100" s="219"/>
      <c r="EP100" s="219"/>
      <c r="EQ100" s="219"/>
      <c r="ER100" s="219"/>
      <c r="ES100" s="219"/>
      <c r="ET100" s="219"/>
      <c r="EU100" s="219"/>
      <c r="EV100" s="219"/>
      <c r="EW100" s="219"/>
      <c r="EX100" s="219"/>
      <c r="EY100" s="219"/>
      <c r="EZ100" s="219"/>
      <c r="FA100" s="219"/>
      <c r="FB100" s="219"/>
      <c r="FC100" s="219"/>
      <c r="FD100" s="219"/>
      <c r="FE100" s="219"/>
      <c r="FF100" s="219"/>
      <c r="FG100" s="219"/>
      <c r="FH100" s="219"/>
      <c r="FI100" s="219"/>
      <c r="FJ100" s="219"/>
      <c r="FK100" s="219"/>
      <c r="FL100" s="219"/>
      <c r="FM100" s="219"/>
      <c r="FN100" s="219"/>
      <c r="FO100" s="219"/>
      <c r="FP100" s="219"/>
      <c r="FQ100" s="219"/>
      <c r="FR100" s="219"/>
      <c r="FS100" s="219"/>
      <c r="FT100" s="219"/>
      <c r="FU100" s="219"/>
      <c r="FV100" s="219"/>
      <c r="FW100" s="219"/>
      <c r="FX100" s="219"/>
      <c r="FY100" s="219"/>
      <c r="FZ100" s="219"/>
      <c r="GA100" s="219"/>
      <c r="GB100" s="2"/>
      <c r="GC100" s="2"/>
      <c r="GD100" s="219"/>
      <c r="GE100" s="219"/>
      <c r="GF100" s="219"/>
      <c r="GG100" s="219"/>
      <c r="GH100" s="219"/>
      <c r="GI100" s="219"/>
      <c r="GJ100" s="219"/>
      <c r="GK100" s="219"/>
      <c r="GL100" s="219"/>
      <c r="GM100" s="219"/>
    </row>
    <row r="101" spans="1:195" ht="6.95" customHeight="1" x14ac:dyDescent="0.15">
      <c r="A101" s="1"/>
      <c r="B101" s="1"/>
      <c r="C101" s="1"/>
      <c r="D101" s="1"/>
      <c r="E101" s="1"/>
      <c r="F101" s="113"/>
      <c r="G101" s="113"/>
      <c r="H101" s="113"/>
      <c r="I101" s="113"/>
      <c r="J101" s="113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220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219"/>
      <c r="BG101" s="219"/>
      <c r="BH101" s="219"/>
      <c r="BI101" s="219"/>
      <c r="BJ101" s="219"/>
      <c r="BK101" s="219"/>
      <c r="BL101" s="219"/>
      <c r="BM101" s="219"/>
      <c r="BN101" s="219"/>
      <c r="BO101" s="219"/>
      <c r="BP101" s="219"/>
      <c r="BQ101" s="219"/>
      <c r="BR101" s="219"/>
      <c r="BS101" s="219"/>
      <c r="BT101" s="219"/>
      <c r="BU101" s="219"/>
      <c r="BV101" s="219"/>
      <c r="BW101" s="219"/>
      <c r="BX101" s="219"/>
      <c r="BY101" s="219"/>
      <c r="BZ101" s="219"/>
      <c r="CA101" s="219"/>
      <c r="CB101" s="219"/>
      <c r="CC101" s="219"/>
      <c r="CD101" s="219"/>
      <c r="CE101" s="219"/>
      <c r="CF101" s="219"/>
      <c r="CG101" s="219"/>
      <c r="CH101" s="219"/>
      <c r="CI101" s="219"/>
      <c r="CJ101" s="219"/>
      <c r="CK101" s="219"/>
      <c r="CL101" s="219"/>
      <c r="CM101" s="219"/>
      <c r="CN101" s="219"/>
      <c r="CO101" s="219"/>
      <c r="CP101" s="219"/>
      <c r="CQ101" s="219"/>
      <c r="CR101" s="219"/>
      <c r="CS101" s="219"/>
      <c r="CT101" s="219"/>
      <c r="CU101" s="219"/>
      <c r="CV101" s="219"/>
      <c r="CW101" s="219"/>
      <c r="CX101" s="219"/>
      <c r="CY101" s="219"/>
      <c r="CZ101" s="219"/>
      <c r="DA101" s="219"/>
      <c r="DB101" s="219"/>
      <c r="DC101" s="219"/>
      <c r="DD101" s="219"/>
      <c r="DE101" s="219"/>
      <c r="DF101" s="219"/>
      <c r="DG101" s="219"/>
      <c r="DH101" s="219"/>
      <c r="DI101" s="219"/>
      <c r="DJ101" s="219"/>
      <c r="DK101" s="219"/>
      <c r="DL101" s="219"/>
      <c r="DM101" s="219"/>
      <c r="DN101" s="219"/>
      <c r="DO101" s="219"/>
      <c r="DP101" s="219"/>
      <c r="DQ101" s="219"/>
      <c r="DR101" s="219"/>
      <c r="DS101" s="219"/>
      <c r="DT101" s="219"/>
      <c r="DU101" s="219"/>
      <c r="DV101" s="219"/>
      <c r="DW101" s="219"/>
      <c r="DX101" s="219"/>
      <c r="DY101" s="219"/>
      <c r="DZ101" s="219"/>
      <c r="EA101" s="219"/>
      <c r="EB101" s="219"/>
      <c r="EC101" s="219"/>
      <c r="ED101" s="219"/>
      <c r="EE101" s="219"/>
      <c r="EF101" s="219"/>
      <c r="EG101" s="219"/>
      <c r="EH101" s="219"/>
      <c r="EI101" s="219"/>
      <c r="EJ101" s="219"/>
      <c r="EK101" s="219"/>
      <c r="EL101" s="219"/>
      <c r="EM101" s="219"/>
      <c r="EN101" s="219"/>
      <c r="EO101" s="219"/>
      <c r="EP101" s="219"/>
      <c r="EQ101" s="219"/>
      <c r="ER101" s="219"/>
      <c r="ES101" s="219"/>
      <c r="ET101" s="219"/>
      <c r="EU101" s="219"/>
      <c r="EV101" s="219"/>
      <c r="EW101" s="219"/>
      <c r="EX101" s="219"/>
      <c r="EY101" s="219"/>
      <c r="EZ101" s="219"/>
      <c r="FA101" s="219"/>
      <c r="FB101" s="219"/>
      <c r="FC101" s="219"/>
      <c r="FD101" s="219"/>
      <c r="FE101" s="219"/>
      <c r="FF101" s="219"/>
      <c r="FG101" s="219"/>
      <c r="FH101" s="219"/>
      <c r="FI101" s="219"/>
      <c r="FJ101" s="219"/>
      <c r="FK101" s="219"/>
      <c r="FL101" s="219"/>
      <c r="FM101" s="219"/>
      <c r="FN101" s="219"/>
      <c r="FO101" s="219"/>
      <c r="FP101" s="219"/>
      <c r="FQ101" s="219"/>
      <c r="FR101" s="219"/>
      <c r="FS101" s="219"/>
      <c r="FT101" s="219"/>
      <c r="FU101" s="219"/>
      <c r="FV101" s="219"/>
      <c r="FW101" s="219"/>
      <c r="FX101" s="219"/>
      <c r="FY101" s="219"/>
      <c r="FZ101" s="219"/>
      <c r="GA101" s="219"/>
      <c r="GB101" s="2"/>
      <c r="GC101" s="2"/>
      <c r="GD101" s="219"/>
      <c r="GE101" s="219"/>
      <c r="GF101" s="219"/>
      <c r="GG101" s="219"/>
      <c r="GH101" s="219"/>
      <c r="GI101" s="219"/>
      <c r="GJ101" s="219"/>
      <c r="GK101" s="219"/>
      <c r="GL101" s="219"/>
      <c r="GM101" s="219"/>
    </row>
    <row r="102" spans="1:195" ht="6.95" customHeight="1" x14ac:dyDescent="0.15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219"/>
      <c r="BG102" s="219"/>
      <c r="BH102" s="219"/>
      <c r="BI102" s="219"/>
      <c r="BJ102" s="219"/>
      <c r="BK102" s="219"/>
      <c r="BL102" s="219"/>
      <c r="BM102" s="219"/>
      <c r="BN102" s="219"/>
      <c r="BO102" s="219"/>
      <c r="BP102" s="219"/>
      <c r="BQ102" s="219"/>
      <c r="BR102" s="219"/>
      <c r="BS102" s="219"/>
      <c r="BT102" s="219"/>
      <c r="BU102" s="219"/>
      <c r="BV102" s="219"/>
      <c r="BW102" s="219"/>
      <c r="BX102" s="219"/>
      <c r="BY102" s="219"/>
      <c r="BZ102" s="219"/>
      <c r="CA102" s="219"/>
      <c r="CB102" s="219"/>
      <c r="CC102" s="219"/>
      <c r="CD102" s="219"/>
      <c r="CE102" s="219"/>
      <c r="CF102" s="219"/>
      <c r="CG102" s="219"/>
      <c r="CH102" s="219"/>
      <c r="CI102" s="219"/>
      <c r="CJ102" s="219"/>
      <c r="CK102" s="219"/>
      <c r="CL102" s="219"/>
      <c r="CM102" s="219"/>
      <c r="CN102" s="219"/>
      <c r="CO102" s="219"/>
      <c r="CP102" s="219"/>
      <c r="CQ102" s="219"/>
      <c r="CR102" s="219"/>
      <c r="CS102" s="219"/>
      <c r="CT102" s="219"/>
      <c r="CU102" s="219"/>
      <c r="CV102" s="219"/>
      <c r="CW102" s="219"/>
      <c r="CX102" s="219"/>
      <c r="CY102" s="219"/>
      <c r="CZ102" s="219"/>
      <c r="DA102" s="219"/>
      <c r="DB102" s="219"/>
      <c r="DC102" s="219"/>
      <c r="DD102" s="219"/>
      <c r="DE102" s="219"/>
      <c r="DF102" s="219"/>
      <c r="DG102" s="219"/>
      <c r="DH102" s="219"/>
      <c r="DI102" s="219"/>
      <c r="DJ102" s="219"/>
      <c r="DK102" s="219"/>
      <c r="DL102" s="219"/>
      <c r="DM102" s="219"/>
      <c r="DN102" s="219"/>
      <c r="DO102" s="219"/>
      <c r="DP102" s="219"/>
      <c r="DQ102" s="219"/>
      <c r="DR102" s="219"/>
      <c r="DS102" s="219"/>
      <c r="DT102" s="219"/>
      <c r="DU102" s="219"/>
      <c r="DV102" s="219"/>
      <c r="DW102" s="219"/>
      <c r="DX102" s="219"/>
      <c r="DY102" s="219"/>
      <c r="DZ102" s="219"/>
      <c r="EA102" s="219"/>
      <c r="EB102" s="219"/>
      <c r="EC102" s="219"/>
      <c r="ED102" s="219"/>
      <c r="EE102" s="219"/>
      <c r="EF102" s="219"/>
      <c r="EG102" s="219"/>
      <c r="EH102" s="219"/>
      <c r="EI102" s="219"/>
      <c r="EJ102" s="219"/>
      <c r="EK102" s="219"/>
      <c r="EL102" s="219"/>
      <c r="EM102" s="219"/>
      <c r="EN102" s="219"/>
      <c r="EO102" s="219"/>
      <c r="EP102" s="219"/>
      <c r="EQ102" s="219"/>
      <c r="ER102" s="219"/>
      <c r="ES102" s="219"/>
      <c r="ET102" s="219"/>
      <c r="EU102" s="219"/>
      <c r="EV102" s="219"/>
      <c r="EW102" s="219"/>
      <c r="EX102" s="219"/>
      <c r="EY102" s="219"/>
      <c r="EZ102" s="219"/>
      <c r="FA102" s="219"/>
      <c r="FB102" s="219"/>
      <c r="FC102" s="219"/>
      <c r="FD102" s="219"/>
      <c r="FE102" s="219"/>
      <c r="FF102" s="219"/>
      <c r="FG102" s="219"/>
      <c r="FH102" s="219"/>
      <c r="FI102" s="219"/>
      <c r="FJ102" s="219"/>
      <c r="FK102" s="219"/>
      <c r="FL102" s="219"/>
      <c r="FM102" s="219"/>
      <c r="FN102" s="219"/>
      <c r="FO102" s="219"/>
      <c r="FP102" s="219"/>
      <c r="FQ102" s="219"/>
      <c r="FR102" s="219"/>
      <c r="FS102" s="219"/>
      <c r="FT102" s="219"/>
      <c r="FU102" s="219"/>
      <c r="FV102" s="219"/>
      <c r="FW102" s="219"/>
      <c r="FX102" s="219"/>
      <c r="FY102" s="219"/>
      <c r="FZ102" s="219"/>
      <c r="GA102" s="219"/>
      <c r="GB102" s="2"/>
      <c r="GC102" s="2"/>
      <c r="GD102" s="219"/>
      <c r="GE102" s="219"/>
      <c r="GF102" s="219"/>
      <c r="GG102" s="219"/>
      <c r="GH102" s="219"/>
      <c r="GI102" s="219"/>
      <c r="GJ102" s="219"/>
      <c r="GK102" s="219"/>
      <c r="GL102" s="219"/>
      <c r="GM102" s="219"/>
    </row>
    <row r="103" spans="1:195" ht="6.95" customHeight="1" x14ac:dyDescent="0.15">
      <c r="A103" s="1"/>
      <c r="B103" s="1"/>
      <c r="C103" s="1"/>
      <c r="D103" s="1"/>
      <c r="E103" s="1"/>
      <c r="F103" s="112"/>
      <c r="G103" s="112"/>
      <c r="H103" s="112"/>
      <c r="I103" s="112"/>
      <c r="J103" s="112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220">
        <f>F103*Y103</f>
        <v>0</v>
      </c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219"/>
      <c r="BG103" s="219"/>
      <c r="BH103" s="219"/>
      <c r="BI103" s="219"/>
      <c r="BJ103" s="219"/>
      <c r="BK103" s="219"/>
      <c r="BL103" s="219"/>
      <c r="BM103" s="219"/>
      <c r="BN103" s="219"/>
      <c r="BO103" s="219"/>
      <c r="BP103" s="219"/>
      <c r="BQ103" s="219"/>
      <c r="BR103" s="219"/>
      <c r="BS103" s="219"/>
      <c r="BT103" s="219"/>
      <c r="BU103" s="219"/>
      <c r="BV103" s="219"/>
      <c r="BW103" s="219"/>
      <c r="BX103" s="219"/>
      <c r="BY103" s="219"/>
      <c r="BZ103" s="219"/>
      <c r="CA103" s="219"/>
      <c r="CB103" s="219"/>
      <c r="CC103" s="219"/>
      <c r="CD103" s="219"/>
      <c r="CE103" s="219"/>
      <c r="CF103" s="219"/>
      <c r="CG103" s="219"/>
      <c r="CH103" s="219"/>
      <c r="CI103" s="219"/>
      <c r="CJ103" s="219"/>
      <c r="CK103" s="219"/>
      <c r="CL103" s="219"/>
      <c r="CM103" s="219"/>
      <c r="CN103" s="219"/>
      <c r="CO103" s="219"/>
      <c r="CP103" s="219"/>
      <c r="CQ103" s="219"/>
      <c r="CR103" s="219"/>
      <c r="CS103" s="219"/>
      <c r="CT103" s="219"/>
      <c r="CU103" s="219"/>
      <c r="CV103" s="219"/>
      <c r="CW103" s="219"/>
      <c r="CX103" s="219"/>
      <c r="CY103" s="219"/>
      <c r="CZ103" s="219"/>
      <c r="DA103" s="219"/>
      <c r="DB103" s="219"/>
      <c r="DC103" s="219"/>
      <c r="DD103" s="219"/>
      <c r="DE103" s="219"/>
      <c r="DF103" s="219"/>
      <c r="DG103" s="219"/>
      <c r="DH103" s="219"/>
      <c r="DI103" s="219"/>
      <c r="DJ103" s="219"/>
      <c r="DK103" s="219"/>
      <c r="DL103" s="219"/>
      <c r="DM103" s="219"/>
      <c r="DN103" s="219"/>
      <c r="DO103" s="219"/>
      <c r="DP103" s="219"/>
      <c r="DQ103" s="219"/>
      <c r="DR103" s="219"/>
      <c r="DS103" s="219"/>
      <c r="DT103" s="219"/>
      <c r="DU103" s="219"/>
      <c r="DV103" s="219"/>
      <c r="DW103" s="219"/>
      <c r="DX103" s="219"/>
      <c r="DY103" s="219"/>
      <c r="DZ103" s="219"/>
      <c r="EA103" s="219"/>
      <c r="EB103" s="219"/>
      <c r="EC103" s="219"/>
      <c r="ED103" s="219"/>
      <c r="EE103" s="219"/>
      <c r="EF103" s="219"/>
      <c r="EG103" s="219"/>
      <c r="EH103" s="219"/>
      <c r="EI103" s="219"/>
      <c r="EJ103" s="219"/>
      <c r="EK103" s="219"/>
      <c r="EL103" s="219"/>
      <c r="EM103" s="219"/>
      <c r="EN103" s="219"/>
      <c r="EO103" s="219"/>
      <c r="EP103" s="219"/>
      <c r="EQ103" s="219"/>
      <c r="ER103" s="219"/>
      <c r="ES103" s="219"/>
      <c r="ET103" s="219"/>
      <c r="EU103" s="219"/>
      <c r="EV103" s="219"/>
      <c r="EW103" s="219"/>
      <c r="EX103" s="219"/>
      <c r="EY103" s="219"/>
      <c r="EZ103" s="219"/>
      <c r="FA103" s="219"/>
      <c r="FB103" s="219"/>
      <c r="FC103" s="219"/>
      <c r="FD103" s="219"/>
      <c r="FE103" s="219"/>
      <c r="FF103" s="219"/>
      <c r="FG103" s="219"/>
      <c r="FH103" s="219"/>
      <c r="FI103" s="219"/>
      <c r="FJ103" s="219"/>
      <c r="FK103" s="219"/>
      <c r="FL103" s="219"/>
      <c r="FM103" s="219"/>
      <c r="FN103" s="219"/>
      <c r="FO103" s="219"/>
      <c r="FP103" s="219"/>
      <c r="FQ103" s="219"/>
      <c r="FR103" s="219"/>
      <c r="FS103" s="219"/>
      <c r="FT103" s="219"/>
      <c r="FU103" s="219"/>
      <c r="FV103" s="219"/>
      <c r="FW103" s="219"/>
      <c r="FX103" s="219"/>
      <c r="FY103" s="219"/>
      <c r="FZ103" s="219"/>
      <c r="GA103" s="219"/>
      <c r="GB103" s="2"/>
      <c r="GC103" s="2"/>
      <c r="GD103" s="219"/>
      <c r="GE103" s="219"/>
      <c r="GF103" s="219"/>
      <c r="GG103" s="219"/>
      <c r="GH103" s="219"/>
      <c r="GI103" s="219"/>
      <c r="GJ103" s="219"/>
      <c r="GK103" s="219"/>
      <c r="GL103" s="219"/>
      <c r="GM103" s="219"/>
    </row>
    <row r="104" spans="1:195" ht="6.95" customHeight="1" x14ac:dyDescent="0.15">
      <c r="A104" s="1"/>
      <c r="B104" s="1"/>
      <c r="C104" s="1"/>
      <c r="D104" s="1"/>
      <c r="E104" s="1"/>
      <c r="F104" s="112"/>
      <c r="G104" s="112"/>
      <c r="H104" s="112"/>
      <c r="I104" s="112"/>
      <c r="J104" s="112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220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219"/>
      <c r="BG104" s="219"/>
      <c r="BH104" s="219"/>
      <c r="BI104" s="219"/>
      <c r="BJ104" s="219"/>
      <c r="BK104" s="219"/>
      <c r="BL104" s="219"/>
      <c r="BM104" s="219"/>
      <c r="BN104" s="219"/>
      <c r="BO104" s="219"/>
      <c r="BP104" s="219"/>
      <c r="BQ104" s="219"/>
      <c r="BR104" s="219"/>
      <c r="BS104" s="219"/>
      <c r="BT104" s="219"/>
      <c r="BU104" s="219"/>
      <c r="BV104" s="219"/>
      <c r="BW104" s="219"/>
      <c r="BX104" s="219"/>
      <c r="BY104" s="219"/>
      <c r="BZ104" s="219"/>
      <c r="CA104" s="219"/>
      <c r="CB104" s="219"/>
      <c r="CC104" s="219"/>
      <c r="CD104" s="219"/>
      <c r="CE104" s="219"/>
      <c r="CF104" s="219"/>
      <c r="CG104" s="219"/>
      <c r="CH104" s="219"/>
      <c r="CI104" s="219"/>
      <c r="CJ104" s="219"/>
      <c r="CK104" s="219"/>
      <c r="CL104" s="219"/>
      <c r="CM104" s="219"/>
      <c r="CN104" s="219"/>
      <c r="CO104" s="219"/>
      <c r="CP104" s="219"/>
      <c r="CQ104" s="219"/>
      <c r="CR104" s="219"/>
      <c r="CS104" s="219"/>
      <c r="CT104" s="219"/>
      <c r="CU104" s="219"/>
      <c r="CV104" s="219"/>
      <c r="CW104" s="219"/>
      <c r="CX104" s="219"/>
      <c r="CY104" s="219"/>
      <c r="CZ104" s="219"/>
      <c r="DA104" s="219"/>
      <c r="DB104" s="219"/>
      <c r="DC104" s="219"/>
      <c r="DD104" s="219"/>
      <c r="DE104" s="219"/>
      <c r="DF104" s="219"/>
      <c r="DG104" s="219"/>
      <c r="DH104" s="219"/>
      <c r="DI104" s="219"/>
      <c r="DJ104" s="219"/>
      <c r="DK104" s="219"/>
      <c r="DL104" s="219"/>
      <c r="DM104" s="219"/>
      <c r="DN104" s="219"/>
      <c r="DO104" s="219"/>
      <c r="DP104" s="219"/>
      <c r="DQ104" s="219"/>
      <c r="DR104" s="219"/>
      <c r="DS104" s="219"/>
      <c r="DT104" s="219"/>
      <c r="DU104" s="219"/>
      <c r="DV104" s="219"/>
      <c r="DW104" s="219"/>
      <c r="DX104" s="219"/>
      <c r="DY104" s="219"/>
      <c r="DZ104" s="219"/>
      <c r="EA104" s="219"/>
      <c r="EB104" s="219"/>
      <c r="EC104" s="219"/>
      <c r="ED104" s="219"/>
      <c r="EE104" s="219"/>
      <c r="EF104" s="219"/>
      <c r="EG104" s="219"/>
      <c r="EH104" s="219"/>
      <c r="EI104" s="219"/>
      <c r="EJ104" s="219"/>
      <c r="EK104" s="219"/>
      <c r="EL104" s="219"/>
      <c r="EM104" s="219"/>
      <c r="EN104" s="219"/>
      <c r="EO104" s="219"/>
      <c r="EP104" s="219"/>
      <c r="EQ104" s="219"/>
      <c r="ER104" s="219"/>
      <c r="ES104" s="219"/>
      <c r="ET104" s="219"/>
      <c r="EU104" s="219"/>
      <c r="EV104" s="219"/>
      <c r="EW104" s="219"/>
      <c r="EX104" s="219"/>
      <c r="EY104" s="219"/>
      <c r="EZ104" s="219"/>
      <c r="FA104" s="219"/>
      <c r="FB104" s="219"/>
      <c r="FC104" s="219"/>
      <c r="FD104" s="219"/>
      <c r="FE104" s="219"/>
      <c r="FF104" s="219"/>
      <c r="FG104" s="219"/>
      <c r="FH104" s="219"/>
      <c r="FI104" s="219"/>
      <c r="FJ104" s="219"/>
      <c r="FK104" s="219"/>
      <c r="FL104" s="219"/>
      <c r="FM104" s="219"/>
      <c r="FN104" s="219"/>
      <c r="FO104" s="219"/>
      <c r="FP104" s="219"/>
      <c r="FQ104" s="219"/>
      <c r="FR104" s="219"/>
      <c r="FS104" s="219"/>
      <c r="FT104" s="219"/>
      <c r="FU104" s="219"/>
      <c r="FV104" s="219"/>
      <c r="FW104" s="219"/>
      <c r="FX104" s="219"/>
      <c r="FY104" s="219"/>
      <c r="FZ104" s="219"/>
      <c r="GA104" s="219"/>
      <c r="GB104" s="2"/>
      <c r="GC104" s="2"/>
      <c r="GD104" s="219"/>
      <c r="GE104" s="219"/>
      <c r="GF104" s="219"/>
      <c r="GG104" s="219"/>
      <c r="GH104" s="219"/>
      <c r="GI104" s="219"/>
      <c r="GJ104" s="219"/>
      <c r="GK104" s="219"/>
      <c r="GL104" s="219"/>
      <c r="GM104" s="219"/>
    </row>
    <row r="105" spans="1:195" ht="6.95" customHeight="1" x14ac:dyDescent="0.15">
      <c r="A105" s="1"/>
      <c r="B105" s="1"/>
      <c r="C105" s="1"/>
      <c r="D105" s="1"/>
      <c r="E105" s="1"/>
      <c r="F105" s="112"/>
      <c r="G105" s="112"/>
      <c r="H105" s="112"/>
      <c r="I105" s="112"/>
      <c r="J105" s="112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220">
        <f>F103*Y105</f>
        <v>0</v>
      </c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219"/>
      <c r="BG105" s="219"/>
      <c r="BH105" s="219"/>
      <c r="BI105" s="219"/>
      <c r="BJ105" s="219"/>
      <c r="BK105" s="219"/>
      <c r="BL105" s="219"/>
      <c r="BM105" s="219"/>
      <c r="BN105" s="219"/>
      <c r="BO105" s="219"/>
      <c r="BP105" s="219"/>
      <c r="BQ105" s="219"/>
      <c r="BR105" s="219"/>
      <c r="BS105" s="219"/>
      <c r="BT105" s="219"/>
      <c r="BU105" s="219"/>
      <c r="BV105" s="219"/>
      <c r="BW105" s="219"/>
      <c r="BX105" s="219"/>
      <c r="BY105" s="219"/>
      <c r="BZ105" s="219"/>
      <c r="CA105" s="219"/>
      <c r="CB105" s="219"/>
      <c r="CC105" s="219"/>
      <c r="CD105" s="219"/>
      <c r="CE105" s="219"/>
      <c r="CF105" s="219"/>
      <c r="CG105" s="219"/>
      <c r="CH105" s="219"/>
      <c r="CI105" s="219"/>
      <c r="CJ105" s="219"/>
      <c r="CK105" s="219"/>
      <c r="CL105" s="219"/>
      <c r="CM105" s="219"/>
      <c r="CN105" s="219"/>
      <c r="CO105" s="219"/>
      <c r="CP105" s="219"/>
      <c r="CQ105" s="219"/>
      <c r="CR105" s="219"/>
      <c r="CS105" s="219"/>
      <c r="CT105" s="219"/>
      <c r="CU105" s="219"/>
      <c r="CV105" s="219"/>
      <c r="CW105" s="219"/>
      <c r="CX105" s="219"/>
      <c r="CY105" s="219"/>
      <c r="CZ105" s="219"/>
      <c r="DA105" s="219"/>
      <c r="DB105" s="219"/>
      <c r="DC105" s="219"/>
      <c r="DD105" s="219"/>
      <c r="DE105" s="219"/>
      <c r="DF105" s="219"/>
      <c r="DG105" s="219"/>
      <c r="DH105" s="219"/>
      <c r="DI105" s="219"/>
      <c r="DJ105" s="219"/>
      <c r="DK105" s="219"/>
      <c r="DL105" s="219"/>
      <c r="DM105" s="219"/>
      <c r="DN105" s="219"/>
      <c r="DO105" s="219"/>
      <c r="DP105" s="219"/>
      <c r="DQ105" s="219"/>
      <c r="DR105" s="219"/>
      <c r="DS105" s="219"/>
      <c r="DT105" s="219"/>
      <c r="DU105" s="219"/>
      <c r="DV105" s="219"/>
      <c r="DW105" s="219"/>
      <c r="DX105" s="219"/>
      <c r="DY105" s="219"/>
      <c r="DZ105" s="219"/>
      <c r="EA105" s="219"/>
      <c r="EB105" s="219"/>
      <c r="EC105" s="219"/>
      <c r="ED105" s="219"/>
      <c r="EE105" s="219"/>
      <c r="EF105" s="219"/>
      <c r="EG105" s="219"/>
      <c r="EH105" s="219"/>
      <c r="EI105" s="219"/>
      <c r="EJ105" s="219"/>
      <c r="EK105" s="219"/>
      <c r="EL105" s="219"/>
      <c r="EM105" s="219"/>
      <c r="EN105" s="219"/>
      <c r="EO105" s="219"/>
      <c r="EP105" s="219"/>
      <c r="EQ105" s="219"/>
      <c r="ER105" s="219"/>
      <c r="ES105" s="219"/>
      <c r="ET105" s="219"/>
      <c r="EU105" s="219"/>
      <c r="EV105" s="219"/>
      <c r="EW105" s="219"/>
      <c r="EX105" s="219"/>
      <c r="EY105" s="219"/>
      <c r="EZ105" s="219"/>
      <c r="FA105" s="219"/>
      <c r="FB105" s="219"/>
      <c r="FC105" s="219"/>
      <c r="FD105" s="219"/>
      <c r="FE105" s="219"/>
      <c r="FF105" s="219"/>
      <c r="FG105" s="219"/>
      <c r="FH105" s="219"/>
      <c r="FI105" s="219"/>
      <c r="FJ105" s="219"/>
      <c r="FK105" s="219"/>
      <c r="FL105" s="219"/>
      <c r="FM105" s="219"/>
      <c r="FN105" s="219"/>
      <c r="FO105" s="219"/>
      <c r="FP105" s="219"/>
      <c r="FQ105" s="219"/>
      <c r="FR105" s="219"/>
      <c r="FS105" s="219"/>
      <c r="FT105" s="219"/>
      <c r="FU105" s="219"/>
      <c r="FV105" s="219"/>
      <c r="FW105" s="219"/>
      <c r="FX105" s="219"/>
      <c r="FY105" s="219"/>
      <c r="FZ105" s="219"/>
      <c r="GA105" s="219"/>
      <c r="GB105" s="2"/>
      <c r="GC105" s="2"/>
      <c r="GD105" s="219"/>
      <c r="GE105" s="219"/>
      <c r="GF105" s="219"/>
      <c r="GG105" s="219"/>
      <c r="GH105" s="219"/>
      <c r="GI105" s="219"/>
      <c r="GJ105" s="219"/>
      <c r="GK105" s="219"/>
      <c r="GL105" s="219"/>
      <c r="GM105" s="219"/>
    </row>
    <row r="106" spans="1:195" ht="6.95" customHeight="1" x14ac:dyDescent="0.15">
      <c r="A106" s="1"/>
      <c r="B106" s="1"/>
      <c r="C106" s="1"/>
      <c r="D106" s="1"/>
      <c r="E106" s="1"/>
      <c r="F106" s="112"/>
      <c r="G106" s="112"/>
      <c r="H106" s="112"/>
      <c r="I106" s="112"/>
      <c r="J106" s="112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220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219"/>
      <c r="BG106" s="219"/>
      <c r="BH106" s="219"/>
      <c r="BI106" s="219"/>
      <c r="BJ106" s="219"/>
      <c r="BK106" s="219"/>
      <c r="BL106" s="219"/>
      <c r="BM106" s="219"/>
      <c r="BN106" s="219"/>
      <c r="BO106" s="219"/>
      <c r="BP106" s="219"/>
      <c r="BQ106" s="219"/>
      <c r="BR106" s="219"/>
      <c r="BS106" s="219"/>
      <c r="BT106" s="219"/>
      <c r="BU106" s="219"/>
      <c r="BV106" s="219"/>
      <c r="BW106" s="219"/>
      <c r="BX106" s="219"/>
      <c r="BY106" s="219"/>
      <c r="BZ106" s="219"/>
      <c r="CA106" s="219"/>
      <c r="CB106" s="219"/>
      <c r="CC106" s="219"/>
      <c r="CD106" s="219"/>
      <c r="CE106" s="219"/>
      <c r="CF106" s="219"/>
      <c r="CG106" s="219"/>
      <c r="CH106" s="219"/>
      <c r="CI106" s="219"/>
      <c r="CJ106" s="219"/>
      <c r="CK106" s="219"/>
      <c r="CL106" s="219"/>
      <c r="CM106" s="219"/>
      <c r="CN106" s="219"/>
      <c r="CO106" s="219"/>
      <c r="CP106" s="219"/>
      <c r="CQ106" s="219"/>
      <c r="CR106" s="219"/>
      <c r="CS106" s="219"/>
      <c r="CT106" s="219"/>
      <c r="CU106" s="219"/>
      <c r="CV106" s="219"/>
      <c r="CW106" s="219"/>
      <c r="CX106" s="219"/>
      <c r="CY106" s="219"/>
      <c r="CZ106" s="219"/>
      <c r="DA106" s="219"/>
      <c r="DB106" s="219"/>
      <c r="DC106" s="219"/>
      <c r="DD106" s="219"/>
      <c r="DE106" s="219"/>
      <c r="DF106" s="219"/>
      <c r="DG106" s="219"/>
      <c r="DH106" s="219"/>
      <c r="DI106" s="219"/>
      <c r="DJ106" s="219"/>
      <c r="DK106" s="219"/>
      <c r="DL106" s="219"/>
      <c r="DM106" s="219"/>
      <c r="DN106" s="219"/>
      <c r="DO106" s="219"/>
      <c r="DP106" s="219"/>
      <c r="DQ106" s="219"/>
      <c r="DR106" s="219"/>
      <c r="DS106" s="219"/>
      <c r="DT106" s="219"/>
      <c r="DU106" s="219"/>
      <c r="DV106" s="219"/>
      <c r="DW106" s="219"/>
      <c r="DX106" s="219"/>
      <c r="DY106" s="219"/>
      <c r="DZ106" s="219"/>
      <c r="EA106" s="219"/>
      <c r="EB106" s="219"/>
      <c r="EC106" s="219"/>
      <c r="ED106" s="219"/>
      <c r="EE106" s="219"/>
      <c r="EF106" s="219"/>
      <c r="EG106" s="219"/>
      <c r="EH106" s="219"/>
      <c r="EI106" s="219"/>
      <c r="EJ106" s="219"/>
      <c r="EK106" s="219"/>
      <c r="EL106" s="219"/>
      <c r="EM106" s="219"/>
      <c r="EN106" s="219"/>
      <c r="EO106" s="219"/>
      <c r="EP106" s="219"/>
      <c r="EQ106" s="219"/>
      <c r="ER106" s="219"/>
      <c r="ES106" s="219"/>
      <c r="ET106" s="219"/>
      <c r="EU106" s="219"/>
      <c r="EV106" s="219"/>
      <c r="EW106" s="219"/>
      <c r="EX106" s="219"/>
      <c r="EY106" s="219"/>
      <c r="EZ106" s="219"/>
      <c r="FA106" s="219"/>
      <c r="FB106" s="219"/>
      <c r="FC106" s="219"/>
      <c r="FD106" s="219"/>
      <c r="FE106" s="219"/>
      <c r="FF106" s="219"/>
      <c r="FG106" s="219"/>
      <c r="FH106" s="219"/>
      <c r="FI106" s="219"/>
      <c r="FJ106" s="219"/>
      <c r="FK106" s="219"/>
      <c r="FL106" s="219"/>
      <c r="FM106" s="219"/>
      <c r="FN106" s="219"/>
      <c r="FO106" s="219"/>
      <c r="FP106" s="219"/>
      <c r="FQ106" s="219"/>
      <c r="FR106" s="219"/>
      <c r="FS106" s="219"/>
      <c r="FT106" s="219"/>
      <c r="FU106" s="219"/>
      <c r="FV106" s="219"/>
      <c r="FW106" s="219"/>
      <c r="FX106" s="219"/>
      <c r="FY106" s="219"/>
      <c r="FZ106" s="219"/>
      <c r="GA106" s="219"/>
      <c r="GB106" s="2"/>
      <c r="GC106" s="2"/>
      <c r="GD106" s="219"/>
      <c r="GE106" s="219"/>
      <c r="GF106" s="219"/>
      <c r="GG106" s="219"/>
      <c r="GH106" s="219"/>
      <c r="GI106" s="219"/>
      <c r="GJ106" s="219"/>
      <c r="GK106" s="219"/>
      <c r="GL106" s="219"/>
      <c r="GM106" s="219"/>
    </row>
    <row r="107" spans="1:195" ht="6.95" customHeight="1" x14ac:dyDescent="0.15">
      <c r="A107" s="1"/>
      <c r="B107" s="1"/>
      <c r="C107" s="1"/>
      <c r="D107" s="1"/>
      <c r="E107" s="1"/>
      <c r="F107" s="113"/>
      <c r="G107" s="113"/>
      <c r="H107" s="113"/>
      <c r="I107" s="113"/>
      <c r="J107" s="113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220">
        <f>F103*Y107</f>
        <v>0</v>
      </c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219"/>
      <c r="BG107" s="219"/>
      <c r="BH107" s="219"/>
      <c r="BI107" s="219"/>
      <c r="BJ107" s="219"/>
      <c r="BK107" s="219"/>
      <c r="BL107" s="219"/>
      <c r="BM107" s="219"/>
      <c r="BN107" s="219"/>
      <c r="BO107" s="219"/>
      <c r="BP107" s="219"/>
      <c r="BQ107" s="219"/>
      <c r="BR107" s="219"/>
      <c r="BS107" s="219"/>
      <c r="BT107" s="219"/>
      <c r="BU107" s="219"/>
      <c r="BV107" s="219"/>
      <c r="BW107" s="219"/>
      <c r="BX107" s="219"/>
      <c r="BY107" s="219"/>
      <c r="BZ107" s="219"/>
      <c r="CA107" s="219"/>
      <c r="CB107" s="219"/>
      <c r="CC107" s="219"/>
      <c r="CD107" s="219"/>
      <c r="CE107" s="219"/>
      <c r="CF107" s="219"/>
      <c r="CG107" s="219"/>
      <c r="CH107" s="219"/>
      <c r="CI107" s="219"/>
      <c r="CJ107" s="219"/>
      <c r="CK107" s="219"/>
      <c r="CL107" s="219"/>
      <c r="CM107" s="219"/>
      <c r="CN107" s="219"/>
      <c r="CO107" s="219"/>
      <c r="CP107" s="219"/>
      <c r="CQ107" s="219"/>
      <c r="CR107" s="219"/>
      <c r="CS107" s="219"/>
      <c r="CT107" s="219"/>
      <c r="CU107" s="219"/>
      <c r="CV107" s="219"/>
      <c r="CW107" s="219"/>
      <c r="CX107" s="219"/>
      <c r="CY107" s="219"/>
      <c r="CZ107" s="219"/>
      <c r="DA107" s="219"/>
      <c r="DB107" s="219"/>
      <c r="DC107" s="219"/>
      <c r="DD107" s="219"/>
      <c r="DE107" s="219"/>
      <c r="DF107" s="219"/>
      <c r="DG107" s="219"/>
      <c r="DH107" s="219"/>
      <c r="DI107" s="219"/>
      <c r="DJ107" s="219"/>
      <c r="DK107" s="219"/>
      <c r="DL107" s="219"/>
      <c r="DM107" s="219"/>
      <c r="DN107" s="219"/>
      <c r="DO107" s="219"/>
      <c r="DP107" s="219"/>
      <c r="DQ107" s="219"/>
      <c r="DR107" s="219"/>
      <c r="DS107" s="219"/>
      <c r="DT107" s="219"/>
      <c r="DU107" s="219"/>
      <c r="DV107" s="219"/>
      <c r="DW107" s="219"/>
      <c r="DX107" s="219"/>
      <c r="DY107" s="219"/>
      <c r="DZ107" s="219"/>
      <c r="EA107" s="219"/>
      <c r="EB107" s="219"/>
      <c r="EC107" s="219"/>
      <c r="ED107" s="219"/>
      <c r="EE107" s="219"/>
      <c r="EF107" s="219"/>
      <c r="EG107" s="219"/>
      <c r="EH107" s="219"/>
      <c r="EI107" s="219"/>
      <c r="EJ107" s="219"/>
      <c r="EK107" s="219"/>
      <c r="EL107" s="219"/>
      <c r="EM107" s="219"/>
      <c r="EN107" s="219"/>
      <c r="EO107" s="219"/>
      <c r="EP107" s="219"/>
      <c r="EQ107" s="219"/>
      <c r="ER107" s="219"/>
      <c r="ES107" s="219"/>
      <c r="ET107" s="219"/>
      <c r="EU107" s="219"/>
      <c r="EV107" s="219"/>
      <c r="EW107" s="219"/>
      <c r="EX107" s="219"/>
      <c r="EY107" s="219"/>
      <c r="EZ107" s="219"/>
      <c r="FA107" s="219"/>
      <c r="FB107" s="219"/>
      <c r="FC107" s="219"/>
      <c r="FD107" s="219"/>
      <c r="FE107" s="219"/>
      <c r="FF107" s="219"/>
      <c r="FG107" s="219"/>
      <c r="FH107" s="219"/>
      <c r="FI107" s="219"/>
      <c r="FJ107" s="219"/>
      <c r="FK107" s="219"/>
      <c r="FL107" s="219"/>
      <c r="FM107" s="219"/>
      <c r="FN107" s="219"/>
      <c r="FO107" s="219"/>
      <c r="FP107" s="219"/>
      <c r="FQ107" s="219"/>
      <c r="FR107" s="219"/>
      <c r="FS107" s="219"/>
      <c r="FT107" s="219"/>
      <c r="FU107" s="219"/>
      <c r="FV107" s="219"/>
      <c r="FW107" s="219"/>
      <c r="FX107" s="219"/>
      <c r="FY107" s="219"/>
      <c r="FZ107" s="219"/>
      <c r="GA107" s="219"/>
      <c r="GB107" s="2"/>
      <c r="GC107" s="2"/>
      <c r="GD107" s="219"/>
      <c r="GE107" s="219"/>
      <c r="GF107" s="219"/>
      <c r="GG107" s="219"/>
      <c r="GH107" s="219"/>
      <c r="GI107" s="219"/>
      <c r="GJ107" s="219"/>
      <c r="GK107" s="219"/>
      <c r="GL107" s="219"/>
      <c r="GM107" s="219"/>
    </row>
    <row r="108" spans="1:195" ht="6.95" customHeight="1" x14ac:dyDescent="0.15">
      <c r="A108" s="1"/>
      <c r="B108" s="1"/>
      <c r="C108" s="1"/>
      <c r="D108" s="1"/>
      <c r="E108" s="1"/>
      <c r="F108" s="113"/>
      <c r="G108" s="113"/>
      <c r="H108" s="113"/>
      <c r="I108" s="113"/>
      <c r="J108" s="113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220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219"/>
      <c r="BG108" s="219"/>
      <c r="BH108" s="219"/>
      <c r="BI108" s="219"/>
      <c r="BJ108" s="219"/>
      <c r="BK108" s="219"/>
      <c r="BL108" s="219"/>
      <c r="BM108" s="219"/>
      <c r="BN108" s="219"/>
      <c r="BO108" s="219"/>
      <c r="BP108" s="219"/>
      <c r="BQ108" s="219"/>
      <c r="BR108" s="219"/>
      <c r="BS108" s="219"/>
      <c r="BT108" s="219"/>
      <c r="BU108" s="219"/>
      <c r="BV108" s="219"/>
      <c r="BW108" s="219"/>
      <c r="BX108" s="219"/>
      <c r="BY108" s="219"/>
      <c r="BZ108" s="219"/>
      <c r="CA108" s="219"/>
      <c r="CB108" s="219"/>
      <c r="CC108" s="219"/>
      <c r="CD108" s="219"/>
      <c r="CE108" s="219"/>
      <c r="CF108" s="219"/>
      <c r="CG108" s="219"/>
      <c r="CH108" s="219"/>
      <c r="CI108" s="219"/>
      <c r="CJ108" s="219"/>
      <c r="CK108" s="219"/>
      <c r="CL108" s="219"/>
      <c r="CM108" s="219"/>
      <c r="CN108" s="219"/>
      <c r="CO108" s="219"/>
      <c r="CP108" s="219"/>
      <c r="CQ108" s="219"/>
      <c r="CR108" s="219"/>
      <c r="CS108" s="219"/>
      <c r="CT108" s="219"/>
      <c r="CU108" s="219"/>
      <c r="CV108" s="219"/>
      <c r="CW108" s="219"/>
      <c r="CX108" s="219"/>
      <c r="CY108" s="219"/>
      <c r="CZ108" s="219"/>
      <c r="DA108" s="219"/>
      <c r="DB108" s="219"/>
      <c r="DC108" s="219"/>
      <c r="DD108" s="219"/>
      <c r="DE108" s="219"/>
      <c r="DF108" s="219"/>
      <c r="DG108" s="219"/>
      <c r="DH108" s="219"/>
      <c r="DI108" s="219"/>
      <c r="DJ108" s="219"/>
      <c r="DK108" s="219"/>
      <c r="DL108" s="219"/>
      <c r="DM108" s="219"/>
      <c r="DN108" s="219"/>
      <c r="DO108" s="219"/>
      <c r="DP108" s="219"/>
      <c r="DQ108" s="219"/>
      <c r="DR108" s="219"/>
      <c r="DS108" s="219"/>
      <c r="DT108" s="219"/>
      <c r="DU108" s="219"/>
      <c r="DV108" s="219"/>
      <c r="DW108" s="219"/>
      <c r="DX108" s="219"/>
      <c r="DY108" s="219"/>
      <c r="DZ108" s="219"/>
      <c r="EA108" s="219"/>
      <c r="EB108" s="219"/>
      <c r="EC108" s="219"/>
      <c r="ED108" s="219"/>
      <c r="EE108" s="219"/>
      <c r="EF108" s="219"/>
      <c r="EG108" s="219"/>
      <c r="EH108" s="219"/>
      <c r="EI108" s="219"/>
      <c r="EJ108" s="219"/>
      <c r="EK108" s="219"/>
      <c r="EL108" s="219"/>
      <c r="EM108" s="219"/>
      <c r="EN108" s="219"/>
      <c r="EO108" s="219"/>
      <c r="EP108" s="219"/>
      <c r="EQ108" s="219"/>
      <c r="ER108" s="219"/>
      <c r="ES108" s="219"/>
      <c r="ET108" s="219"/>
      <c r="EU108" s="219"/>
      <c r="EV108" s="219"/>
      <c r="EW108" s="219"/>
      <c r="EX108" s="219"/>
      <c r="EY108" s="219"/>
      <c r="EZ108" s="219"/>
      <c r="FA108" s="219"/>
      <c r="FB108" s="219"/>
      <c r="FC108" s="219"/>
      <c r="FD108" s="219"/>
      <c r="FE108" s="219"/>
      <c r="FF108" s="219"/>
      <c r="FG108" s="219"/>
      <c r="FH108" s="219"/>
      <c r="FI108" s="219"/>
      <c r="FJ108" s="219"/>
      <c r="FK108" s="219"/>
      <c r="FL108" s="219"/>
      <c r="FM108" s="219"/>
      <c r="FN108" s="219"/>
      <c r="FO108" s="219"/>
      <c r="FP108" s="219"/>
      <c r="FQ108" s="219"/>
      <c r="FR108" s="219"/>
      <c r="FS108" s="219"/>
      <c r="FT108" s="219"/>
      <c r="FU108" s="219"/>
      <c r="FV108" s="219"/>
      <c r="FW108" s="219"/>
      <c r="FX108" s="219"/>
      <c r="FY108" s="219"/>
      <c r="FZ108" s="219"/>
      <c r="GA108" s="219"/>
      <c r="GB108" s="2"/>
      <c r="GC108" s="2"/>
      <c r="GD108" s="219"/>
      <c r="GE108" s="219"/>
      <c r="GF108" s="219"/>
      <c r="GG108" s="219"/>
      <c r="GH108" s="219"/>
      <c r="GI108" s="219"/>
      <c r="GJ108" s="219"/>
      <c r="GK108" s="219"/>
      <c r="GL108" s="219"/>
      <c r="GM108" s="219"/>
    </row>
    <row r="109" spans="1:195" ht="6.95" customHeight="1" x14ac:dyDescent="0.15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219"/>
      <c r="BG109" s="219"/>
      <c r="BH109" s="219"/>
      <c r="BI109" s="219"/>
      <c r="BJ109" s="219"/>
      <c r="BK109" s="219"/>
      <c r="BL109" s="219"/>
      <c r="BM109" s="219"/>
      <c r="BN109" s="219"/>
      <c r="BO109" s="219"/>
      <c r="BP109" s="219"/>
      <c r="BQ109" s="219"/>
      <c r="BR109" s="219"/>
      <c r="BS109" s="219"/>
      <c r="BT109" s="219"/>
      <c r="BU109" s="219"/>
      <c r="BV109" s="219"/>
      <c r="BW109" s="219"/>
      <c r="BX109" s="219"/>
      <c r="BY109" s="219"/>
      <c r="BZ109" s="219"/>
      <c r="CA109" s="219"/>
      <c r="CB109" s="219"/>
      <c r="CC109" s="219"/>
      <c r="CD109" s="219"/>
      <c r="CE109" s="219"/>
      <c r="CF109" s="219"/>
      <c r="CG109" s="219"/>
      <c r="CH109" s="219"/>
      <c r="CI109" s="219"/>
      <c r="CJ109" s="219"/>
      <c r="CK109" s="219"/>
      <c r="CL109" s="219"/>
      <c r="CM109" s="219"/>
      <c r="CN109" s="219"/>
      <c r="CO109" s="219"/>
      <c r="CP109" s="219"/>
      <c r="CQ109" s="219"/>
      <c r="CR109" s="219"/>
      <c r="CS109" s="219"/>
      <c r="CT109" s="219"/>
      <c r="CU109" s="219"/>
      <c r="CV109" s="219"/>
      <c r="CW109" s="219"/>
      <c r="CX109" s="219"/>
      <c r="CY109" s="219"/>
      <c r="CZ109" s="219"/>
      <c r="DA109" s="219"/>
      <c r="DB109" s="219"/>
      <c r="DC109" s="219"/>
      <c r="DD109" s="219"/>
      <c r="DE109" s="219"/>
      <c r="DF109" s="219"/>
      <c r="DG109" s="219"/>
      <c r="DH109" s="219"/>
      <c r="DI109" s="219"/>
      <c r="DJ109" s="219"/>
      <c r="DK109" s="219"/>
      <c r="DL109" s="219"/>
      <c r="DM109" s="219"/>
      <c r="DN109" s="219"/>
      <c r="DO109" s="219"/>
      <c r="DP109" s="219"/>
      <c r="DQ109" s="219"/>
      <c r="DR109" s="219"/>
      <c r="DS109" s="219"/>
      <c r="DT109" s="219"/>
      <c r="DU109" s="219"/>
      <c r="DV109" s="219"/>
      <c r="DW109" s="219"/>
      <c r="DX109" s="219"/>
      <c r="DY109" s="219"/>
      <c r="DZ109" s="219"/>
      <c r="EA109" s="219"/>
      <c r="EB109" s="219"/>
      <c r="EC109" s="219"/>
      <c r="ED109" s="219"/>
      <c r="EE109" s="219"/>
      <c r="EF109" s="219"/>
      <c r="EG109" s="219"/>
      <c r="EH109" s="219"/>
      <c r="EI109" s="219"/>
      <c r="EJ109" s="219"/>
      <c r="EK109" s="219"/>
      <c r="EL109" s="219"/>
      <c r="EM109" s="219"/>
      <c r="EN109" s="219"/>
      <c r="EO109" s="219"/>
      <c r="EP109" s="219"/>
      <c r="EQ109" s="219"/>
      <c r="ER109" s="219"/>
      <c r="ES109" s="219"/>
      <c r="ET109" s="219"/>
      <c r="EU109" s="219"/>
      <c r="EV109" s="219"/>
      <c r="EW109" s="219"/>
      <c r="EX109" s="219"/>
      <c r="EY109" s="219"/>
      <c r="EZ109" s="219"/>
      <c r="FA109" s="219"/>
      <c r="FB109" s="219"/>
      <c r="FC109" s="219"/>
      <c r="FD109" s="219"/>
      <c r="FE109" s="219"/>
      <c r="FF109" s="219"/>
      <c r="FG109" s="219"/>
      <c r="FH109" s="219"/>
      <c r="FI109" s="219"/>
      <c r="FJ109" s="219"/>
      <c r="FK109" s="219"/>
      <c r="FL109" s="219"/>
      <c r="FM109" s="219"/>
      <c r="FN109" s="219"/>
      <c r="FO109" s="219"/>
      <c r="FP109" s="219"/>
      <c r="FQ109" s="219"/>
      <c r="FR109" s="219"/>
      <c r="FS109" s="219"/>
      <c r="FT109" s="219"/>
      <c r="FU109" s="219"/>
      <c r="FV109" s="219"/>
      <c r="FW109" s="219"/>
      <c r="FX109" s="219"/>
      <c r="FY109" s="219"/>
      <c r="FZ109" s="219"/>
      <c r="GA109" s="219"/>
      <c r="GB109" s="2"/>
      <c r="GC109" s="2"/>
      <c r="GD109" s="219"/>
      <c r="GE109" s="219"/>
      <c r="GF109" s="219"/>
      <c r="GG109" s="219"/>
      <c r="GH109" s="219"/>
      <c r="GI109" s="219"/>
      <c r="GJ109" s="219"/>
      <c r="GK109" s="219"/>
      <c r="GL109" s="219"/>
      <c r="GM109" s="219"/>
    </row>
    <row r="110" spans="1:195" ht="6.95" customHeight="1" x14ac:dyDescent="0.15">
      <c r="A110" s="1"/>
      <c r="B110" s="1"/>
      <c r="C110" s="1"/>
      <c r="D110" s="1"/>
      <c r="E110" s="1"/>
      <c r="F110" s="112"/>
      <c r="G110" s="112"/>
      <c r="H110" s="112"/>
      <c r="I110" s="112"/>
      <c r="J110" s="112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220">
        <f>F110*Y110</f>
        <v>0</v>
      </c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219"/>
      <c r="BG110" s="219"/>
      <c r="BH110" s="219"/>
      <c r="BI110" s="219"/>
      <c r="BJ110" s="219"/>
      <c r="BK110" s="219"/>
      <c r="BL110" s="219"/>
      <c r="BM110" s="219"/>
      <c r="BN110" s="219"/>
      <c r="BO110" s="219"/>
      <c r="BP110" s="219"/>
      <c r="BQ110" s="219"/>
      <c r="BR110" s="219"/>
      <c r="BS110" s="219"/>
      <c r="BT110" s="219"/>
      <c r="BU110" s="219"/>
      <c r="BV110" s="219"/>
      <c r="BW110" s="219"/>
      <c r="BX110" s="219"/>
      <c r="BY110" s="219"/>
      <c r="BZ110" s="219"/>
      <c r="CA110" s="219"/>
      <c r="CB110" s="219"/>
      <c r="CC110" s="219"/>
      <c r="CD110" s="219"/>
      <c r="CE110" s="219"/>
      <c r="CF110" s="219"/>
      <c r="CG110" s="219"/>
      <c r="CH110" s="219"/>
      <c r="CI110" s="219"/>
      <c r="CJ110" s="219"/>
      <c r="CK110" s="219"/>
      <c r="CL110" s="219"/>
      <c r="CM110" s="219"/>
      <c r="CN110" s="219"/>
      <c r="CO110" s="219"/>
      <c r="CP110" s="219"/>
      <c r="CQ110" s="219"/>
      <c r="CR110" s="219"/>
      <c r="CS110" s="219"/>
      <c r="CT110" s="219"/>
      <c r="CU110" s="219"/>
      <c r="CV110" s="219"/>
      <c r="CW110" s="219"/>
      <c r="CX110" s="219"/>
      <c r="CY110" s="219"/>
      <c r="CZ110" s="219"/>
      <c r="DA110" s="219"/>
      <c r="DB110" s="219"/>
      <c r="DC110" s="219"/>
      <c r="DD110" s="219"/>
      <c r="DE110" s="219"/>
      <c r="DF110" s="219"/>
      <c r="DG110" s="219"/>
      <c r="DH110" s="219"/>
      <c r="DI110" s="219"/>
      <c r="DJ110" s="219"/>
      <c r="DK110" s="219"/>
      <c r="DL110" s="219"/>
      <c r="DM110" s="219"/>
      <c r="DN110" s="219"/>
      <c r="DO110" s="219"/>
      <c r="DP110" s="219"/>
      <c r="DQ110" s="219"/>
      <c r="DR110" s="219"/>
      <c r="DS110" s="219"/>
      <c r="DT110" s="219"/>
      <c r="DU110" s="219"/>
      <c r="DV110" s="219"/>
      <c r="DW110" s="219"/>
      <c r="DX110" s="219"/>
      <c r="DY110" s="219"/>
      <c r="DZ110" s="219"/>
      <c r="EA110" s="219"/>
      <c r="EB110" s="219"/>
      <c r="EC110" s="219"/>
      <c r="ED110" s="219"/>
      <c r="EE110" s="219"/>
      <c r="EF110" s="219"/>
      <c r="EG110" s="219"/>
      <c r="EH110" s="219"/>
      <c r="EI110" s="219"/>
      <c r="EJ110" s="219"/>
      <c r="EK110" s="219"/>
      <c r="EL110" s="219"/>
      <c r="EM110" s="219"/>
      <c r="EN110" s="219"/>
      <c r="EO110" s="219"/>
      <c r="EP110" s="219"/>
      <c r="EQ110" s="219"/>
      <c r="ER110" s="219"/>
      <c r="ES110" s="219"/>
      <c r="ET110" s="219"/>
      <c r="EU110" s="219"/>
      <c r="EV110" s="219"/>
      <c r="EW110" s="219"/>
      <c r="EX110" s="219"/>
      <c r="EY110" s="219"/>
      <c r="EZ110" s="219"/>
      <c r="FA110" s="219"/>
      <c r="FB110" s="219"/>
      <c r="FC110" s="219"/>
      <c r="FD110" s="219"/>
      <c r="FE110" s="219"/>
      <c r="FF110" s="219"/>
      <c r="FG110" s="219"/>
      <c r="FH110" s="219"/>
      <c r="FI110" s="219"/>
      <c r="FJ110" s="219"/>
      <c r="FK110" s="219"/>
      <c r="FL110" s="219"/>
      <c r="FM110" s="219"/>
      <c r="FN110" s="219"/>
      <c r="FO110" s="219"/>
      <c r="FP110" s="219"/>
      <c r="FQ110" s="219"/>
      <c r="FR110" s="219"/>
      <c r="FS110" s="219"/>
      <c r="FT110" s="219"/>
      <c r="FU110" s="219"/>
      <c r="FV110" s="219"/>
      <c r="FW110" s="219"/>
      <c r="FX110" s="219"/>
      <c r="FY110" s="219"/>
      <c r="FZ110" s="219"/>
      <c r="GA110" s="219"/>
      <c r="GB110" s="2"/>
      <c r="GC110" s="2"/>
      <c r="GD110" s="219"/>
      <c r="GE110" s="219"/>
      <c r="GF110" s="219"/>
      <c r="GG110" s="219"/>
      <c r="GH110" s="219"/>
      <c r="GI110" s="219"/>
      <c r="GJ110" s="219"/>
      <c r="GK110" s="219"/>
      <c r="GL110" s="219"/>
      <c r="GM110" s="219"/>
    </row>
    <row r="111" spans="1:195" ht="6.95" customHeight="1" x14ac:dyDescent="0.15">
      <c r="A111" s="1"/>
      <c r="B111" s="1"/>
      <c r="C111" s="1"/>
      <c r="D111" s="1"/>
      <c r="E111" s="1"/>
      <c r="F111" s="112"/>
      <c r="G111" s="112"/>
      <c r="H111" s="112"/>
      <c r="I111" s="112"/>
      <c r="J111" s="112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220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219"/>
      <c r="BG111" s="219"/>
      <c r="BH111" s="219"/>
      <c r="BI111" s="219"/>
      <c r="BJ111" s="219"/>
      <c r="BK111" s="219"/>
      <c r="BL111" s="219"/>
      <c r="BM111" s="219"/>
      <c r="BN111" s="219"/>
      <c r="BO111" s="219"/>
      <c r="BP111" s="219"/>
      <c r="BQ111" s="219"/>
      <c r="BR111" s="219"/>
      <c r="BS111" s="219"/>
      <c r="BT111" s="219"/>
      <c r="BU111" s="219"/>
      <c r="BV111" s="219"/>
      <c r="BW111" s="219"/>
      <c r="BX111" s="219"/>
      <c r="BY111" s="219"/>
      <c r="BZ111" s="219"/>
      <c r="CA111" s="219"/>
      <c r="CB111" s="219"/>
      <c r="CC111" s="219"/>
      <c r="CD111" s="219"/>
      <c r="CE111" s="219"/>
      <c r="CF111" s="219"/>
      <c r="CG111" s="219"/>
      <c r="CH111" s="219"/>
      <c r="CI111" s="219"/>
      <c r="CJ111" s="219"/>
      <c r="CK111" s="219"/>
      <c r="CL111" s="219"/>
      <c r="CM111" s="219"/>
      <c r="CN111" s="219"/>
      <c r="CO111" s="219"/>
      <c r="CP111" s="219"/>
      <c r="CQ111" s="219"/>
      <c r="CR111" s="219"/>
      <c r="CS111" s="219"/>
      <c r="CT111" s="219"/>
      <c r="CU111" s="219"/>
      <c r="CV111" s="219"/>
      <c r="CW111" s="219"/>
      <c r="CX111" s="219"/>
      <c r="CY111" s="219"/>
      <c r="CZ111" s="219"/>
      <c r="DA111" s="219"/>
      <c r="DB111" s="219"/>
      <c r="DC111" s="219"/>
      <c r="DD111" s="219"/>
      <c r="DE111" s="219"/>
      <c r="DF111" s="219"/>
      <c r="DG111" s="219"/>
      <c r="DH111" s="219"/>
      <c r="DI111" s="219"/>
      <c r="DJ111" s="219"/>
      <c r="DK111" s="219"/>
      <c r="DL111" s="219"/>
      <c r="DM111" s="219"/>
      <c r="DN111" s="219"/>
      <c r="DO111" s="219"/>
      <c r="DP111" s="219"/>
      <c r="DQ111" s="219"/>
      <c r="DR111" s="219"/>
      <c r="DS111" s="219"/>
      <c r="DT111" s="219"/>
      <c r="DU111" s="219"/>
      <c r="DV111" s="219"/>
      <c r="DW111" s="219"/>
      <c r="DX111" s="219"/>
      <c r="DY111" s="219"/>
      <c r="DZ111" s="219"/>
      <c r="EA111" s="219"/>
      <c r="EB111" s="219"/>
      <c r="EC111" s="219"/>
      <c r="ED111" s="219"/>
      <c r="EE111" s="219"/>
      <c r="EF111" s="219"/>
      <c r="EG111" s="219"/>
      <c r="EH111" s="219"/>
      <c r="EI111" s="219"/>
      <c r="EJ111" s="219"/>
      <c r="EK111" s="219"/>
      <c r="EL111" s="219"/>
      <c r="EM111" s="219"/>
      <c r="EN111" s="219"/>
      <c r="EO111" s="219"/>
      <c r="EP111" s="219"/>
      <c r="EQ111" s="219"/>
      <c r="ER111" s="219"/>
      <c r="ES111" s="219"/>
      <c r="ET111" s="219"/>
      <c r="EU111" s="219"/>
      <c r="EV111" s="219"/>
      <c r="EW111" s="219"/>
      <c r="EX111" s="219"/>
      <c r="EY111" s="219"/>
      <c r="EZ111" s="219"/>
      <c r="FA111" s="219"/>
      <c r="FB111" s="219"/>
      <c r="FC111" s="219"/>
      <c r="FD111" s="219"/>
      <c r="FE111" s="219"/>
      <c r="FF111" s="219"/>
      <c r="FG111" s="219"/>
      <c r="FH111" s="219"/>
      <c r="FI111" s="219"/>
      <c r="FJ111" s="219"/>
      <c r="FK111" s="219"/>
      <c r="FL111" s="219"/>
      <c r="FM111" s="219"/>
      <c r="FN111" s="219"/>
      <c r="FO111" s="219"/>
      <c r="FP111" s="219"/>
      <c r="FQ111" s="219"/>
      <c r="FR111" s="219"/>
      <c r="FS111" s="219"/>
      <c r="FT111" s="219"/>
      <c r="FU111" s="219"/>
      <c r="FV111" s="219"/>
      <c r="FW111" s="219"/>
      <c r="FX111" s="219"/>
      <c r="FY111" s="219"/>
      <c r="FZ111" s="219"/>
      <c r="GA111" s="219"/>
      <c r="GB111" s="2"/>
      <c r="GC111" s="2"/>
      <c r="GD111" s="219"/>
      <c r="GE111" s="219"/>
      <c r="GF111" s="219"/>
      <c r="GG111" s="219"/>
      <c r="GH111" s="219"/>
      <c r="GI111" s="219"/>
      <c r="GJ111" s="219"/>
      <c r="GK111" s="219"/>
      <c r="GL111" s="219"/>
      <c r="GM111" s="219"/>
    </row>
    <row r="112" spans="1:195" ht="6.95" customHeight="1" x14ac:dyDescent="0.15">
      <c r="A112" s="1"/>
      <c r="B112" s="1"/>
      <c r="C112" s="1"/>
      <c r="D112" s="1"/>
      <c r="E112" s="1"/>
      <c r="F112" s="112"/>
      <c r="G112" s="112"/>
      <c r="H112" s="112"/>
      <c r="I112" s="112"/>
      <c r="J112" s="112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220">
        <f>F110*Y112</f>
        <v>0</v>
      </c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219"/>
      <c r="BG112" s="219"/>
      <c r="BH112" s="219"/>
      <c r="BI112" s="219"/>
      <c r="BJ112" s="219"/>
      <c r="BK112" s="219"/>
      <c r="BL112" s="219"/>
      <c r="BM112" s="219"/>
      <c r="BN112" s="219"/>
      <c r="BO112" s="219"/>
      <c r="BP112" s="219"/>
      <c r="BQ112" s="219"/>
      <c r="BR112" s="219"/>
      <c r="BS112" s="219"/>
      <c r="BT112" s="219"/>
      <c r="BU112" s="219"/>
      <c r="BV112" s="219"/>
      <c r="BW112" s="219"/>
      <c r="BX112" s="219"/>
      <c r="BY112" s="219"/>
      <c r="BZ112" s="219"/>
      <c r="CA112" s="219"/>
      <c r="CB112" s="219"/>
      <c r="CC112" s="219"/>
      <c r="CD112" s="219"/>
      <c r="CE112" s="219"/>
      <c r="CF112" s="219"/>
      <c r="CG112" s="219"/>
      <c r="CH112" s="219"/>
      <c r="CI112" s="219"/>
      <c r="CJ112" s="219"/>
      <c r="CK112" s="219"/>
      <c r="CL112" s="219"/>
      <c r="CM112" s="219"/>
      <c r="CN112" s="219"/>
      <c r="CO112" s="219"/>
      <c r="CP112" s="219"/>
      <c r="CQ112" s="219"/>
      <c r="CR112" s="219"/>
      <c r="CS112" s="219"/>
      <c r="CT112" s="219"/>
      <c r="CU112" s="219"/>
      <c r="CV112" s="219"/>
      <c r="CW112" s="219"/>
      <c r="CX112" s="219"/>
      <c r="CY112" s="219"/>
      <c r="CZ112" s="219"/>
      <c r="DA112" s="219"/>
      <c r="DB112" s="219"/>
      <c r="DC112" s="219"/>
      <c r="DD112" s="219"/>
      <c r="DE112" s="219"/>
      <c r="DF112" s="219"/>
      <c r="DG112" s="219"/>
      <c r="DH112" s="219"/>
      <c r="DI112" s="219"/>
      <c r="DJ112" s="219"/>
      <c r="DK112" s="219"/>
      <c r="DL112" s="219"/>
      <c r="DM112" s="219"/>
      <c r="DN112" s="219"/>
      <c r="DO112" s="219"/>
      <c r="DP112" s="219"/>
      <c r="DQ112" s="219"/>
      <c r="DR112" s="219"/>
      <c r="DS112" s="219"/>
      <c r="DT112" s="219"/>
      <c r="DU112" s="219"/>
      <c r="DV112" s="219"/>
      <c r="DW112" s="219"/>
      <c r="DX112" s="219"/>
      <c r="DY112" s="219"/>
      <c r="DZ112" s="219"/>
      <c r="EA112" s="219"/>
      <c r="EB112" s="219"/>
      <c r="EC112" s="219"/>
      <c r="ED112" s="219"/>
      <c r="EE112" s="219"/>
      <c r="EF112" s="219"/>
      <c r="EG112" s="219"/>
      <c r="EH112" s="219"/>
      <c r="EI112" s="219"/>
      <c r="EJ112" s="219"/>
      <c r="EK112" s="219"/>
      <c r="EL112" s="219"/>
      <c r="EM112" s="219"/>
      <c r="EN112" s="219"/>
      <c r="EO112" s="219"/>
      <c r="EP112" s="219"/>
      <c r="EQ112" s="219"/>
      <c r="ER112" s="219"/>
      <c r="ES112" s="219"/>
      <c r="ET112" s="219"/>
      <c r="EU112" s="219"/>
      <c r="EV112" s="219"/>
      <c r="EW112" s="219"/>
      <c r="EX112" s="219"/>
      <c r="EY112" s="219"/>
      <c r="EZ112" s="219"/>
      <c r="FA112" s="219"/>
      <c r="FB112" s="219"/>
      <c r="FC112" s="219"/>
      <c r="FD112" s="219"/>
      <c r="FE112" s="219"/>
      <c r="FF112" s="219"/>
      <c r="FG112" s="219"/>
      <c r="FH112" s="219"/>
      <c r="FI112" s="219"/>
      <c r="FJ112" s="219"/>
      <c r="FK112" s="219"/>
      <c r="FL112" s="219"/>
      <c r="FM112" s="219"/>
      <c r="FN112" s="219"/>
      <c r="FO112" s="219"/>
      <c r="FP112" s="219"/>
      <c r="FQ112" s="219"/>
      <c r="FR112" s="219"/>
      <c r="FS112" s="219"/>
      <c r="FT112" s="219"/>
      <c r="FU112" s="219"/>
      <c r="FV112" s="219"/>
      <c r="FW112" s="219"/>
      <c r="FX112" s="219"/>
      <c r="FY112" s="219"/>
      <c r="FZ112" s="219"/>
      <c r="GA112" s="219"/>
      <c r="GB112" s="2"/>
      <c r="GC112" s="2"/>
      <c r="GD112" s="219"/>
      <c r="GE112" s="219"/>
      <c r="GF112" s="219"/>
      <c r="GG112" s="219"/>
      <c r="GH112" s="219"/>
      <c r="GI112" s="219"/>
      <c r="GJ112" s="219"/>
      <c r="GK112" s="219"/>
      <c r="GL112" s="219"/>
      <c r="GM112" s="219"/>
    </row>
    <row r="113" spans="1:195" ht="6.95" customHeight="1" x14ac:dyDescent="0.15">
      <c r="A113" s="1"/>
      <c r="B113" s="1"/>
      <c r="C113" s="1"/>
      <c r="D113" s="1"/>
      <c r="E113" s="1"/>
      <c r="F113" s="112"/>
      <c r="G113" s="112"/>
      <c r="H113" s="112"/>
      <c r="I113" s="112"/>
      <c r="J113" s="112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220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219"/>
      <c r="BG113" s="219"/>
      <c r="BH113" s="219"/>
      <c r="BI113" s="219"/>
      <c r="BJ113" s="219"/>
      <c r="BK113" s="219"/>
      <c r="BL113" s="219"/>
      <c r="BM113" s="219"/>
      <c r="BN113" s="219"/>
      <c r="BO113" s="219"/>
      <c r="BP113" s="219"/>
      <c r="BQ113" s="219"/>
      <c r="BR113" s="219"/>
      <c r="BS113" s="219"/>
      <c r="BT113" s="219"/>
      <c r="BU113" s="219"/>
      <c r="BV113" s="219"/>
      <c r="BW113" s="219"/>
      <c r="BX113" s="219"/>
      <c r="BY113" s="219"/>
      <c r="BZ113" s="219"/>
      <c r="CA113" s="219"/>
      <c r="CB113" s="219"/>
      <c r="CC113" s="219"/>
      <c r="CD113" s="219"/>
      <c r="CE113" s="219"/>
      <c r="CF113" s="219"/>
      <c r="CG113" s="219"/>
      <c r="CH113" s="219"/>
      <c r="CI113" s="219"/>
      <c r="CJ113" s="219"/>
      <c r="CK113" s="219"/>
      <c r="CL113" s="219"/>
      <c r="CM113" s="219"/>
      <c r="CN113" s="219"/>
      <c r="CO113" s="219"/>
      <c r="CP113" s="219"/>
      <c r="CQ113" s="219"/>
      <c r="CR113" s="219"/>
      <c r="CS113" s="219"/>
      <c r="CT113" s="219"/>
      <c r="CU113" s="219"/>
      <c r="CV113" s="219"/>
      <c r="CW113" s="219"/>
      <c r="CX113" s="219"/>
      <c r="CY113" s="219"/>
      <c r="CZ113" s="219"/>
      <c r="DA113" s="219"/>
      <c r="DB113" s="219"/>
      <c r="DC113" s="219"/>
      <c r="DD113" s="219"/>
      <c r="DE113" s="219"/>
      <c r="DF113" s="219"/>
      <c r="DG113" s="219"/>
      <c r="DH113" s="219"/>
      <c r="DI113" s="219"/>
      <c r="DJ113" s="219"/>
      <c r="DK113" s="219"/>
      <c r="DL113" s="219"/>
      <c r="DM113" s="219"/>
      <c r="DN113" s="219"/>
      <c r="DO113" s="219"/>
      <c r="DP113" s="219"/>
      <c r="DQ113" s="219"/>
      <c r="DR113" s="219"/>
      <c r="DS113" s="219"/>
      <c r="DT113" s="219"/>
      <c r="DU113" s="219"/>
      <c r="DV113" s="219"/>
      <c r="DW113" s="219"/>
      <c r="DX113" s="219"/>
      <c r="DY113" s="219"/>
      <c r="DZ113" s="219"/>
      <c r="EA113" s="219"/>
      <c r="EB113" s="219"/>
      <c r="EC113" s="219"/>
      <c r="ED113" s="219"/>
      <c r="EE113" s="219"/>
      <c r="EF113" s="219"/>
      <c r="EG113" s="219"/>
      <c r="EH113" s="219"/>
      <c r="EI113" s="219"/>
      <c r="EJ113" s="219"/>
      <c r="EK113" s="219"/>
      <c r="EL113" s="219"/>
      <c r="EM113" s="219"/>
      <c r="EN113" s="219"/>
      <c r="EO113" s="219"/>
      <c r="EP113" s="219"/>
      <c r="EQ113" s="219"/>
      <c r="ER113" s="219"/>
      <c r="ES113" s="219"/>
      <c r="ET113" s="219"/>
      <c r="EU113" s="219"/>
      <c r="EV113" s="219"/>
      <c r="EW113" s="219"/>
      <c r="EX113" s="219"/>
      <c r="EY113" s="219"/>
      <c r="EZ113" s="219"/>
      <c r="FA113" s="219"/>
      <c r="FB113" s="219"/>
      <c r="FC113" s="219"/>
      <c r="FD113" s="219"/>
      <c r="FE113" s="219"/>
      <c r="FF113" s="219"/>
      <c r="FG113" s="219"/>
      <c r="FH113" s="219"/>
      <c r="FI113" s="219"/>
      <c r="FJ113" s="219"/>
      <c r="FK113" s="219"/>
      <c r="FL113" s="219"/>
      <c r="FM113" s="219"/>
      <c r="FN113" s="219"/>
      <c r="FO113" s="219"/>
      <c r="FP113" s="219"/>
      <c r="FQ113" s="219"/>
      <c r="FR113" s="219"/>
      <c r="FS113" s="219"/>
      <c r="FT113" s="219"/>
      <c r="FU113" s="219"/>
      <c r="FV113" s="219"/>
      <c r="FW113" s="219"/>
      <c r="FX113" s="219"/>
      <c r="FY113" s="219"/>
      <c r="FZ113" s="219"/>
      <c r="GA113" s="219"/>
      <c r="GB113" s="2"/>
      <c r="GC113" s="2"/>
      <c r="GD113" s="219"/>
      <c r="GE113" s="219"/>
      <c r="GF113" s="219"/>
      <c r="GG113" s="219"/>
      <c r="GH113" s="219"/>
      <c r="GI113" s="219"/>
      <c r="GJ113" s="219"/>
      <c r="GK113" s="219"/>
      <c r="GL113" s="219"/>
      <c r="GM113" s="219"/>
    </row>
    <row r="114" spans="1:195" ht="6.95" customHeight="1" x14ac:dyDescent="0.15">
      <c r="A114" s="1"/>
      <c r="B114" s="1"/>
      <c r="C114" s="1"/>
      <c r="D114" s="1"/>
      <c r="E114" s="1"/>
      <c r="F114" s="113"/>
      <c r="G114" s="113"/>
      <c r="H114" s="113"/>
      <c r="I114" s="113"/>
      <c r="J114" s="113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220">
        <f>F110*Y114</f>
        <v>0</v>
      </c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219"/>
      <c r="BG114" s="219"/>
      <c r="BH114" s="219"/>
      <c r="BI114" s="219"/>
      <c r="BJ114" s="219"/>
      <c r="BK114" s="219"/>
      <c r="BL114" s="219"/>
      <c r="BM114" s="219"/>
      <c r="BN114" s="219"/>
      <c r="BO114" s="219"/>
      <c r="BP114" s="219"/>
      <c r="BQ114" s="219"/>
      <c r="BR114" s="219"/>
      <c r="BS114" s="219"/>
      <c r="BT114" s="219"/>
      <c r="BU114" s="219"/>
      <c r="BV114" s="219"/>
      <c r="BW114" s="219"/>
      <c r="BX114" s="219"/>
      <c r="BY114" s="219"/>
      <c r="BZ114" s="219"/>
      <c r="CA114" s="219"/>
      <c r="CB114" s="219"/>
      <c r="CC114" s="219"/>
      <c r="CD114" s="219"/>
      <c r="CE114" s="219"/>
      <c r="CF114" s="219"/>
      <c r="CG114" s="219"/>
      <c r="CH114" s="219"/>
      <c r="CI114" s="219"/>
      <c r="CJ114" s="219"/>
      <c r="CK114" s="219"/>
      <c r="CL114" s="219"/>
      <c r="CM114" s="219"/>
      <c r="CN114" s="219"/>
      <c r="CO114" s="219"/>
      <c r="CP114" s="219"/>
      <c r="CQ114" s="219"/>
      <c r="CR114" s="219"/>
      <c r="CS114" s="219"/>
      <c r="CT114" s="219"/>
      <c r="CU114" s="219"/>
      <c r="CV114" s="219"/>
      <c r="CW114" s="219"/>
      <c r="CX114" s="219"/>
      <c r="CY114" s="219"/>
      <c r="CZ114" s="219"/>
      <c r="DA114" s="219"/>
      <c r="DB114" s="219"/>
      <c r="DC114" s="219"/>
      <c r="DD114" s="219"/>
      <c r="DE114" s="219"/>
      <c r="DF114" s="219"/>
      <c r="DG114" s="219"/>
      <c r="DH114" s="219"/>
      <c r="DI114" s="219"/>
      <c r="DJ114" s="219"/>
      <c r="DK114" s="219"/>
      <c r="DL114" s="219"/>
      <c r="DM114" s="219"/>
      <c r="DN114" s="219"/>
      <c r="DO114" s="219"/>
      <c r="DP114" s="219"/>
      <c r="DQ114" s="219"/>
      <c r="DR114" s="219"/>
      <c r="DS114" s="219"/>
      <c r="DT114" s="219"/>
      <c r="DU114" s="219"/>
      <c r="DV114" s="219"/>
      <c r="DW114" s="219"/>
      <c r="DX114" s="219"/>
      <c r="DY114" s="219"/>
      <c r="DZ114" s="219"/>
      <c r="EA114" s="219"/>
      <c r="EB114" s="219"/>
      <c r="EC114" s="219"/>
      <c r="ED114" s="219"/>
      <c r="EE114" s="219"/>
      <c r="EF114" s="219"/>
      <c r="EG114" s="219"/>
      <c r="EH114" s="219"/>
      <c r="EI114" s="219"/>
      <c r="EJ114" s="219"/>
      <c r="EK114" s="219"/>
      <c r="EL114" s="219"/>
      <c r="EM114" s="219"/>
      <c r="EN114" s="219"/>
      <c r="EO114" s="219"/>
      <c r="EP114" s="219"/>
      <c r="EQ114" s="219"/>
      <c r="ER114" s="219"/>
      <c r="ES114" s="219"/>
      <c r="ET114" s="219"/>
      <c r="EU114" s="219"/>
      <c r="EV114" s="219"/>
      <c r="EW114" s="219"/>
      <c r="EX114" s="219"/>
      <c r="EY114" s="219"/>
      <c r="EZ114" s="219"/>
      <c r="FA114" s="219"/>
      <c r="FB114" s="219"/>
      <c r="FC114" s="219"/>
      <c r="FD114" s="219"/>
      <c r="FE114" s="219"/>
      <c r="FF114" s="219"/>
      <c r="FG114" s="219"/>
      <c r="FH114" s="219"/>
      <c r="FI114" s="219"/>
      <c r="FJ114" s="219"/>
      <c r="FK114" s="219"/>
      <c r="FL114" s="219"/>
      <c r="FM114" s="219"/>
      <c r="FN114" s="219"/>
      <c r="FO114" s="219"/>
      <c r="FP114" s="219"/>
      <c r="FQ114" s="219"/>
      <c r="FR114" s="219"/>
      <c r="FS114" s="219"/>
      <c r="FT114" s="219"/>
      <c r="FU114" s="219"/>
      <c r="FV114" s="219"/>
      <c r="FW114" s="219"/>
      <c r="FX114" s="219"/>
      <c r="FY114" s="219"/>
      <c r="FZ114" s="219"/>
      <c r="GA114" s="219"/>
      <c r="GB114" s="2"/>
      <c r="GC114" s="2"/>
      <c r="GD114" s="219"/>
      <c r="GE114" s="219"/>
      <c r="GF114" s="219"/>
      <c r="GG114" s="219"/>
      <c r="GH114" s="219"/>
      <c r="GI114" s="219"/>
      <c r="GJ114" s="219"/>
      <c r="GK114" s="219"/>
      <c r="GL114" s="219"/>
      <c r="GM114" s="219"/>
    </row>
    <row r="115" spans="1:195" ht="6.95" customHeight="1" x14ac:dyDescent="0.15">
      <c r="A115" s="1"/>
      <c r="B115" s="1"/>
      <c r="C115" s="1"/>
      <c r="D115" s="1"/>
      <c r="E115" s="1"/>
      <c r="F115" s="113"/>
      <c r="G115" s="113"/>
      <c r="H115" s="113"/>
      <c r="I115" s="113"/>
      <c r="J115" s="113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220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219"/>
      <c r="BG115" s="219"/>
      <c r="BH115" s="219"/>
      <c r="BI115" s="219"/>
      <c r="BJ115" s="219"/>
      <c r="BK115" s="219"/>
      <c r="BL115" s="219"/>
      <c r="BM115" s="219"/>
      <c r="BN115" s="219"/>
      <c r="BO115" s="219"/>
      <c r="BP115" s="219"/>
      <c r="BQ115" s="219"/>
      <c r="BR115" s="219"/>
      <c r="BS115" s="219"/>
      <c r="BT115" s="219"/>
      <c r="BU115" s="219"/>
      <c r="BV115" s="219"/>
      <c r="BW115" s="219"/>
      <c r="BX115" s="219"/>
      <c r="BY115" s="219"/>
      <c r="BZ115" s="219"/>
      <c r="CA115" s="219"/>
      <c r="CB115" s="219"/>
      <c r="CC115" s="219"/>
      <c r="CD115" s="219"/>
      <c r="CE115" s="219"/>
      <c r="CF115" s="219"/>
      <c r="CG115" s="219"/>
      <c r="CH115" s="219"/>
      <c r="CI115" s="219"/>
      <c r="CJ115" s="219"/>
      <c r="CK115" s="219"/>
      <c r="CL115" s="219"/>
      <c r="CM115" s="219"/>
      <c r="CN115" s="219"/>
      <c r="CO115" s="219"/>
      <c r="CP115" s="219"/>
      <c r="CQ115" s="219"/>
      <c r="CR115" s="219"/>
      <c r="CS115" s="219"/>
      <c r="CT115" s="219"/>
      <c r="CU115" s="219"/>
      <c r="CV115" s="219"/>
      <c r="CW115" s="219"/>
      <c r="CX115" s="219"/>
      <c r="CY115" s="219"/>
      <c r="CZ115" s="219"/>
      <c r="DA115" s="219"/>
      <c r="DB115" s="219"/>
      <c r="DC115" s="219"/>
      <c r="DD115" s="219"/>
      <c r="DE115" s="219"/>
      <c r="DF115" s="219"/>
      <c r="DG115" s="219"/>
      <c r="DH115" s="219"/>
      <c r="DI115" s="219"/>
      <c r="DJ115" s="219"/>
      <c r="DK115" s="219"/>
      <c r="DL115" s="219"/>
      <c r="DM115" s="219"/>
      <c r="DN115" s="219"/>
      <c r="DO115" s="219"/>
      <c r="DP115" s="219"/>
      <c r="DQ115" s="219"/>
      <c r="DR115" s="219"/>
      <c r="DS115" s="219"/>
      <c r="DT115" s="219"/>
      <c r="DU115" s="219"/>
      <c r="DV115" s="219"/>
      <c r="DW115" s="219"/>
      <c r="DX115" s="219"/>
      <c r="DY115" s="219"/>
      <c r="DZ115" s="219"/>
      <c r="EA115" s="219"/>
      <c r="EB115" s="219"/>
      <c r="EC115" s="219"/>
      <c r="ED115" s="219"/>
      <c r="EE115" s="219"/>
      <c r="EF115" s="219"/>
      <c r="EG115" s="219"/>
      <c r="EH115" s="219"/>
      <c r="EI115" s="219"/>
      <c r="EJ115" s="219"/>
      <c r="EK115" s="219"/>
      <c r="EL115" s="219"/>
      <c r="EM115" s="219"/>
      <c r="EN115" s="219"/>
      <c r="EO115" s="219"/>
      <c r="EP115" s="219"/>
      <c r="EQ115" s="219"/>
      <c r="ER115" s="219"/>
      <c r="ES115" s="219"/>
      <c r="ET115" s="219"/>
      <c r="EU115" s="219"/>
      <c r="EV115" s="219"/>
      <c r="EW115" s="219"/>
      <c r="EX115" s="219"/>
      <c r="EY115" s="219"/>
      <c r="EZ115" s="219"/>
      <c r="FA115" s="219"/>
      <c r="FB115" s="219"/>
      <c r="FC115" s="219"/>
      <c r="FD115" s="219"/>
      <c r="FE115" s="219"/>
      <c r="FF115" s="219"/>
      <c r="FG115" s="219"/>
      <c r="FH115" s="219"/>
      <c r="FI115" s="219"/>
      <c r="FJ115" s="219"/>
      <c r="FK115" s="219"/>
      <c r="FL115" s="219"/>
      <c r="FM115" s="219"/>
      <c r="FN115" s="219"/>
      <c r="FO115" s="219"/>
      <c r="FP115" s="219"/>
      <c r="FQ115" s="219"/>
      <c r="FR115" s="219"/>
      <c r="FS115" s="219"/>
      <c r="FT115" s="219"/>
      <c r="FU115" s="219"/>
      <c r="FV115" s="219"/>
      <c r="FW115" s="219"/>
      <c r="FX115" s="219"/>
      <c r="FY115" s="219"/>
      <c r="FZ115" s="219"/>
      <c r="GA115" s="219"/>
      <c r="GB115" s="2"/>
      <c r="GC115" s="2"/>
      <c r="GD115" s="219"/>
      <c r="GE115" s="219"/>
      <c r="GF115" s="219"/>
      <c r="GG115" s="219"/>
      <c r="GH115" s="219"/>
      <c r="GI115" s="219"/>
      <c r="GJ115" s="219"/>
      <c r="GK115" s="219"/>
      <c r="GL115" s="219"/>
      <c r="GM115" s="219"/>
    </row>
    <row r="116" spans="1:195" ht="6.95" customHeight="1" x14ac:dyDescent="0.15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1"/>
      <c r="AA116" s="1"/>
      <c r="AB116" s="1"/>
      <c r="AC116" s="90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219"/>
      <c r="BG116" s="219"/>
      <c r="BH116" s="219"/>
      <c r="BI116" s="219"/>
      <c r="BJ116" s="219"/>
      <c r="BK116" s="219"/>
      <c r="BL116" s="219"/>
      <c r="BM116" s="219"/>
      <c r="BN116" s="219"/>
      <c r="BO116" s="219"/>
      <c r="BP116" s="219"/>
      <c r="BQ116" s="219"/>
      <c r="BR116" s="219"/>
      <c r="BS116" s="219"/>
      <c r="BT116" s="219"/>
      <c r="BU116" s="219"/>
      <c r="BV116" s="219"/>
      <c r="BW116" s="219"/>
      <c r="BX116" s="219"/>
      <c r="BY116" s="219"/>
      <c r="BZ116" s="219"/>
      <c r="CA116" s="219"/>
      <c r="CB116" s="219"/>
      <c r="CC116" s="219"/>
      <c r="CD116" s="219"/>
      <c r="CE116" s="219"/>
      <c r="CF116" s="219"/>
      <c r="CG116" s="219"/>
      <c r="CH116" s="219"/>
      <c r="CI116" s="219"/>
      <c r="CJ116" s="219"/>
      <c r="CK116" s="219"/>
      <c r="CL116" s="219"/>
      <c r="CM116" s="219"/>
      <c r="CN116" s="219"/>
      <c r="CO116" s="219"/>
      <c r="CP116" s="219"/>
      <c r="CQ116" s="219"/>
      <c r="CR116" s="219"/>
      <c r="CS116" s="219"/>
      <c r="CT116" s="219"/>
      <c r="CU116" s="219"/>
      <c r="CV116" s="219"/>
      <c r="CW116" s="219"/>
      <c r="CX116" s="219"/>
      <c r="CY116" s="219"/>
      <c r="CZ116" s="219"/>
      <c r="DA116" s="219"/>
      <c r="DB116" s="219"/>
      <c r="DC116" s="219"/>
      <c r="DD116" s="219"/>
      <c r="DE116" s="219"/>
      <c r="DF116" s="219"/>
      <c r="DG116" s="219"/>
      <c r="DH116" s="219"/>
      <c r="DI116" s="219"/>
      <c r="DJ116" s="219"/>
      <c r="DK116" s="219"/>
      <c r="DL116" s="219"/>
      <c r="DM116" s="219"/>
      <c r="DN116" s="219"/>
      <c r="DO116" s="219"/>
      <c r="DP116" s="219"/>
      <c r="DQ116" s="219"/>
      <c r="DR116" s="219"/>
      <c r="DS116" s="219"/>
      <c r="DT116" s="219"/>
      <c r="DU116" s="219"/>
      <c r="DV116" s="219"/>
      <c r="DW116" s="219"/>
      <c r="DX116" s="219"/>
      <c r="DY116" s="219"/>
      <c r="DZ116" s="219"/>
      <c r="EA116" s="219"/>
      <c r="EB116" s="219"/>
      <c r="EC116" s="219"/>
      <c r="ED116" s="219"/>
      <c r="EE116" s="219"/>
      <c r="EF116" s="219"/>
      <c r="EG116" s="219"/>
      <c r="EH116" s="219"/>
      <c r="EI116" s="219"/>
      <c r="EJ116" s="219"/>
      <c r="EK116" s="219"/>
      <c r="EL116" s="219"/>
      <c r="EM116" s="219"/>
      <c r="EN116" s="219"/>
      <c r="EO116" s="219"/>
      <c r="EP116" s="219"/>
      <c r="EQ116" s="219"/>
      <c r="ER116" s="219"/>
      <c r="ES116" s="219"/>
      <c r="ET116" s="219"/>
      <c r="EU116" s="219"/>
      <c r="EV116" s="219"/>
      <c r="EW116" s="219"/>
      <c r="EX116" s="219"/>
      <c r="EY116" s="219"/>
      <c r="EZ116" s="219"/>
      <c r="FA116" s="219"/>
      <c r="FB116" s="219"/>
      <c r="FC116" s="219"/>
      <c r="FD116" s="219"/>
      <c r="FE116" s="219"/>
      <c r="FF116" s="219"/>
      <c r="FG116" s="219"/>
      <c r="FH116" s="219"/>
      <c r="FI116" s="219"/>
      <c r="FJ116" s="219"/>
      <c r="FK116" s="219"/>
      <c r="FL116" s="219"/>
      <c r="FM116" s="219"/>
      <c r="FN116" s="219"/>
      <c r="FO116" s="219"/>
      <c r="FP116" s="219"/>
      <c r="FQ116" s="219"/>
      <c r="FR116" s="219"/>
      <c r="FS116" s="219"/>
      <c r="FT116" s="219"/>
      <c r="FU116" s="219"/>
      <c r="FV116" s="219"/>
      <c r="FW116" s="219"/>
      <c r="FX116" s="219"/>
      <c r="FY116" s="219"/>
      <c r="FZ116" s="219"/>
      <c r="GA116" s="219"/>
      <c r="GB116" s="2"/>
      <c r="GC116" s="2"/>
      <c r="GD116" s="219"/>
      <c r="GE116" s="219"/>
      <c r="GF116" s="219"/>
      <c r="GG116" s="219"/>
      <c r="GH116" s="219"/>
      <c r="GI116" s="219"/>
      <c r="GJ116" s="219"/>
      <c r="GK116" s="219"/>
      <c r="GL116" s="219"/>
      <c r="GM116" s="219"/>
    </row>
    <row r="117" spans="1:195" ht="6.95" customHeight="1" x14ac:dyDescent="0.15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1"/>
      <c r="Z117" s="93"/>
      <c r="AA117" s="93"/>
      <c r="AB117" s="93"/>
      <c r="AC117" s="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219"/>
      <c r="BG117" s="219"/>
      <c r="BH117" s="219"/>
      <c r="BI117" s="219"/>
      <c r="BJ117" s="219"/>
      <c r="BK117" s="219"/>
      <c r="BL117" s="219"/>
      <c r="BM117" s="219"/>
      <c r="BN117" s="219"/>
      <c r="BO117" s="219"/>
      <c r="BP117" s="219"/>
      <c r="BQ117" s="219"/>
      <c r="BR117" s="219"/>
      <c r="BS117" s="219"/>
      <c r="BT117" s="219"/>
      <c r="BU117" s="219"/>
      <c r="BV117" s="219"/>
      <c r="BW117" s="219"/>
      <c r="BX117" s="219"/>
      <c r="BY117" s="219"/>
      <c r="BZ117" s="219"/>
      <c r="CA117" s="219"/>
      <c r="CB117" s="219"/>
      <c r="CC117" s="219"/>
      <c r="CD117" s="219"/>
      <c r="CE117" s="219"/>
      <c r="CF117" s="219"/>
      <c r="CG117" s="219"/>
      <c r="CH117" s="219"/>
      <c r="CI117" s="219"/>
      <c r="CJ117" s="219"/>
      <c r="CK117" s="219"/>
      <c r="CL117" s="219"/>
      <c r="CM117" s="219"/>
      <c r="CN117" s="219"/>
      <c r="CO117" s="219"/>
      <c r="CP117" s="219"/>
      <c r="CQ117" s="219"/>
      <c r="CR117" s="219"/>
      <c r="CS117" s="219"/>
      <c r="CT117" s="219"/>
      <c r="CU117" s="219"/>
      <c r="CV117" s="219"/>
      <c r="CW117" s="219"/>
      <c r="CX117" s="219"/>
      <c r="CY117" s="219"/>
      <c r="CZ117" s="219"/>
      <c r="DA117" s="219"/>
      <c r="DB117" s="219"/>
      <c r="DC117" s="219"/>
      <c r="DD117" s="219"/>
      <c r="DE117" s="219"/>
      <c r="DF117" s="219"/>
      <c r="DG117" s="219"/>
      <c r="DH117" s="219"/>
      <c r="DI117" s="219"/>
      <c r="DJ117" s="219"/>
      <c r="DK117" s="219"/>
      <c r="DL117" s="219"/>
      <c r="DM117" s="219"/>
      <c r="DN117" s="219"/>
      <c r="DO117" s="219"/>
      <c r="DP117" s="219"/>
      <c r="DQ117" s="219"/>
      <c r="DR117" s="219"/>
      <c r="DS117" s="219"/>
      <c r="DT117" s="219"/>
      <c r="DU117" s="219"/>
      <c r="DV117" s="219"/>
      <c r="DW117" s="219"/>
      <c r="DX117" s="219"/>
      <c r="DY117" s="219"/>
      <c r="DZ117" s="219"/>
      <c r="EA117" s="219"/>
      <c r="EB117" s="219"/>
      <c r="EC117" s="219"/>
      <c r="ED117" s="219"/>
      <c r="EE117" s="219"/>
      <c r="EF117" s="219"/>
      <c r="EG117" s="219"/>
      <c r="EH117" s="219"/>
      <c r="EI117" s="219"/>
      <c r="EJ117" s="219"/>
      <c r="EK117" s="219"/>
      <c r="EL117" s="219"/>
      <c r="EM117" s="219"/>
      <c r="EN117" s="219"/>
      <c r="EO117" s="219"/>
      <c r="EP117" s="219"/>
      <c r="EQ117" s="219"/>
      <c r="ER117" s="219"/>
      <c r="ES117" s="219"/>
      <c r="ET117" s="219"/>
      <c r="EU117" s="219"/>
      <c r="EV117" s="219"/>
      <c r="EW117" s="219"/>
      <c r="EX117" s="219"/>
      <c r="EY117" s="219"/>
      <c r="EZ117" s="219"/>
      <c r="FA117" s="219"/>
      <c r="FB117" s="219"/>
      <c r="FC117" s="219"/>
      <c r="FD117" s="219"/>
      <c r="FE117" s="219"/>
      <c r="FF117" s="219"/>
      <c r="FG117" s="219"/>
      <c r="FH117" s="219"/>
      <c r="FI117" s="219"/>
      <c r="FJ117" s="219"/>
      <c r="FK117" s="219"/>
      <c r="FL117" s="219"/>
      <c r="FM117" s="219"/>
      <c r="FN117" s="219"/>
      <c r="FO117" s="219"/>
      <c r="FP117" s="219"/>
      <c r="FQ117" s="219"/>
      <c r="FR117" s="219"/>
      <c r="FS117" s="219"/>
      <c r="FT117" s="219"/>
      <c r="FU117" s="219"/>
      <c r="FV117" s="219"/>
      <c r="FW117" s="219"/>
      <c r="FX117" s="219"/>
      <c r="FY117" s="219"/>
      <c r="FZ117" s="219"/>
      <c r="GA117" s="219"/>
      <c r="GB117" s="2"/>
      <c r="GC117" s="2"/>
      <c r="GD117" s="219"/>
      <c r="GE117" s="219"/>
      <c r="GF117" s="219"/>
      <c r="GG117" s="219"/>
      <c r="GH117" s="219"/>
      <c r="GI117" s="219"/>
      <c r="GJ117" s="219"/>
      <c r="GK117" s="219"/>
      <c r="GL117" s="219"/>
      <c r="GM117" s="219"/>
    </row>
    <row r="118" spans="1:195" ht="6.95" customHeight="1" x14ac:dyDescent="0.15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3"/>
      <c r="AA118" s="93"/>
      <c r="AB118" s="93"/>
      <c r="AC118" s="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219"/>
      <c r="BG118" s="219"/>
      <c r="BH118" s="219"/>
      <c r="BI118" s="219"/>
      <c r="BJ118" s="219"/>
      <c r="BK118" s="219"/>
      <c r="BL118" s="219"/>
      <c r="BM118" s="219"/>
      <c r="BN118" s="219"/>
      <c r="BO118" s="219"/>
      <c r="BP118" s="219"/>
      <c r="BQ118" s="219"/>
      <c r="BR118" s="219"/>
      <c r="BS118" s="219"/>
      <c r="BT118" s="219"/>
      <c r="BU118" s="219"/>
      <c r="BV118" s="219"/>
      <c r="BW118" s="219"/>
      <c r="BX118" s="219"/>
      <c r="BY118" s="219"/>
      <c r="BZ118" s="219"/>
      <c r="CA118" s="219"/>
      <c r="CB118" s="219"/>
      <c r="CC118" s="219"/>
      <c r="CD118" s="219"/>
      <c r="CE118" s="219"/>
      <c r="CF118" s="219"/>
      <c r="CG118" s="219"/>
      <c r="CH118" s="219"/>
      <c r="CI118" s="219"/>
      <c r="CJ118" s="219"/>
      <c r="CK118" s="219"/>
      <c r="CL118" s="219"/>
      <c r="CM118" s="219"/>
      <c r="CN118" s="219"/>
      <c r="CO118" s="219"/>
      <c r="CP118" s="219"/>
      <c r="CQ118" s="219"/>
      <c r="CR118" s="219"/>
      <c r="CS118" s="219"/>
      <c r="CT118" s="219"/>
      <c r="CU118" s="219"/>
      <c r="CV118" s="219"/>
      <c r="CW118" s="219"/>
      <c r="CX118" s="219"/>
      <c r="CY118" s="219"/>
      <c r="CZ118" s="219"/>
      <c r="DA118" s="219"/>
      <c r="DB118" s="219"/>
      <c r="DC118" s="219"/>
      <c r="DD118" s="219"/>
      <c r="DE118" s="219"/>
      <c r="DF118" s="219"/>
      <c r="DG118" s="219"/>
      <c r="DH118" s="219"/>
      <c r="DI118" s="219"/>
      <c r="DJ118" s="219"/>
      <c r="DK118" s="219"/>
      <c r="DL118" s="219"/>
      <c r="DM118" s="219"/>
      <c r="DN118" s="219"/>
      <c r="DO118" s="219"/>
      <c r="DP118" s="219"/>
      <c r="DQ118" s="219"/>
      <c r="DR118" s="219"/>
      <c r="DS118" s="219"/>
      <c r="DT118" s="219"/>
      <c r="DU118" s="219"/>
      <c r="DV118" s="219"/>
      <c r="DW118" s="219"/>
      <c r="DX118" s="219"/>
      <c r="DY118" s="219"/>
      <c r="DZ118" s="219"/>
      <c r="EA118" s="219"/>
      <c r="EB118" s="219"/>
      <c r="EC118" s="219"/>
      <c r="ED118" s="219"/>
      <c r="EE118" s="219"/>
      <c r="EF118" s="219"/>
      <c r="EG118" s="219"/>
      <c r="EH118" s="219"/>
      <c r="EI118" s="219"/>
      <c r="EJ118" s="219"/>
      <c r="EK118" s="219"/>
      <c r="EL118" s="219"/>
      <c r="EM118" s="219"/>
      <c r="EN118" s="219"/>
      <c r="EO118" s="219"/>
      <c r="EP118" s="219"/>
      <c r="EQ118" s="219"/>
      <c r="ER118" s="219"/>
      <c r="ES118" s="219"/>
      <c r="ET118" s="219"/>
      <c r="EU118" s="219"/>
      <c r="EV118" s="219"/>
      <c r="EW118" s="219"/>
      <c r="EX118" s="219"/>
      <c r="EY118" s="219"/>
      <c r="EZ118" s="219"/>
      <c r="FA118" s="219"/>
      <c r="FB118" s="219"/>
      <c r="FC118" s="219"/>
      <c r="FD118" s="219"/>
      <c r="FE118" s="219"/>
      <c r="FF118" s="219"/>
      <c r="FG118" s="219"/>
      <c r="FH118" s="219"/>
      <c r="FI118" s="219"/>
      <c r="FJ118" s="219"/>
      <c r="FK118" s="219"/>
      <c r="FL118" s="219"/>
      <c r="FM118" s="219"/>
      <c r="FN118" s="219"/>
      <c r="FO118" s="219"/>
      <c r="FP118" s="219"/>
      <c r="FQ118" s="219"/>
      <c r="FR118" s="219"/>
      <c r="FS118" s="219"/>
      <c r="FT118" s="219"/>
      <c r="FU118" s="219"/>
      <c r="FV118" s="219"/>
      <c r="FW118" s="219"/>
      <c r="FX118" s="219"/>
      <c r="FY118" s="219"/>
      <c r="FZ118" s="219"/>
      <c r="GA118" s="219"/>
      <c r="GB118" s="2"/>
      <c r="GC118" s="2"/>
      <c r="GD118" s="219"/>
      <c r="GE118" s="219"/>
      <c r="GF118" s="219"/>
      <c r="GG118" s="219"/>
      <c r="GH118" s="219"/>
      <c r="GI118" s="219"/>
      <c r="GJ118" s="219"/>
      <c r="GK118" s="219"/>
      <c r="GL118" s="219"/>
      <c r="GM118" s="219"/>
    </row>
    <row r="119" spans="1:195" ht="6.95" customHeight="1" x14ac:dyDescent="0.15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219"/>
      <c r="BG119" s="219"/>
      <c r="BH119" s="219"/>
      <c r="BI119" s="219"/>
      <c r="BJ119" s="219"/>
      <c r="BK119" s="219"/>
      <c r="BL119" s="219"/>
      <c r="BM119" s="219"/>
      <c r="BN119" s="219"/>
      <c r="BO119" s="219"/>
      <c r="BP119" s="219"/>
      <c r="BQ119" s="219"/>
      <c r="BR119" s="219"/>
      <c r="BS119" s="219"/>
      <c r="BT119" s="219"/>
      <c r="BU119" s="219"/>
      <c r="BV119" s="219"/>
      <c r="BW119" s="219"/>
      <c r="BX119" s="219"/>
      <c r="BY119" s="219"/>
      <c r="BZ119" s="219"/>
      <c r="CA119" s="219"/>
      <c r="CB119" s="219"/>
      <c r="CC119" s="219"/>
      <c r="CD119" s="219"/>
      <c r="CE119" s="219"/>
      <c r="CF119" s="219"/>
      <c r="CG119" s="219"/>
      <c r="CH119" s="219"/>
      <c r="CI119" s="219"/>
      <c r="CJ119" s="219"/>
      <c r="CK119" s="219"/>
      <c r="CL119" s="219"/>
      <c r="CM119" s="219"/>
      <c r="CN119" s="219"/>
      <c r="CO119" s="219"/>
      <c r="CP119" s="219"/>
      <c r="CQ119" s="219"/>
      <c r="CR119" s="219"/>
      <c r="CS119" s="219"/>
      <c r="CT119" s="219"/>
      <c r="CU119" s="219"/>
      <c r="CV119" s="219"/>
      <c r="CW119" s="219"/>
      <c r="CX119" s="219"/>
      <c r="CY119" s="219"/>
      <c r="CZ119" s="219"/>
      <c r="DA119" s="219"/>
      <c r="DB119" s="219"/>
      <c r="DC119" s="219"/>
      <c r="DD119" s="219"/>
      <c r="DE119" s="219"/>
      <c r="DF119" s="219"/>
      <c r="DG119" s="219"/>
      <c r="DH119" s="219"/>
      <c r="DI119" s="219"/>
      <c r="DJ119" s="219"/>
      <c r="DK119" s="219"/>
      <c r="DL119" s="219"/>
      <c r="DM119" s="219"/>
      <c r="DN119" s="219"/>
      <c r="DO119" s="219"/>
      <c r="DP119" s="219"/>
      <c r="DQ119" s="219"/>
      <c r="DR119" s="219"/>
      <c r="DS119" s="219"/>
      <c r="DT119" s="219"/>
      <c r="DU119" s="219"/>
      <c r="DV119" s="219"/>
      <c r="DW119" s="219"/>
      <c r="DX119" s="219"/>
      <c r="DY119" s="219"/>
      <c r="DZ119" s="219"/>
      <c r="EA119" s="219"/>
      <c r="EB119" s="219"/>
      <c r="EC119" s="219"/>
      <c r="ED119" s="219"/>
      <c r="EE119" s="219"/>
      <c r="EF119" s="219"/>
      <c r="EG119" s="219"/>
      <c r="EH119" s="219"/>
      <c r="EI119" s="219"/>
      <c r="EJ119" s="219"/>
      <c r="EK119" s="219"/>
      <c r="EL119" s="219"/>
      <c r="EM119" s="219"/>
      <c r="EN119" s="219"/>
      <c r="EO119" s="219"/>
      <c r="EP119" s="219"/>
      <c r="EQ119" s="219"/>
      <c r="ER119" s="219"/>
      <c r="ES119" s="219"/>
      <c r="ET119" s="219"/>
      <c r="EU119" s="219"/>
      <c r="EV119" s="219"/>
      <c r="EW119" s="219"/>
      <c r="EX119" s="219"/>
      <c r="EY119" s="219"/>
      <c r="EZ119" s="219"/>
      <c r="FA119" s="219"/>
      <c r="FB119" s="219"/>
      <c r="FC119" s="219"/>
      <c r="FD119" s="219"/>
      <c r="FE119" s="219"/>
      <c r="FF119" s="219"/>
      <c r="FG119" s="219"/>
      <c r="FH119" s="219"/>
      <c r="FI119" s="219"/>
      <c r="FJ119" s="219"/>
      <c r="FK119" s="219"/>
      <c r="FL119" s="219"/>
      <c r="FM119" s="219"/>
      <c r="FN119" s="219"/>
      <c r="FO119" s="219"/>
      <c r="FP119" s="219"/>
      <c r="FQ119" s="219"/>
      <c r="FR119" s="219"/>
      <c r="FS119" s="219"/>
      <c r="FT119" s="219"/>
      <c r="FU119" s="219"/>
      <c r="FV119" s="219"/>
      <c r="FW119" s="219"/>
      <c r="FX119" s="219"/>
      <c r="FY119" s="219"/>
      <c r="FZ119" s="219"/>
      <c r="GA119" s="219"/>
      <c r="GB119" s="2"/>
      <c r="GC119" s="2"/>
      <c r="GD119" s="219"/>
      <c r="GE119" s="219"/>
      <c r="GF119" s="219"/>
      <c r="GG119" s="219"/>
      <c r="GH119" s="219"/>
      <c r="GI119" s="219"/>
      <c r="GJ119" s="219"/>
      <c r="GK119" s="219"/>
      <c r="GL119" s="219"/>
      <c r="GM119" s="219"/>
    </row>
    <row r="120" spans="1:195" ht="6.95" customHeight="1" x14ac:dyDescent="0.15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219"/>
      <c r="BG120" s="219"/>
      <c r="BH120" s="219"/>
      <c r="BI120" s="219"/>
      <c r="BJ120" s="219"/>
      <c r="BK120" s="219"/>
      <c r="BL120" s="219"/>
      <c r="BM120" s="219"/>
      <c r="BN120" s="219"/>
      <c r="BO120" s="219"/>
      <c r="BP120" s="219"/>
      <c r="BQ120" s="219"/>
      <c r="BR120" s="219"/>
      <c r="BS120" s="219"/>
      <c r="BT120" s="219"/>
      <c r="BU120" s="219"/>
      <c r="BV120" s="219"/>
      <c r="BW120" s="219"/>
      <c r="BX120" s="219"/>
      <c r="BY120" s="219"/>
      <c r="BZ120" s="219"/>
      <c r="CA120" s="219"/>
      <c r="CB120" s="219"/>
      <c r="CC120" s="219"/>
      <c r="CD120" s="219"/>
      <c r="CE120" s="219"/>
      <c r="CF120" s="219"/>
      <c r="CG120" s="219"/>
      <c r="CH120" s="219"/>
      <c r="CI120" s="219"/>
      <c r="CJ120" s="219"/>
      <c r="CK120" s="219"/>
      <c r="CL120" s="219"/>
      <c r="CM120" s="219"/>
      <c r="CN120" s="219"/>
      <c r="CO120" s="219"/>
      <c r="CP120" s="219"/>
      <c r="CQ120" s="219"/>
      <c r="CR120" s="219"/>
      <c r="CS120" s="219"/>
      <c r="CT120" s="219"/>
      <c r="CU120" s="219"/>
      <c r="CV120" s="219"/>
      <c r="CW120" s="219"/>
      <c r="CX120" s="219"/>
      <c r="CY120" s="219"/>
      <c r="CZ120" s="219"/>
      <c r="DA120" s="219"/>
      <c r="DB120" s="219"/>
      <c r="DC120" s="219"/>
      <c r="DD120" s="219"/>
      <c r="DE120" s="219"/>
      <c r="DF120" s="219"/>
      <c r="DG120" s="219"/>
      <c r="DH120" s="219"/>
      <c r="DI120" s="219"/>
      <c r="DJ120" s="219"/>
      <c r="DK120" s="219"/>
      <c r="DL120" s="219"/>
      <c r="DM120" s="219"/>
      <c r="DN120" s="219"/>
      <c r="DO120" s="219"/>
      <c r="DP120" s="219"/>
      <c r="DQ120" s="219"/>
      <c r="DR120" s="219"/>
      <c r="DS120" s="219"/>
      <c r="DT120" s="219"/>
      <c r="DU120" s="219"/>
      <c r="DV120" s="219"/>
      <c r="DW120" s="219"/>
      <c r="DX120" s="219"/>
      <c r="DY120" s="219"/>
      <c r="DZ120" s="219"/>
      <c r="EA120" s="219"/>
      <c r="EB120" s="219"/>
      <c r="EC120" s="219"/>
      <c r="ED120" s="219"/>
      <c r="EE120" s="219"/>
      <c r="EF120" s="219"/>
      <c r="EG120" s="219"/>
      <c r="EH120" s="219"/>
      <c r="EI120" s="219"/>
      <c r="EJ120" s="219"/>
      <c r="EK120" s="219"/>
      <c r="EL120" s="219"/>
      <c r="EM120" s="219"/>
      <c r="EN120" s="219"/>
      <c r="EO120" s="219"/>
      <c r="EP120" s="219"/>
      <c r="EQ120" s="219"/>
      <c r="ER120" s="219"/>
      <c r="ES120" s="219"/>
      <c r="ET120" s="219"/>
      <c r="EU120" s="219"/>
      <c r="EV120" s="219"/>
      <c r="EW120" s="219"/>
      <c r="EX120" s="219"/>
      <c r="EY120" s="219"/>
      <c r="EZ120" s="219"/>
      <c r="FA120" s="219"/>
      <c r="FB120" s="219"/>
      <c r="FC120" s="219"/>
      <c r="FD120" s="219"/>
      <c r="FE120" s="219"/>
      <c r="FF120" s="219"/>
      <c r="FG120" s="219"/>
      <c r="FH120" s="219"/>
      <c r="FI120" s="219"/>
      <c r="FJ120" s="219"/>
      <c r="FK120" s="219"/>
      <c r="FL120" s="219"/>
      <c r="FM120" s="219"/>
      <c r="FN120" s="219"/>
      <c r="FO120" s="219"/>
      <c r="FP120" s="219"/>
      <c r="FQ120" s="219"/>
      <c r="FR120" s="219"/>
      <c r="FS120" s="219"/>
      <c r="FT120" s="219"/>
      <c r="FU120" s="219"/>
      <c r="FV120" s="219"/>
      <c r="FW120" s="219"/>
      <c r="FX120" s="219"/>
      <c r="FY120" s="219"/>
      <c r="FZ120" s="219"/>
      <c r="GA120" s="219"/>
      <c r="GB120" s="2"/>
      <c r="GC120" s="2"/>
      <c r="GD120" s="219"/>
      <c r="GE120" s="219"/>
      <c r="GF120" s="219"/>
      <c r="GG120" s="219"/>
      <c r="GH120" s="219"/>
      <c r="GI120" s="219"/>
      <c r="GJ120" s="219"/>
      <c r="GK120" s="219"/>
      <c r="GL120" s="219"/>
      <c r="GM120" s="219"/>
    </row>
    <row r="121" spans="1:195" ht="6.95" customHeight="1" x14ac:dyDescent="0.1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219"/>
      <c r="BG121" s="219"/>
      <c r="BH121" s="219"/>
      <c r="BI121" s="219"/>
      <c r="BJ121" s="219"/>
      <c r="BK121" s="219"/>
      <c r="BL121" s="219"/>
      <c r="BM121" s="219"/>
      <c r="BN121" s="219"/>
      <c r="BO121" s="219"/>
      <c r="BP121" s="219"/>
      <c r="BQ121" s="219"/>
      <c r="BR121" s="219"/>
      <c r="BS121" s="219"/>
      <c r="BT121" s="219"/>
      <c r="BU121" s="219"/>
      <c r="BV121" s="219"/>
      <c r="BW121" s="219"/>
      <c r="BX121" s="219"/>
      <c r="BY121" s="219"/>
      <c r="BZ121" s="219"/>
      <c r="CA121" s="219"/>
      <c r="CB121" s="219"/>
      <c r="CC121" s="219"/>
      <c r="CD121" s="219"/>
      <c r="CE121" s="219"/>
      <c r="CF121" s="219"/>
      <c r="CG121" s="219"/>
      <c r="CH121" s="219"/>
      <c r="CI121" s="219"/>
      <c r="CJ121" s="219"/>
      <c r="CK121" s="219"/>
      <c r="CL121" s="219"/>
      <c r="CM121" s="219"/>
      <c r="CN121" s="219"/>
      <c r="CO121" s="219"/>
      <c r="CP121" s="219"/>
      <c r="CQ121" s="219"/>
      <c r="CR121" s="219"/>
      <c r="CS121" s="219"/>
      <c r="CT121" s="219"/>
      <c r="CU121" s="219"/>
      <c r="CV121" s="219"/>
      <c r="CW121" s="219"/>
      <c r="CX121" s="219"/>
      <c r="CY121" s="219"/>
      <c r="CZ121" s="219"/>
      <c r="DA121" s="219"/>
      <c r="DB121" s="219"/>
      <c r="DC121" s="219"/>
      <c r="DD121" s="219"/>
      <c r="DE121" s="219"/>
      <c r="DF121" s="219"/>
      <c r="DG121" s="219"/>
      <c r="DH121" s="219"/>
      <c r="DI121" s="219"/>
      <c r="DJ121" s="219"/>
      <c r="DK121" s="219"/>
      <c r="DL121" s="219"/>
      <c r="DM121" s="219"/>
      <c r="DN121" s="219"/>
      <c r="DO121" s="219"/>
      <c r="DP121" s="219"/>
      <c r="DQ121" s="219"/>
      <c r="DR121" s="219"/>
      <c r="DS121" s="219"/>
      <c r="DT121" s="219"/>
      <c r="DU121" s="219"/>
      <c r="DV121" s="219"/>
      <c r="DW121" s="219"/>
      <c r="DX121" s="219"/>
      <c r="DY121" s="219"/>
      <c r="DZ121" s="219"/>
      <c r="EA121" s="219"/>
      <c r="EB121" s="219"/>
      <c r="EC121" s="219"/>
      <c r="ED121" s="219"/>
      <c r="EE121" s="219"/>
      <c r="EF121" s="219"/>
      <c r="EG121" s="219"/>
      <c r="EH121" s="219"/>
      <c r="EI121" s="219"/>
      <c r="EJ121" s="219"/>
      <c r="EK121" s="219"/>
      <c r="EL121" s="219"/>
      <c r="EM121" s="219"/>
      <c r="EN121" s="219"/>
      <c r="EO121" s="219"/>
      <c r="EP121" s="219"/>
      <c r="EQ121" s="219"/>
      <c r="ER121" s="219"/>
      <c r="ES121" s="219"/>
      <c r="ET121" s="219"/>
      <c r="EU121" s="219"/>
      <c r="EV121" s="219"/>
      <c r="EW121" s="219"/>
      <c r="EX121" s="219"/>
      <c r="EY121" s="219"/>
      <c r="EZ121" s="219"/>
      <c r="FA121" s="219"/>
      <c r="FB121" s="219"/>
      <c r="FC121" s="219"/>
      <c r="FD121" s="219"/>
      <c r="FE121" s="219"/>
      <c r="FF121" s="219"/>
      <c r="FG121" s="219"/>
      <c r="FH121" s="219"/>
      <c r="FI121" s="219"/>
      <c r="FJ121" s="219"/>
      <c r="FK121" s="219"/>
      <c r="FL121" s="219"/>
      <c r="FM121" s="219"/>
      <c r="FN121" s="219"/>
      <c r="FO121" s="219"/>
      <c r="FP121" s="219"/>
      <c r="FQ121" s="219"/>
      <c r="FR121" s="219"/>
      <c r="FS121" s="219"/>
      <c r="FT121" s="219"/>
      <c r="FU121" s="219"/>
      <c r="FV121" s="219"/>
      <c r="FW121" s="219"/>
      <c r="FX121" s="219"/>
      <c r="FY121" s="219"/>
      <c r="FZ121" s="219"/>
      <c r="GA121" s="219"/>
      <c r="GB121" s="2"/>
      <c r="GC121" s="2"/>
      <c r="GD121" s="219"/>
      <c r="GE121" s="219"/>
      <c r="GF121" s="219"/>
      <c r="GG121" s="219"/>
      <c r="GH121" s="219"/>
      <c r="GI121" s="219"/>
      <c r="GJ121" s="219"/>
      <c r="GK121" s="219"/>
      <c r="GL121" s="219"/>
      <c r="GM121" s="219"/>
    </row>
    <row r="122" spans="1:195" ht="6.9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0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219"/>
      <c r="BG122" s="219"/>
      <c r="BH122" s="219"/>
      <c r="BI122" s="219"/>
      <c r="BJ122" s="219"/>
      <c r="BK122" s="219"/>
      <c r="BL122" s="219"/>
      <c r="BM122" s="219"/>
      <c r="BN122" s="219"/>
      <c r="BO122" s="219"/>
      <c r="BP122" s="219"/>
      <c r="BQ122" s="219"/>
      <c r="BR122" s="219"/>
      <c r="BS122" s="219"/>
      <c r="BT122" s="219"/>
      <c r="BU122" s="219"/>
      <c r="BV122" s="219"/>
      <c r="BW122" s="219"/>
      <c r="BX122" s="219"/>
      <c r="BY122" s="219"/>
      <c r="BZ122" s="219"/>
      <c r="CA122" s="219"/>
      <c r="CB122" s="219"/>
      <c r="CC122" s="219"/>
      <c r="CD122" s="219"/>
      <c r="CE122" s="219"/>
      <c r="CF122" s="219"/>
      <c r="CG122" s="219"/>
      <c r="CH122" s="219"/>
      <c r="CI122" s="219"/>
      <c r="CJ122" s="219"/>
      <c r="CK122" s="219"/>
      <c r="CL122" s="219"/>
      <c r="CM122" s="219"/>
      <c r="CN122" s="219"/>
      <c r="CO122" s="219"/>
      <c r="CP122" s="219"/>
      <c r="CQ122" s="219"/>
      <c r="CR122" s="219"/>
      <c r="CS122" s="219"/>
      <c r="CT122" s="219"/>
      <c r="CU122" s="219"/>
      <c r="CV122" s="219"/>
      <c r="CW122" s="219"/>
      <c r="CX122" s="219"/>
      <c r="CY122" s="219"/>
      <c r="CZ122" s="219"/>
      <c r="DA122" s="219"/>
      <c r="DB122" s="219"/>
      <c r="DC122" s="219"/>
      <c r="DD122" s="219"/>
      <c r="DE122" s="219"/>
      <c r="DF122" s="219"/>
      <c r="DG122" s="219"/>
      <c r="DH122" s="219"/>
      <c r="DI122" s="219"/>
      <c r="DJ122" s="219"/>
      <c r="DK122" s="219"/>
      <c r="DL122" s="219"/>
      <c r="DM122" s="219"/>
      <c r="DN122" s="219"/>
      <c r="DO122" s="219"/>
      <c r="DP122" s="219"/>
      <c r="DQ122" s="219"/>
      <c r="DR122" s="219"/>
      <c r="DS122" s="219"/>
      <c r="DT122" s="219"/>
      <c r="DU122" s="219"/>
      <c r="DV122" s="219"/>
      <c r="DW122" s="219"/>
      <c r="DX122" s="219"/>
      <c r="DY122" s="219"/>
      <c r="DZ122" s="219"/>
      <c r="EA122" s="219"/>
      <c r="EB122" s="219"/>
      <c r="EC122" s="219"/>
      <c r="ED122" s="219"/>
      <c r="EE122" s="219"/>
      <c r="EF122" s="219"/>
      <c r="EG122" s="219"/>
      <c r="EH122" s="219"/>
      <c r="EI122" s="219"/>
      <c r="EJ122" s="219"/>
      <c r="EK122" s="219"/>
      <c r="EL122" s="219"/>
      <c r="EM122" s="219"/>
      <c r="EN122" s="219"/>
      <c r="EO122" s="219"/>
      <c r="EP122" s="219"/>
      <c r="EQ122" s="219"/>
      <c r="ER122" s="219"/>
      <c r="ES122" s="219"/>
      <c r="ET122" s="219"/>
      <c r="EU122" s="219"/>
      <c r="EV122" s="219"/>
      <c r="EW122" s="219"/>
      <c r="EX122" s="219"/>
      <c r="EY122" s="219"/>
      <c r="EZ122" s="219"/>
      <c r="FA122" s="219"/>
      <c r="FB122" s="219"/>
      <c r="FC122" s="219"/>
      <c r="FD122" s="219"/>
      <c r="FE122" s="219"/>
      <c r="FF122" s="219"/>
      <c r="FG122" s="219"/>
      <c r="FH122" s="219"/>
      <c r="FI122" s="219"/>
      <c r="FJ122" s="219"/>
      <c r="FK122" s="219"/>
      <c r="FL122" s="219"/>
      <c r="FM122" s="219"/>
      <c r="FN122" s="219"/>
      <c r="FO122" s="219"/>
      <c r="FP122" s="219"/>
      <c r="FQ122" s="219"/>
      <c r="FR122" s="219"/>
      <c r="FS122" s="219"/>
      <c r="FT122" s="219"/>
      <c r="FU122" s="219"/>
      <c r="FV122" s="219"/>
      <c r="FW122" s="219"/>
      <c r="FX122" s="219"/>
      <c r="FY122" s="219"/>
      <c r="FZ122" s="219"/>
      <c r="GA122" s="219"/>
      <c r="GB122" s="2"/>
      <c r="GC122" s="2"/>
      <c r="GD122" s="219"/>
      <c r="GE122" s="219"/>
      <c r="GF122" s="219"/>
      <c r="GG122" s="219"/>
      <c r="GH122" s="219"/>
      <c r="GI122" s="219"/>
      <c r="GJ122" s="219"/>
      <c r="GK122" s="219"/>
      <c r="GL122" s="219"/>
      <c r="GM122" s="219"/>
    </row>
    <row r="123" spans="1:195" ht="6.9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0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219"/>
      <c r="BG123" s="219"/>
      <c r="BH123" s="219"/>
      <c r="BI123" s="219"/>
      <c r="BJ123" s="219"/>
      <c r="BK123" s="219"/>
      <c r="BL123" s="219"/>
      <c r="BM123" s="219"/>
      <c r="BN123" s="219"/>
      <c r="BO123" s="219"/>
      <c r="BP123" s="219"/>
      <c r="BQ123" s="219"/>
      <c r="BR123" s="219"/>
      <c r="BS123" s="219"/>
      <c r="BT123" s="219"/>
      <c r="BU123" s="219"/>
      <c r="BV123" s="219"/>
      <c r="BW123" s="219"/>
      <c r="BX123" s="219"/>
      <c r="BY123" s="219"/>
      <c r="BZ123" s="219"/>
      <c r="CA123" s="219"/>
      <c r="CB123" s="219"/>
      <c r="CC123" s="219"/>
      <c r="CD123" s="219"/>
      <c r="CE123" s="219"/>
      <c r="CF123" s="219"/>
      <c r="CG123" s="219"/>
      <c r="CH123" s="219"/>
      <c r="CI123" s="219"/>
      <c r="CJ123" s="219"/>
      <c r="CK123" s="219"/>
      <c r="CL123" s="219"/>
      <c r="CM123" s="219"/>
      <c r="CN123" s="219"/>
      <c r="CO123" s="219"/>
      <c r="CP123" s="219"/>
      <c r="CQ123" s="219"/>
      <c r="CR123" s="219"/>
      <c r="CS123" s="219"/>
      <c r="CT123" s="219"/>
      <c r="CU123" s="219"/>
      <c r="CV123" s="219"/>
      <c r="CW123" s="219"/>
      <c r="CX123" s="219"/>
      <c r="CY123" s="219"/>
      <c r="CZ123" s="219"/>
      <c r="DA123" s="219"/>
      <c r="DB123" s="219"/>
      <c r="DC123" s="219"/>
      <c r="DD123" s="219"/>
      <c r="DE123" s="219"/>
      <c r="DF123" s="219"/>
      <c r="DG123" s="219"/>
      <c r="DH123" s="219"/>
      <c r="DI123" s="219"/>
      <c r="DJ123" s="219"/>
      <c r="DK123" s="219"/>
      <c r="DL123" s="219"/>
      <c r="DM123" s="219"/>
      <c r="DN123" s="219"/>
      <c r="DO123" s="219"/>
      <c r="DP123" s="219"/>
      <c r="DQ123" s="219"/>
      <c r="DR123" s="219"/>
      <c r="DS123" s="219"/>
      <c r="DT123" s="219"/>
      <c r="DU123" s="219"/>
      <c r="DV123" s="219"/>
      <c r="DW123" s="219"/>
      <c r="DX123" s="219"/>
      <c r="DY123" s="219"/>
      <c r="DZ123" s="219"/>
      <c r="EA123" s="219"/>
      <c r="EB123" s="219"/>
      <c r="EC123" s="219"/>
      <c r="ED123" s="219"/>
      <c r="EE123" s="219"/>
      <c r="EF123" s="219"/>
      <c r="EG123" s="219"/>
      <c r="EH123" s="219"/>
      <c r="EI123" s="219"/>
      <c r="EJ123" s="219"/>
      <c r="EK123" s="219"/>
      <c r="EL123" s="219"/>
      <c r="EM123" s="219"/>
      <c r="EN123" s="219"/>
      <c r="EO123" s="219"/>
      <c r="EP123" s="219"/>
      <c r="EQ123" s="219"/>
      <c r="ER123" s="219"/>
      <c r="ES123" s="219"/>
      <c r="ET123" s="219"/>
      <c r="EU123" s="219"/>
      <c r="EV123" s="219"/>
      <c r="EW123" s="219"/>
      <c r="EX123" s="219"/>
      <c r="EY123" s="219"/>
      <c r="EZ123" s="219"/>
      <c r="FA123" s="219"/>
      <c r="FB123" s="219"/>
      <c r="FC123" s="219"/>
      <c r="FD123" s="219"/>
      <c r="FE123" s="219"/>
      <c r="FF123" s="219"/>
      <c r="FG123" s="219"/>
      <c r="FH123" s="219"/>
      <c r="FI123" s="219"/>
      <c r="FJ123" s="219"/>
      <c r="FK123" s="219"/>
      <c r="FL123" s="219"/>
      <c r="FM123" s="219"/>
      <c r="FN123" s="219"/>
      <c r="FO123" s="219"/>
      <c r="FP123" s="219"/>
      <c r="FQ123" s="219"/>
      <c r="FR123" s="219"/>
      <c r="FS123" s="219"/>
      <c r="FT123" s="219"/>
      <c r="FU123" s="219"/>
      <c r="FV123" s="219"/>
      <c r="FW123" s="219"/>
      <c r="FX123" s="219"/>
      <c r="FY123" s="219"/>
      <c r="FZ123" s="219"/>
      <c r="GA123" s="219"/>
      <c r="GB123" s="2"/>
      <c r="GC123" s="2"/>
      <c r="GD123" s="219"/>
      <c r="GE123" s="219"/>
      <c r="GF123" s="219"/>
      <c r="GG123" s="219"/>
      <c r="GH123" s="219"/>
      <c r="GI123" s="219"/>
      <c r="GJ123" s="219"/>
      <c r="GK123" s="219"/>
      <c r="GL123" s="219"/>
      <c r="GM123" s="219"/>
    </row>
    <row r="124" spans="1:195" ht="6.9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0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219"/>
      <c r="BG124" s="219"/>
      <c r="BH124" s="219"/>
      <c r="BI124" s="219"/>
      <c r="BJ124" s="219"/>
      <c r="BK124" s="219"/>
      <c r="BL124" s="219"/>
      <c r="BM124" s="219"/>
      <c r="BN124" s="219"/>
      <c r="BO124" s="219"/>
      <c r="BP124" s="219"/>
      <c r="BQ124" s="219"/>
      <c r="BR124" s="219"/>
      <c r="BS124" s="219"/>
      <c r="BT124" s="219"/>
      <c r="BU124" s="219"/>
      <c r="BV124" s="219"/>
      <c r="BW124" s="219"/>
      <c r="BX124" s="219"/>
      <c r="BY124" s="219"/>
      <c r="BZ124" s="219"/>
      <c r="CA124" s="219"/>
      <c r="CB124" s="219"/>
      <c r="CC124" s="219"/>
      <c r="CD124" s="219"/>
      <c r="CE124" s="219"/>
      <c r="CF124" s="219"/>
      <c r="CG124" s="219"/>
      <c r="CH124" s="219"/>
      <c r="CI124" s="219"/>
      <c r="CJ124" s="219"/>
      <c r="CK124" s="219"/>
      <c r="CL124" s="219"/>
      <c r="CM124" s="219"/>
      <c r="CN124" s="219"/>
      <c r="CO124" s="219"/>
      <c r="CP124" s="219"/>
      <c r="CQ124" s="219"/>
      <c r="CR124" s="219"/>
      <c r="CS124" s="219"/>
      <c r="CT124" s="219"/>
      <c r="CU124" s="219"/>
      <c r="CV124" s="219"/>
      <c r="CW124" s="219"/>
      <c r="CX124" s="219"/>
      <c r="CY124" s="219"/>
      <c r="CZ124" s="219"/>
      <c r="DA124" s="219"/>
      <c r="DB124" s="219"/>
      <c r="DC124" s="219"/>
      <c r="DD124" s="219"/>
      <c r="DE124" s="219"/>
      <c r="DF124" s="219"/>
      <c r="DG124" s="219"/>
      <c r="DH124" s="219"/>
      <c r="DI124" s="219"/>
      <c r="DJ124" s="219"/>
      <c r="DK124" s="219"/>
      <c r="DL124" s="219"/>
      <c r="DM124" s="219"/>
      <c r="DN124" s="219"/>
      <c r="DO124" s="219"/>
      <c r="DP124" s="219"/>
      <c r="DQ124" s="219"/>
      <c r="DR124" s="219"/>
      <c r="DS124" s="219"/>
      <c r="DT124" s="219"/>
      <c r="DU124" s="219"/>
      <c r="DV124" s="219"/>
      <c r="DW124" s="219"/>
      <c r="DX124" s="219"/>
      <c r="DY124" s="219"/>
      <c r="DZ124" s="219"/>
      <c r="EA124" s="219"/>
      <c r="EB124" s="219"/>
      <c r="EC124" s="219"/>
      <c r="ED124" s="219"/>
      <c r="EE124" s="219"/>
      <c r="EF124" s="219"/>
      <c r="EG124" s="219"/>
      <c r="EH124" s="219"/>
      <c r="EI124" s="219"/>
      <c r="EJ124" s="219"/>
      <c r="EK124" s="219"/>
      <c r="EL124" s="219"/>
      <c r="EM124" s="219"/>
      <c r="EN124" s="219"/>
      <c r="EO124" s="219"/>
      <c r="EP124" s="219"/>
      <c r="EQ124" s="219"/>
      <c r="ER124" s="219"/>
      <c r="ES124" s="219"/>
      <c r="ET124" s="219"/>
      <c r="EU124" s="219"/>
      <c r="EV124" s="219"/>
      <c r="EW124" s="219"/>
      <c r="EX124" s="219"/>
      <c r="EY124" s="219"/>
      <c r="EZ124" s="219"/>
      <c r="FA124" s="219"/>
      <c r="FB124" s="219"/>
      <c r="FC124" s="219"/>
      <c r="FD124" s="219"/>
      <c r="FE124" s="219"/>
      <c r="FF124" s="219"/>
      <c r="FG124" s="219"/>
      <c r="FH124" s="219"/>
      <c r="FI124" s="219"/>
      <c r="FJ124" s="219"/>
      <c r="FK124" s="219"/>
      <c r="FL124" s="219"/>
      <c r="FM124" s="219"/>
      <c r="FN124" s="219"/>
      <c r="FO124" s="219"/>
      <c r="FP124" s="219"/>
      <c r="FQ124" s="219"/>
      <c r="FR124" s="219"/>
      <c r="FS124" s="219"/>
      <c r="FT124" s="219"/>
      <c r="FU124" s="219"/>
      <c r="FV124" s="219"/>
      <c r="FW124" s="219"/>
      <c r="FX124" s="219"/>
      <c r="FY124" s="219"/>
      <c r="FZ124" s="219"/>
      <c r="GA124" s="219"/>
      <c r="GB124" s="2"/>
      <c r="GC124" s="2"/>
      <c r="GD124" s="219"/>
      <c r="GE124" s="219"/>
      <c r="GF124" s="219"/>
      <c r="GG124" s="219"/>
      <c r="GH124" s="219"/>
      <c r="GI124" s="219"/>
      <c r="GJ124" s="219"/>
      <c r="GK124" s="219"/>
      <c r="GL124" s="219"/>
      <c r="GM124" s="219"/>
    </row>
    <row r="125" spans="1:195" ht="6.9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0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219"/>
      <c r="BG125" s="219"/>
      <c r="BH125" s="219"/>
      <c r="BI125" s="219"/>
      <c r="BJ125" s="219"/>
      <c r="BK125" s="219"/>
      <c r="BL125" s="219"/>
      <c r="BM125" s="219"/>
      <c r="BN125" s="219"/>
      <c r="BO125" s="219"/>
      <c r="BP125" s="219"/>
      <c r="BQ125" s="219"/>
      <c r="BR125" s="219"/>
      <c r="BS125" s="219"/>
      <c r="BT125" s="219"/>
      <c r="BU125" s="219"/>
      <c r="BV125" s="219"/>
      <c r="BW125" s="219"/>
      <c r="BX125" s="219"/>
      <c r="BY125" s="219"/>
      <c r="BZ125" s="219"/>
      <c r="CA125" s="219"/>
      <c r="CB125" s="219"/>
      <c r="CC125" s="219"/>
      <c r="CD125" s="219"/>
      <c r="CE125" s="219"/>
      <c r="CF125" s="219"/>
      <c r="CG125" s="219"/>
      <c r="CH125" s="219"/>
      <c r="CI125" s="219"/>
      <c r="CJ125" s="219"/>
      <c r="CK125" s="219"/>
      <c r="CL125" s="219"/>
      <c r="CM125" s="219"/>
      <c r="CN125" s="219"/>
      <c r="CO125" s="219"/>
      <c r="CP125" s="219"/>
      <c r="CQ125" s="219"/>
      <c r="CR125" s="219"/>
      <c r="CS125" s="219"/>
      <c r="CT125" s="219"/>
      <c r="CU125" s="219"/>
      <c r="CV125" s="219"/>
      <c r="CW125" s="219"/>
      <c r="CX125" s="219"/>
      <c r="CY125" s="219"/>
      <c r="CZ125" s="219"/>
      <c r="DA125" s="219"/>
      <c r="DB125" s="219"/>
      <c r="DC125" s="219"/>
      <c r="DD125" s="219"/>
      <c r="DE125" s="219"/>
      <c r="DF125" s="219"/>
      <c r="DG125" s="219"/>
      <c r="DH125" s="219"/>
      <c r="DI125" s="219"/>
      <c r="DJ125" s="219"/>
      <c r="DK125" s="219"/>
      <c r="DL125" s="219"/>
      <c r="DM125" s="219"/>
      <c r="DN125" s="219"/>
      <c r="DO125" s="219"/>
      <c r="DP125" s="219"/>
      <c r="DQ125" s="219"/>
      <c r="DR125" s="219"/>
      <c r="DS125" s="219"/>
      <c r="DT125" s="219"/>
      <c r="DU125" s="219"/>
      <c r="DV125" s="219"/>
      <c r="DW125" s="219"/>
      <c r="DX125" s="219"/>
      <c r="DY125" s="219"/>
      <c r="DZ125" s="219"/>
      <c r="EA125" s="219"/>
      <c r="EB125" s="219"/>
      <c r="EC125" s="219"/>
      <c r="ED125" s="219"/>
      <c r="EE125" s="219"/>
      <c r="EF125" s="219"/>
      <c r="EG125" s="219"/>
      <c r="EH125" s="219"/>
      <c r="EI125" s="219"/>
      <c r="EJ125" s="219"/>
      <c r="EK125" s="219"/>
      <c r="EL125" s="219"/>
      <c r="EM125" s="219"/>
      <c r="EN125" s="219"/>
      <c r="EO125" s="219"/>
      <c r="EP125" s="219"/>
      <c r="EQ125" s="219"/>
      <c r="ER125" s="219"/>
      <c r="ES125" s="219"/>
      <c r="ET125" s="219"/>
      <c r="EU125" s="219"/>
      <c r="EV125" s="219"/>
      <c r="EW125" s="219"/>
      <c r="EX125" s="219"/>
      <c r="EY125" s="219"/>
      <c r="EZ125" s="219"/>
      <c r="FA125" s="219"/>
      <c r="FB125" s="219"/>
      <c r="FC125" s="219"/>
      <c r="FD125" s="219"/>
      <c r="FE125" s="219"/>
      <c r="FF125" s="219"/>
      <c r="FG125" s="219"/>
      <c r="FH125" s="219"/>
      <c r="FI125" s="219"/>
      <c r="FJ125" s="219"/>
      <c r="FK125" s="219"/>
      <c r="FL125" s="219"/>
      <c r="FM125" s="219"/>
      <c r="FN125" s="219"/>
      <c r="FO125" s="219"/>
      <c r="FP125" s="219"/>
      <c r="FQ125" s="219"/>
      <c r="FR125" s="219"/>
      <c r="FS125" s="219"/>
      <c r="FT125" s="219"/>
      <c r="FU125" s="219"/>
      <c r="FV125" s="219"/>
      <c r="FW125" s="219"/>
      <c r="FX125" s="219"/>
      <c r="FY125" s="219"/>
      <c r="FZ125" s="194">
        <f>SUM(AK139,BY139,AK189,BY189,AK239,BY239,AK288,BY288,AK338,BY338,AK388,BY388,AK437,BY437,AK496,BY496,AK554,BY554,AK613,BY613)</f>
        <v>13</v>
      </c>
      <c r="GA125" s="194"/>
      <c r="GB125" s="2"/>
      <c r="GC125" s="2"/>
      <c r="GD125" s="219"/>
      <c r="GE125" s="219"/>
      <c r="GF125" s="219"/>
      <c r="GG125" s="219"/>
      <c r="GH125" s="219"/>
      <c r="GI125" s="219"/>
      <c r="GJ125" s="219"/>
      <c r="GK125" s="219"/>
      <c r="GL125" s="219"/>
      <c r="GM125" s="219"/>
    </row>
    <row r="126" spans="1:195" ht="6.95" customHeight="1" x14ac:dyDescent="0.15">
      <c r="A126" s="1"/>
      <c r="B126" s="1"/>
      <c r="C126" s="1"/>
      <c r="D126" s="1"/>
      <c r="E126" s="228"/>
      <c r="F126" s="228"/>
      <c r="G126" s="228"/>
      <c r="H126" s="1"/>
      <c r="I126" s="1"/>
      <c r="J126" s="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0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219"/>
      <c r="BG126" s="219"/>
      <c r="BH126" s="219"/>
      <c r="BI126" s="219"/>
      <c r="BJ126" s="219"/>
      <c r="BK126" s="219"/>
      <c r="BL126" s="219"/>
      <c r="BM126" s="219"/>
      <c r="BN126" s="219"/>
      <c r="BO126" s="219"/>
      <c r="BP126" s="219"/>
      <c r="BQ126" s="219"/>
      <c r="BR126" s="219"/>
      <c r="BS126" s="219"/>
      <c r="BT126" s="219"/>
      <c r="BU126" s="219"/>
      <c r="BV126" s="219"/>
      <c r="BW126" s="219"/>
      <c r="BX126" s="219"/>
      <c r="BY126" s="219"/>
      <c r="BZ126" s="219"/>
      <c r="CA126" s="219"/>
      <c r="CB126" s="219"/>
      <c r="CC126" s="219"/>
      <c r="CD126" s="219"/>
      <c r="CE126" s="219"/>
      <c r="CF126" s="219"/>
      <c r="CG126" s="219"/>
      <c r="CH126" s="219"/>
      <c r="CI126" s="219"/>
      <c r="CJ126" s="219"/>
      <c r="CK126" s="219"/>
      <c r="CL126" s="219"/>
      <c r="CM126" s="219"/>
      <c r="CN126" s="219"/>
      <c r="CO126" s="219"/>
      <c r="CP126" s="219"/>
      <c r="CQ126" s="219"/>
      <c r="CR126" s="219"/>
      <c r="CS126" s="219"/>
      <c r="CT126" s="219"/>
      <c r="CU126" s="219"/>
      <c r="CV126" s="219"/>
      <c r="CW126" s="219"/>
      <c r="CX126" s="219"/>
      <c r="CY126" s="219"/>
      <c r="CZ126" s="219"/>
      <c r="DA126" s="219"/>
      <c r="DB126" s="219"/>
      <c r="DC126" s="219"/>
      <c r="DD126" s="219"/>
      <c r="DE126" s="219"/>
      <c r="DF126" s="219"/>
      <c r="DG126" s="219"/>
      <c r="DH126" s="219"/>
      <c r="DI126" s="219"/>
      <c r="DJ126" s="219"/>
      <c r="DK126" s="219"/>
      <c r="DL126" s="219"/>
      <c r="DM126" s="219"/>
      <c r="DN126" s="219"/>
      <c r="DO126" s="219"/>
      <c r="DP126" s="219"/>
      <c r="DQ126" s="219"/>
      <c r="DR126" s="219"/>
      <c r="DS126" s="219"/>
      <c r="DT126" s="219"/>
      <c r="DU126" s="219"/>
      <c r="DV126" s="219"/>
      <c r="DW126" s="219"/>
      <c r="DX126" s="219"/>
      <c r="DY126" s="219"/>
      <c r="DZ126" s="219"/>
      <c r="EA126" s="219"/>
      <c r="EB126" s="219"/>
      <c r="EC126" s="219"/>
      <c r="ED126" s="219"/>
      <c r="EE126" s="219"/>
      <c r="EF126" s="219"/>
      <c r="EG126" s="219"/>
      <c r="EH126" s="219"/>
      <c r="EI126" s="219"/>
      <c r="EJ126" s="219"/>
      <c r="EK126" s="219"/>
      <c r="EL126" s="219"/>
      <c r="EM126" s="219"/>
      <c r="EN126" s="219"/>
      <c r="EO126" s="219"/>
      <c r="EP126" s="219"/>
      <c r="EQ126" s="219"/>
      <c r="ER126" s="219"/>
      <c r="ES126" s="219"/>
      <c r="ET126" s="219"/>
      <c r="EU126" s="219"/>
      <c r="EV126" s="219"/>
      <c r="EW126" s="219"/>
      <c r="EX126" s="219"/>
      <c r="EY126" s="219"/>
      <c r="EZ126" s="219"/>
      <c r="FA126" s="219"/>
      <c r="FB126" s="219"/>
      <c r="FC126" s="219"/>
      <c r="FD126" s="219"/>
      <c r="FE126" s="219"/>
      <c r="FF126" s="219"/>
      <c r="FG126" s="219"/>
      <c r="FH126" s="219"/>
      <c r="FI126" s="219"/>
      <c r="FJ126" s="219"/>
      <c r="FK126" s="219"/>
      <c r="FL126" s="219"/>
      <c r="FM126" s="219"/>
      <c r="FN126" s="219"/>
      <c r="FO126" s="219"/>
      <c r="FP126" s="219"/>
      <c r="FQ126" s="219"/>
      <c r="FR126" s="219"/>
      <c r="FS126" s="219"/>
      <c r="FT126" s="219"/>
      <c r="FU126" s="219"/>
      <c r="FV126" s="219"/>
      <c r="FW126" s="219"/>
      <c r="FX126" s="219"/>
      <c r="FY126" s="219"/>
      <c r="FZ126" s="194"/>
      <c r="GA126" s="194"/>
      <c r="GB126" s="2"/>
      <c r="GC126" s="2"/>
      <c r="GD126" s="219"/>
      <c r="GE126" s="219"/>
      <c r="GF126" s="219"/>
      <c r="GG126" s="219"/>
      <c r="GH126" s="219"/>
      <c r="GI126" s="219"/>
      <c r="GJ126" s="219"/>
      <c r="GK126" s="219"/>
      <c r="GL126" s="219"/>
      <c r="GM126" s="219"/>
    </row>
    <row r="127" spans="1:195" ht="6.9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0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219"/>
      <c r="BG127" s="219"/>
      <c r="BH127" s="219"/>
      <c r="BI127" s="219"/>
      <c r="BJ127" s="219"/>
      <c r="BK127" s="219"/>
      <c r="BL127" s="219"/>
      <c r="BM127" s="219"/>
      <c r="BN127" s="219"/>
      <c r="BO127" s="219"/>
      <c r="BP127" s="219"/>
      <c r="BQ127" s="219"/>
      <c r="BR127" s="219"/>
      <c r="BS127" s="219"/>
      <c r="BT127" s="219"/>
      <c r="BU127" s="219"/>
      <c r="BV127" s="219"/>
      <c r="BW127" s="219"/>
      <c r="BX127" s="219"/>
      <c r="BY127" s="219"/>
      <c r="BZ127" s="219"/>
      <c r="CA127" s="219"/>
      <c r="CB127" s="219"/>
      <c r="CC127" s="219"/>
      <c r="CD127" s="219"/>
      <c r="CE127" s="219"/>
      <c r="CF127" s="219"/>
      <c r="CG127" s="219"/>
      <c r="CH127" s="219"/>
      <c r="CI127" s="219"/>
      <c r="CJ127" s="219"/>
      <c r="CK127" s="219"/>
      <c r="CL127" s="219"/>
      <c r="CM127" s="219"/>
      <c r="CN127" s="219"/>
      <c r="CO127" s="219"/>
      <c r="CP127" s="219"/>
      <c r="CQ127" s="219"/>
      <c r="CR127" s="219"/>
      <c r="CS127" s="219"/>
      <c r="CT127" s="219"/>
      <c r="CU127" s="219"/>
      <c r="CV127" s="219"/>
      <c r="CW127" s="219"/>
      <c r="CX127" s="219"/>
      <c r="CY127" s="219"/>
      <c r="CZ127" s="219"/>
      <c r="DA127" s="219"/>
      <c r="DB127" s="219"/>
      <c r="DC127" s="219"/>
      <c r="DD127" s="219"/>
      <c r="DE127" s="219"/>
      <c r="DF127" s="219"/>
      <c r="DG127" s="219"/>
      <c r="DH127" s="219"/>
      <c r="DI127" s="219"/>
      <c r="DJ127" s="219"/>
      <c r="DK127" s="219"/>
      <c r="DL127" s="219"/>
      <c r="DM127" s="219"/>
      <c r="DN127" s="219"/>
      <c r="DO127" s="219"/>
      <c r="DP127" s="219"/>
      <c r="DQ127" s="219"/>
      <c r="DR127" s="219"/>
      <c r="DS127" s="219"/>
      <c r="DT127" s="219"/>
      <c r="DU127" s="219"/>
      <c r="DV127" s="219"/>
      <c r="DW127" s="219"/>
      <c r="DX127" s="219"/>
      <c r="DY127" s="219"/>
      <c r="DZ127" s="219"/>
      <c r="EA127" s="219"/>
      <c r="EB127" s="219"/>
      <c r="EC127" s="219"/>
      <c r="ED127" s="219"/>
      <c r="EE127" s="219"/>
      <c r="EF127" s="219"/>
      <c r="EG127" s="219"/>
      <c r="EH127" s="219"/>
      <c r="EI127" s="219"/>
      <c r="EJ127" s="219"/>
      <c r="EK127" s="219"/>
      <c r="EL127" s="219"/>
      <c r="EM127" s="219"/>
      <c r="EN127" s="219"/>
      <c r="EO127" s="219"/>
      <c r="EP127" s="219"/>
      <c r="EQ127" s="219"/>
      <c r="ER127" s="219"/>
      <c r="ES127" s="219"/>
      <c r="ET127" s="219"/>
      <c r="EU127" s="219"/>
      <c r="EV127" s="219"/>
      <c r="EW127" s="219"/>
      <c r="EX127" s="219"/>
      <c r="EY127" s="219"/>
      <c r="EZ127" s="219"/>
      <c r="FA127" s="219"/>
      <c r="FB127" s="219"/>
      <c r="FC127" s="219"/>
      <c r="FD127" s="219"/>
      <c r="FE127" s="219"/>
      <c r="FF127" s="219"/>
      <c r="FG127" s="219"/>
      <c r="FH127" s="219"/>
      <c r="FI127" s="219"/>
      <c r="FJ127" s="219"/>
      <c r="FK127" s="219"/>
      <c r="FL127" s="219"/>
      <c r="FM127" s="219"/>
      <c r="FN127" s="219"/>
      <c r="FO127" s="219"/>
      <c r="FP127" s="219"/>
      <c r="FQ127" s="219"/>
      <c r="FR127" s="219"/>
      <c r="FS127" s="219"/>
      <c r="FT127" s="219"/>
      <c r="FU127" s="219"/>
      <c r="FV127" s="219"/>
      <c r="FW127" s="219"/>
      <c r="FX127" s="219"/>
      <c r="FY127" s="219"/>
      <c r="FZ127" s="219"/>
      <c r="GA127" s="219"/>
      <c r="GB127" s="2"/>
      <c r="GC127" s="2"/>
      <c r="GD127" s="219"/>
      <c r="GE127" s="219"/>
      <c r="GF127" s="219"/>
      <c r="GG127" s="219"/>
      <c r="GH127" s="219"/>
      <c r="GI127" s="219"/>
      <c r="GJ127" s="219"/>
      <c r="GK127" s="219"/>
      <c r="GL127" s="219"/>
      <c r="GM127" s="219"/>
    </row>
    <row r="129" spans="7:188" ht="6.95" customHeight="1" x14ac:dyDescent="0.15">
      <c r="AQ129" s="106"/>
      <c r="AR129" s="106"/>
      <c r="AS129" s="106"/>
      <c r="AT129" s="106"/>
      <c r="AU129" s="82"/>
      <c r="AV129" s="82"/>
      <c r="AW129" s="3"/>
      <c r="AX129" s="3"/>
      <c r="AY129" s="3"/>
      <c r="AZ129" s="3"/>
      <c r="BA129" s="3"/>
      <c r="BB129" s="3"/>
      <c r="BC129" s="3"/>
      <c r="BD129" s="3"/>
      <c r="BE129" s="1"/>
      <c r="BF129" s="1"/>
      <c r="BG129" s="1"/>
      <c r="BQ129" s="3"/>
      <c r="BR129" s="197"/>
      <c r="BS129" s="197"/>
      <c r="BT129" s="197"/>
      <c r="BU129" s="197"/>
      <c r="BV129" s="82"/>
      <c r="BW129" s="82"/>
      <c r="BX129" s="82"/>
      <c r="BY129" s="2"/>
      <c r="BZ129" s="2"/>
      <c r="CA129" s="2"/>
      <c r="CB129" s="2"/>
      <c r="CC129" s="2"/>
      <c r="CD129" s="2"/>
      <c r="CE129" s="2"/>
      <c r="CF129" s="2"/>
      <c r="CG129" s="3"/>
      <c r="CH129" s="82"/>
      <c r="CI129" s="82"/>
      <c r="CJ129" s="3"/>
      <c r="CK129" s="197" t="s">
        <v>27</v>
      </c>
      <c r="CL129" s="197"/>
      <c r="CM129" s="197"/>
      <c r="CN129" s="197"/>
      <c r="CO129" s="82"/>
      <c r="CP129" s="82"/>
      <c r="CQ129" s="3"/>
      <c r="CR129" s="3"/>
      <c r="CS129" s="3"/>
      <c r="CT129" s="3"/>
      <c r="CU129" s="198"/>
      <c r="CV129" s="198"/>
      <c r="CW129" s="198"/>
      <c r="CX129" s="198"/>
      <c r="CY129" s="1"/>
      <c r="CZ129" s="1"/>
      <c r="DA129" s="1"/>
    </row>
    <row r="130" spans="7:188" ht="6.95" customHeight="1" x14ac:dyDescent="0.15">
      <c r="AQ130" s="106"/>
      <c r="AR130" s="106"/>
      <c r="AS130" s="106"/>
      <c r="AT130" s="106"/>
      <c r="AU130" s="82"/>
      <c r="AV130" s="82"/>
      <c r="AW130" s="3"/>
      <c r="AX130" s="3"/>
      <c r="AY130" s="3"/>
      <c r="AZ130" s="3"/>
      <c r="BA130" s="3"/>
      <c r="BB130" s="3"/>
      <c r="BC130" s="3"/>
      <c r="BD130" s="3"/>
      <c r="BE130" s="1"/>
      <c r="BF130" s="1"/>
      <c r="BG130" s="1"/>
      <c r="BQ130" s="3"/>
      <c r="BR130" s="197"/>
      <c r="BS130" s="197"/>
      <c r="BT130" s="197"/>
      <c r="BU130" s="197"/>
      <c r="BV130" s="82"/>
      <c r="BW130" s="82"/>
      <c r="BX130" s="82"/>
      <c r="BY130" s="2"/>
      <c r="BZ130" s="2"/>
      <c r="CA130" s="2"/>
      <c r="CB130" s="2"/>
      <c r="CC130" s="2"/>
      <c r="CD130" s="2"/>
      <c r="CE130" s="2"/>
      <c r="CF130" s="2"/>
      <c r="CG130" s="3"/>
      <c r="CH130" s="82"/>
      <c r="CI130" s="82"/>
      <c r="CJ130" s="3"/>
      <c r="CK130" s="197"/>
      <c r="CL130" s="197"/>
      <c r="CM130" s="197"/>
      <c r="CN130" s="197"/>
      <c r="CO130" s="82"/>
      <c r="CP130" s="82"/>
      <c r="CQ130" s="3"/>
      <c r="CR130" s="3"/>
      <c r="CS130" s="3"/>
      <c r="CT130" s="3"/>
      <c r="CU130" s="198"/>
      <c r="CV130" s="198"/>
      <c r="CW130" s="198"/>
      <c r="CX130" s="198"/>
      <c r="CY130" s="1"/>
      <c r="CZ130" s="1"/>
      <c r="DA130" s="1"/>
    </row>
    <row r="131" spans="7:188" ht="6.95" customHeight="1" x14ac:dyDescent="0.15">
      <c r="AQ131" s="197" t="s">
        <v>27</v>
      </c>
      <c r="AR131" s="197"/>
      <c r="AS131" s="197"/>
      <c r="AT131" s="197"/>
      <c r="AU131" s="106"/>
      <c r="AV131" s="218">
        <v>1000</v>
      </c>
      <c r="AW131" s="218"/>
      <c r="AX131" s="218"/>
      <c r="AY131" s="218"/>
      <c r="AZ131" s="218"/>
      <c r="BA131" s="218"/>
      <c r="BB131" s="218"/>
      <c r="BC131" s="3"/>
      <c r="BD131" s="3"/>
      <c r="BE131" s="1"/>
      <c r="BF131" s="1"/>
      <c r="BG131" s="1"/>
      <c r="BQ131" s="3"/>
      <c r="BR131" s="3"/>
      <c r="BS131" s="3"/>
      <c r="BT131" s="3"/>
      <c r="BU131" s="2"/>
      <c r="BV131" s="2"/>
      <c r="BW131" s="2"/>
      <c r="BX131" s="2"/>
      <c r="BY131" s="2"/>
      <c r="BZ131" s="82"/>
      <c r="CA131" s="82"/>
      <c r="CB131" s="82"/>
      <c r="CC131" s="82"/>
      <c r="CD131" s="82"/>
      <c r="CE131" s="82"/>
      <c r="CF131" s="2"/>
      <c r="CG131" s="3"/>
      <c r="CH131" s="82"/>
      <c r="CI131" s="82"/>
      <c r="CJ131" s="3"/>
      <c r="CK131" s="3"/>
      <c r="CL131" s="2"/>
      <c r="CM131" s="3"/>
      <c r="CN131" s="82"/>
      <c r="CO131" s="82"/>
      <c r="CP131" s="3"/>
      <c r="CQ131" s="3"/>
      <c r="CR131" s="3"/>
      <c r="CS131" s="3"/>
      <c r="CT131" s="3"/>
      <c r="CU131" s="3"/>
      <c r="CV131" s="3"/>
      <c r="CW131" s="3"/>
      <c r="CX131" s="3"/>
      <c r="CY131" s="1"/>
      <c r="CZ131" s="1"/>
      <c r="DA131" s="1"/>
    </row>
    <row r="132" spans="7:188" ht="6.95" customHeight="1" x14ac:dyDescent="0.15">
      <c r="AQ132" s="197"/>
      <c r="AR132" s="197"/>
      <c r="AS132" s="197"/>
      <c r="AT132" s="197"/>
      <c r="AU132" s="106"/>
      <c r="AV132" s="218"/>
      <c r="AW132" s="218"/>
      <c r="AX132" s="218"/>
      <c r="AY132" s="218"/>
      <c r="AZ132" s="218"/>
      <c r="BA132" s="218"/>
      <c r="BB132" s="218"/>
      <c r="BC132" s="3"/>
      <c r="BD132" s="3"/>
      <c r="BE132" s="1"/>
      <c r="BF132" s="1"/>
      <c r="BG132" s="1"/>
      <c r="BQ132" s="3"/>
      <c r="BR132" s="199"/>
      <c r="BS132" s="199"/>
      <c r="BT132" s="199"/>
      <c r="BU132" s="199"/>
      <c r="BV132" s="4"/>
      <c r="BW132" s="4"/>
      <c r="BX132" s="4"/>
      <c r="BY132" s="4"/>
      <c r="BZ132" s="82"/>
      <c r="CA132" s="82"/>
      <c r="CB132" s="82"/>
      <c r="CC132" s="82"/>
      <c r="CD132" s="82"/>
      <c r="CE132" s="82"/>
      <c r="CF132" s="4"/>
      <c r="CG132" s="3"/>
      <c r="CH132" s="3"/>
      <c r="CI132" s="3"/>
      <c r="CJ132" s="3"/>
      <c r="CK132" s="3"/>
      <c r="CL132" s="4"/>
      <c r="CM132" s="3"/>
      <c r="CN132" s="3"/>
      <c r="CO132" s="3"/>
      <c r="CP132" s="3"/>
      <c r="CQ132" s="3"/>
      <c r="CR132" s="3"/>
      <c r="CS132" s="3"/>
      <c r="CT132" s="197">
        <f>CHOOSE(SUM(($BR$138&gt;={700,750})*1), 700,800)</f>
        <v>800</v>
      </c>
      <c r="CU132" s="197"/>
      <c r="CV132" s="197"/>
      <c r="CW132" s="197"/>
      <c r="CX132" s="3"/>
      <c r="CY132" s="1"/>
      <c r="CZ132" s="1"/>
      <c r="DA132" s="1"/>
    </row>
    <row r="133" spans="7:188" ht="6.95" customHeight="1" x14ac:dyDescent="0.15">
      <c r="AQ133" s="3"/>
      <c r="AR133" s="2"/>
      <c r="AS133" s="3"/>
      <c r="AT133" s="82"/>
      <c r="AU133" s="82"/>
      <c r="AV133" s="3"/>
      <c r="AW133" s="3"/>
      <c r="AX133" s="3"/>
      <c r="AY133" s="3"/>
      <c r="AZ133" s="3"/>
      <c r="BA133" s="3"/>
      <c r="BB133" s="3"/>
      <c r="BC133" s="3"/>
      <c r="BD133" s="3"/>
      <c r="BE133" s="1"/>
      <c r="BF133" s="1"/>
      <c r="BG133" s="1"/>
      <c r="BQ133" s="3"/>
      <c r="BR133" s="199"/>
      <c r="BS133" s="199"/>
      <c r="BT133" s="199"/>
      <c r="BU133" s="199"/>
      <c r="BV133" s="4"/>
      <c r="BW133" s="4"/>
      <c r="BX133" s="4"/>
      <c r="BY133" s="4"/>
      <c r="BZ133" s="82"/>
      <c r="CA133" s="82"/>
      <c r="CB133" s="82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197"/>
      <c r="CU133" s="197"/>
      <c r="CV133" s="197"/>
      <c r="CW133" s="197"/>
      <c r="CX133" s="4"/>
      <c r="CY133" s="1"/>
      <c r="CZ133" s="1"/>
      <c r="DA133" s="1"/>
    </row>
    <row r="134" spans="7:188" ht="11.25" customHeight="1" x14ac:dyDescent="0.15">
      <c r="G134" t="s">
        <v>32</v>
      </c>
      <c r="T134" t="s">
        <v>36</v>
      </c>
      <c r="AQ134" s="3"/>
      <c r="AR134" s="4"/>
      <c r="AS134" s="3"/>
      <c r="AT134" s="3"/>
      <c r="AU134" s="3"/>
      <c r="AV134" s="3"/>
      <c r="AW134" s="3"/>
      <c r="AX134" s="3"/>
      <c r="AY134" s="3"/>
      <c r="AZ134" s="106"/>
      <c r="BA134" s="106"/>
      <c r="BB134" s="106"/>
      <c r="BC134" s="106"/>
      <c r="BD134" s="3"/>
      <c r="BE134" s="1"/>
      <c r="BF134" s="1"/>
      <c r="BG134" s="1"/>
      <c r="BQ134" s="3"/>
      <c r="BR134" s="3"/>
      <c r="BS134" s="3"/>
      <c r="BT134" s="3"/>
      <c r="BU134" s="4"/>
      <c r="BV134" s="4"/>
      <c r="BW134" s="4"/>
      <c r="BX134" s="4"/>
      <c r="BY134" s="88"/>
      <c r="BZ134" s="88"/>
      <c r="CA134" s="88"/>
      <c r="CB134" s="88"/>
      <c r="CC134" s="88"/>
      <c r="CD134" s="88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1"/>
      <c r="CZ134" s="1"/>
      <c r="DA134" s="1"/>
    </row>
    <row r="135" spans="7:188" ht="11.25" customHeight="1" x14ac:dyDescent="0.15">
      <c r="G135" t="s">
        <v>33</v>
      </c>
      <c r="T135" t="s">
        <v>37</v>
      </c>
      <c r="AQ135" s="4"/>
      <c r="AR135" s="4"/>
      <c r="AS135" s="4"/>
      <c r="AT135" s="4"/>
      <c r="AU135" s="4"/>
      <c r="AV135" s="4"/>
      <c r="AW135" s="4"/>
      <c r="AX135" s="4"/>
      <c r="AY135" s="4"/>
      <c r="AZ135" s="106"/>
      <c r="BA135" s="106"/>
      <c r="BB135" s="106"/>
      <c r="BC135" s="106"/>
      <c r="BD135" s="4"/>
      <c r="BE135" s="1"/>
      <c r="BF135" s="1"/>
      <c r="BG135" s="1"/>
      <c r="BQ135" s="3"/>
      <c r="BR135" s="3"/>
      <c r="BS135" s="3"/>
      <c r="BT135" s="3"/>
      <c r="BU135" s="4"/>
      <c r="BV135" s="4"/>
      <c r="BW135" s="84"/>
      <c r="BX135" s="84"/>
      <c r="BY135" s="88"/>
      <c r="BZ135" s="88"/>
      <c r="CA135" s="196" t="s">
        <v>42</v>
      </c>
      <c r="CB135" s="196"/>
      <c r="CC135" s="196"/>
      <c r="CD135" s="196">
        <v>6</v>
      </c>
      <c r="CE135" s="196"/>
      <c r="CF135" s="196" t="s">
        <v>43</v>
      </c>
      <c r="CG135" s="196"/>
      <c r="CH135" s="196"/>
      <c r="CI135" s="84"/>
      <c r="CJ135" s="84"/>
      <c r="CK135" s="4"/>
      <c r="CL135" s="88"/>
      <c r="CM135" s="4"/>
      <c r="CN135" s="200">
        <f>CHOOSE(SUM(($BR$138&gt;={700,750})*1), 300,200)</f>
        <v>200</v>
      </c>
      <c r="CO135" s="200"/>
      <c r="CP135" s="200"/>
      <c r="CQ135" s="200"/>
      <c r="CR135" s="4"/>
      <c r="CS135" s="88"/>
      <c r="CT135" s="196" t="s">
        <v>42</v>
      </c>
      <c r="CU135" s="196"/>
      <c r="CV135" s="196"/>
      <c r="CW135" s="196">
        <v>2</v>
      </c>
      <c r="CX135" s="196"/>
      <c r="CY135" s="196" t="s">
        <v>43</v>
      </c>
      <c r="CZ135" s="196"/>
      <c r="DA135" s="196"/>
    </row>
    <row r="136" spans="7:188" ht="11.25" customHeight="1" x14ac:dyDescent="0.15">
      <c r="G136" t="s">
        <v>35</v>
      </c>
      <c r="T136" t="s">
        <v>38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196" t="s">
        <v>42</v>
      </c>
      <c r="BA136" s="196"/>
      <c r="BB136" s="196"/>
      <c r="BC136" s="196">
        <v>2</v>
      </c>
      <c r="BD136" s="196"/>
      <c r="BE136" s="196" t="s">
        <v>43</v>
      </c>
      <c r="BF136" s="196"/>
      <c r="BG136" s="196"/>
      <c r="BQ136" s="2"/>
      <c r="BR136" s="2"/>
      <c r="BS136" s="2"/>
      <c r="BT136" s="2"/>
      <c r="BU136" s="2"/>
      <c r="BV136" s="2"/>
      <c r="BW136" s="84"/>
      <c r="BX136" s="84"/>
      <c r="BY136" s="88"/>
      <c r="BZ136" s="88"/>
      <c r="CA136" s="196"/>
      <c r="CB136" s="196"/>
      <c r="CC136" s="196"/>
      <c r="CD136" s="196"/>
      <c r="CE136" s="196"/>
      <c r="CF136" s="196"/>
      <c r="CG136" s="196"/>
      <c r="CH136" s="196"/>
      <c r="CI136" s="84"/>
      <c r="CJ136" s="84"/>
      <c r="CK136" s="4"/>
      <c r="CL136" s="88"/>
      <c r="CM136" s="4"/>
      <c r="CN136" s="200"/>
      <c r="CO136" s="200"/>
      <c r="CP136" s="200"/>
      <c r="CQ136" s="200"/>
      <c r="CR136" s="4"/>
      <c r="CS136" s="88"/>
      <c r="CT136" s="196"/>
      <c r="CU136" s="196"/>
      <c r="CV136" s="196"/>
      <c r="CW136" s="196"/>
      <c r="CX136" s="196"/>
      <c r="CY136" s="196"/>
      <c r="CZ136" s="196"/>
      <c r="DA136" s="196"/>
    </row>
    <row r="137" spans="7:188" ht="11.25" customHeight="1" x14ac:dyDescent="0.15">
      <c r="G137" t="s">
        <v>34</v>
      </c>
      <c r="T137" t="s">
        <v>39</v>
      </c>
      <c r="AQ137" s="4"/>
      <c r="AR137" s="88"/>
      <c r="AS137" s="4"/>
      <c r="AT137" s="107"/>
      <c r="AU137" s="107"/>
      <c r="AV137" s="107"/>
      <c r="AW137" s="107"/>
      <c r="AX137" s="4"/>
      <c r="AY137" s="88"/>
      <c r="AZ137" s="196"/>
      <c r="BA137" s="196"/>
      <c r="BB137" s="196"/>
      <c r="BC137" s="196"/>
      <c r="BD137" s="196"/>
      <c r="BE137" s="196"/>
      <c r="BF137" s="196"/>
      <c r="BG137" s="196"/>
    </row>
    <row r="138" spans="7:188" ht="11.25" customHeight="1" thickBot="1" x14ac:dyDescent="0.2">
      <c r="AD138" s="201">
        <v>800</v>
      </c>
      <c r="AE138" s="201"/>
      <c r="AF138" s="201"/>
      <c r="BR138" s="201">
        <v>850</v>
      </c>
      <c r="BS138" s="201"/>
      <c r="BT138" s="201"/>
    </row>
    <row r="139" spans="7:188" ht="6.95" customHeight="1" x14ac:dyDescent="0.15">
      <c r="AA139" s="89"/>
      <c r="AB139" s="89"/>
      <c r="AC139" s="99"/>
      <c r="AD139" s="108" t="s">
        <v>25</v>
      </c>
      <c r="AE139" s="109"/>
      <c r="AF139" s="109"/>
      <c r="AG139" s="109"/>
      <c r="AH139" s="109"/>
      <c r="AI139" s="202" t="s">
        <v>40</v>
      </c>
      <c r="AJ139" s="202"/>
      <c r="AK139" s="202">
        <v>4</v>
      </c>
      <c r="AL139" s="202"/>
      <c r="AM139" s="202" t="s">
        <v>41</v>
      </c>
      <c r="AN139" s="202"/>
      <c r="AO139" s="202"/>
      <c r="AP139" s="202"/>
      <c r="AQ139" s="202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4"/>
      <c r="BJ139" s="204"/>
      <c r="BK139" s="204"/>
      <c r="BL139" s="204"/>
      <c r="BM139" s="206">
        <f>SUM(AR157,BK157,AR165,BK165,AW179,BK184,AW177)*AK139</f>
        <v>64</v>
      </c>
      <c r="BN139" s="206"/>
      <c r="BO139" s="206"/>
      <c r="BP139" s="208"/>
      <c r="BR139" s="108" t="s">
        <v>25</v>
      </c>
      <c r="BS139" s="109"/>
      <c r="BT139" s="109"/>
      <c r="BU139" s="109"/>
      <c r="BV139" s="109"/>
      <c r="BW139" s="202" t="s">
        <v>40</v>
      </c>
      <c r="BX139" s="202"/>
      <c r="BY139" s="202">
        <v>3</v>
      </c>
      <c r="BZ139" s="202"/>
      <c r="CA139" s="202" t="s">
        <v>41</v>
      </c>
      <c r="CB139" s="202"/>
      <c r="CC139" s="202"/>
      <c r="CD139" s="202"/>
      <c r="CE139" s="202"/>
      <c r="CF139" s="204"/>
      <c r="CG139" s="204"/>
      <c r="CH139" s="204"/>
      <c r="CI139" s="204"/>
      <c r="CJ139" s="204"/>
      <c r="CK139" s="204"/>
      <c r="CL139" s="204"/>
      <c r="CM139" s="204"/>
      <c r="CN139" s="204"/>
      <c r="CO139" s="204"/>
      <c r="CP139" s="204"/>
      <c r="CQ139" s="204"/>
      <c r="CR139" s="204"/>
      <c r="CS139" s="204"/>
      <c r="CT139" s="204"/>
      <c r="CU139" s="204"/>
      <c r="CV139" s="204"/>
      <c r="CW139" s="204"/>
      <c r="CX139" s="204"/>
      <c r="CY139" s="204"/>
      <c r="CZ139" s="204"/>
      <c r="DA139" s="206">
        <f>SUM(CF157,CY157,CF165,CY165,CY184,CK177)*BY139</f>
        <v>42</v>
      </c>
      <c r="DB139" s="206"/>
      <c r="DC139" s="206"/>
      <c r="DD139" s="208"/>
      <c r="DF139" s="119"/>
      <c r="DG139" s="120"/>
      <c r="DH139" s="120"/>
      <c r="DI139" s="120"/>
      <c r="DJ139" s="120"/>
      <c r="DK139" s="120"/>
      <c r="DL139" s="120"/>
      <c r="DM139" s="120"/>
      <c r="DN139" s="120"/>
      <c r="DO139" s="120"/>
      <c r="DP139" s="120"/>
      <c r="DQ139" s="120"/>
      <c r="DR139" s="120"/>
      <c r="DS139" s="120"/>
      <c r="DT139" s="120"/>
      <c r="DU139" s="120"/>
      <c r="DV139" s="120"/>
      <c r="DW139" s="120"/>
      <c r="DX139" s="120"/>
      <c r="DY139" s="120"/>
      <c r="DZ139" s="120"/>
      <c r="EA139" s="120"/>
      <c r="EB139" s="120"/>
      <c r="EC139" s="120"/>
      <c r="ED139" s="120"/>
      <c r="EE139" s="120"/>
      <c r="EF139" s="120"/>
      <c r="EG139" s="120"/>
      <c r="EH139" s="120"/>
      <c r="EI139" s="121"/>
      <c r="EJ139" s="58"/>
      <c r="EK139" s="119"/>
      <c r="EL139" s="120"/>
      <c r="EM139" s="120"/>
      <c r="EN139" s="120"/>
      <c r="EO139" s="120"/>
      <c r="EP139" s="120"/>
      <c r="EQ139" s="120"/>
      <c r="ER139" s="120"/>
      <c r="ES139" s="120"/>
      <c r="ET139" s="120"/>
      <c r="EU139" s="120"/>
      <c r="EV139" s="120"/>
      <c r="EW139" s="120"/>
      <c r="EX139" s="120"/>
      <c r="EY139" s="120"/>
      <c r="EZ139" s="120"/>
      <c r="FA139" s="120"/>
      <c r="FB139" s="120"/>
      <c r="FC139" s="120"/>
      <c r="FD139" s="120"/>
      <c r="FE139" s="120"/>
      <c r="FF139" s="120"/>
      <c r="FG139" s="120"/>
      <c r="FH139" s="120"/>
      <c r="FI139" s="120"/>
      <c r="FJ139" s="120"/>
      <c r="FK139" s="122"/>
      <c r="FL139" s="58"/>
      <c r="FM139" s="58"/>
      <c r="FN139" s="58"/>
      <c r="FO139" s="58"/>
      <c r="FP139" s="58"/>
      <c r="FQ139" s="58"/>
      <c r="FR139" s="58"/>
      <c r="FS139" s="58"/>
      <c r="FT139" s="58"/>
      <c r="FU139" s="58"/>
      <c r="FV139" s="58"/>
      <c r="FW139" s="58"/>
      <c r="FX139" s="58"/>
      <c r="FY139" s="58"/>
      <c r="FZ139" s="58"/>
      <c r="GA139" s="58"/>
      <c r="GB139" s="58"/>
      <c r="GC139" s="58"/>
      <c r="GD139" s="58"/>
      <c r="GE139" s="58"/>
      <c r="GF139" s="58"/>
    </row>
    <row r="140" spans="7:188" ht="6.95" customHeight="1" thickBot="1" x14ac:dyDescent="0.2">
      <c r="AA140" s="89"/>
      <c r="AB140" s="89"/>
      <c r="AC140" s="99"/>
      <c r="AD140" s="80"/>
      <c r="AE140" s="81"/>
      <c r="AF140" s="81"/>
      <c r="AG140" s="81"/>
      <c r="AH140" s="81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5"/>
      <c r="BJ140" s="205"/>
      <c r="BK140" s="205"/>
      <c r="BL140" s="205"/>
      <c r="BM140" s="207"/>
      <c r="BN140" s="207"/>
      <c r="BO140" s="207"/>
      <c r="BP140" s="209"/>
      <c r="BR140" s="80"/>
      <c r="BS140" s="81"/>
      <c r="BT140" s="81"/>
      <c r="BU140" s="81"/>
      <c r="BV140" s="81"/>
      <c r="BW140" s="203"/>
      <c r="BX140" s="203"/>
      <c r="BY140" s="203"/>
      <c r="BZ140" s="203"/>
      <c r="CA140" s="203"/>
      <c r="CB140" s="203"/>
      <c r="CC140" s="203"/>
      <c r="CD140" s="203"/>
      <c r="CE140" s="203"/>
      <c r="CF140" s="205"/>
      <c r="CG140" s="205"/>
      <c r="CH140" s="205"/>
      <c r="CI140" s="205"/>
      <c r="CJ140" s="205"/>
      <c r="CK140" s="205"/>
      <c r="CL140" s="205"/>
      <c r="CM140" s="205"/>
      <c r="CN140" s="205"/>
      <c r="CO140" s="205"/>
      <c r="CP140" s="205"/>
      <c r="CQ140" s="205"/>
      <c r="CR140" s="205"/>
      <c r="CS140" s="205"/>
      <c r="CT140" s="205"/>
      <c r="CU140" s="205"/>
      <c r="CV140" s="205"/>
      <c r="CW140" s="205"/>
      <c r="CX140" s="205"/>
      <c r="CY140" s="205"/>
      <c r="CZ140" s="205"/>
      <c r="DA140" s="207"/>
      <c r="DB140" s="207"/>
      <c r="DC140" s="207"/>
      <c r="DD140" s="209"/>
      <c r="DF140" s="122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123"/>
      <c r="EJ140" s="58"/>
      <c r="EK140" s="122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8"/>
      <c r="FE140" s="58"/>
      <c r="FF140" s="58"/>
      <c r="FG140" s="58"/>
      <c r="FH140" s="58"/>
      <c r="FI140" s="58"/>
      <c r="FJ140" s="58"/>
      <c r="FK140" s="122"/>
      <c r="FL140" s="58"/>
      <c r="FM140" s="58"/>
      <c r="FN140" s="58"/>
      <c r="FO140" s="58"/>
      <c r="FP140" s="58"/>
      <c r="FQ140" s="58"/>
      <c r="FR140" s="58"/>
      <c r="FS140" s="58"/>
      <c r="FT140" s="58"/>
      <c r="FU140" s="58"/>
      <c r="FV140" s="58"/>
      <c r="FW140" s="58"/>
      <c r="FX140" s="58"/>
      <c r="FY140" s="58"/>
      <c r="FZ140" s="58"/>
      <c r="GA140" s="58"/>
      <c r="GB140" s="58"/>
      <c r="GC140" s="58"/>
      <c r="GD140" s="58"/>
      <c r="GE140" s="58"/>
      <c r="GF140" s="58"/>
    </row>
    <row r="141" spans="7:188" ht="6.95" customHeight="1" x14ac:dyDescent="0.15">
      <c r="AD141" s="5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1"/>
      <c r="BI141" s="1"/>
      <c r="BJ141" s="1"/>
      <c r="BK141" s="1"/>
      <c r="BL141" s="1"/>
      <c r="BM141" s="1"/>
      <c r="BN141" s="1"/>
      <c r="BO141" s="1"/>
      <c r="BP141" s="98"/>
      <c r="BR141" s="5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1"/>
      <c r="CW141" s="1"/>
      <c r="CX141" s="1"/>
      <c r="CY141" s="1"/>
      <c r="CZ141" s="1"/>
      <c r="DA141" s="1"/>
      <c r="DB141" s="92"/>
      <c r="DC141" s="92"/>
      <c r="DD141" s="98"/>
      <c r="DF141" s="124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125"/>
      <c r="EJ141" s="1"/>
      <c r="EK141" s="124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124"/>
      <c r="FL141" s="171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1"/>
      <c r="FY141" s="1"/>
      <c r="FZ141" s="1"/>
      <c r="GA141" s="1"/>
      <c r="GB141" s="1"/>
      <c r="GC141" s="1"/>
      <c r="GD141" s="1"/>
      <c r="GE141" s="1"/>
      <c r="GF141" s="1"/>
    </row>
    <row r="142" spans="7:188" ht="6.95" customHeight="1" x14ac:dyDescent="0.15">
      <c r="AD142" s="5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1"/>
      <c r="BI142" s="1"/>
      <c r="BJ142" s="1"/>
      <c r="BK142" s="1"/>
      <c r="BL142" s="1"/>
      <c r="BM142" s="1"/>
      <c r="BN142" s="1"/>
      <c r="BO142" s="1"/>
      <c r="BP142" s="99"/>
      <c r="BR142" s="5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1"/>
      <c r="CW142" s="1"/>
      <c r="CX142" s="1"/>
      <c r="CY142" s="1"/>
      <c r="CZ142" s="1"/>
      <c r="DA142" s="1"/>
      <c r="DB142" s="1"/>
      <c r="DC142" s="1"/>
      <c r="DD142" s="99"/>
      <c r="DF142" s="124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125"/>
      <c r="EJ142" s="1"/>
      <c r="EK142" s="124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124"/>
      <c r="FL142" s="171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1"/>
      <c r="FY142" s="1"/>
      <c r="FZ142" s="1"/>
      <c r="GA142" s="1"/>
      <c r="GB142" s="1"/>
      <c r="GC142" s="1"/>
      <c r="GD142" s="1"/>
      <c r="GE142" s="1"/>
      <c r="GF142" s="1"/>
    </row>
    <row r="143" spans="7:188" ht="6.95" customHeight="1" x14ac:dyDescent="0.15">
      <c r="AD143" s="5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1"/>
      <c r="BI143" s="1"/>
      <c r="BJ143" s="1"/>
      <c r="BK143" s="1"/>
      <c r="BL143" s="1"/>
      <c r="BM143" s="1"/>
      <c r="BN143" s="1"/>
      <c r="BO143" s="1"/>
      <c r="BP143" s="99"/>
      <c r="BR143" s="5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1"/>
      <c r="CW143" s="1"/>
      <c r="CX143" s="1"/>
      <c r="CY143" s="1"/>
      <c r="CZ143" s="1"/>
      <c r="DA143" s="1"/>
      <c r="DB143" s="1"/>
      <c r="DC143" s="1"/>
      <c r="DD143" s="99"/>
      <c r="DF143" s="124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125"/>
      <c r="EJ143" s="1"/>
      <c r="EK143" s="124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124"/>
      <c r="FL143" s="171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1"/>
      <c r="FY143" s="1"/>
      <c r="FZ143" s="1"/>
      <c r="GA143" s="1"/>
      <c r="GB143" s="1"/>
      <c r="GC143" s="1"/>
      <c r="GD143" s="1"/>
      <c r="GE143" s="1"/>
      <c r="GF143" s="1"/>
    </row>
    <row r="144" spans="7:188" ht="6.95" customHeight="1" x14ac:dyDescent="0.15">
      <c r="AD144" s="5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1"/>
      <c r="BI144" s="1"/>
      <c r="BJ144" s="1"/>
      <c r="BK144" s="1"/>
      <c r="BL144" s="1"/>
      <c r="BM144" s="1"/>
      <c r="BN144" s="1"/>
      <c r="BO144" s="1"/>
      <c r="BP144" s="99"/>
      <c r="BR144" s="5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1"/>
      <c r="CW144" s="1"/>
      <c r="CX144" s="1"/>
      <c r="CY144" s="1"/>
      <c r="CZ144" s="1"/>
      <c r="DA144" s="1"/>
      <c r="DB144" s="1"/>
      <c r="DC144" s="1"/>
      <c r="DD144" s="99"/>
      <c r="DF144" s="124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125"/>
      <c r="EJ144" s="1"/>
      <c r="EK144" s="124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124"/>
      <c r="FL144" s="171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1"/>
      <c r="FY144" s="1"/>
      <c r="FZ144" s="1"/>
      <c r="GA144" s="1"/>
      <c r="GB144" s="1"/>
      <c r="GC144" s="1"/>
      <c r="GD144" s="1"/>
      <c r="GE144" s="1"/>
      <c r="GF144" s="1"/>
    </row>
    <row r="145" spans="7:188" ht="6.95" customHeight="1" x14ac:dyDescent="0.15">
      <c r="G145" s="89" t="s">
        <v>45</v>
      </c>
      <c r="H145" s="89"/>
      <c r="I145" s="89"/>
      <c r="AD145" s="5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1"/>
      <c r="BI145" s="1"/>
      <c r="BJ145" s="1"/>
      <c r="BK145" s="1"/>
      <c r="BL145" s="1"/>
      <c r="BM145" s="1"/>
      <c r="BN145" s="1"/>
      <c r="BO145" s="1"/>
      <c r="BP145" s="99"/>
      <c r="BR145" s="5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1"/>
      <c r="CW145" s="1"/>
      <c r="CX145" s="1"/>
      <c r="CY145" s="1"/>
      <c r="CZ145" s="1"/>
      <c r="DA145" s="1"/>
      <c r="DB145" s="1"/>
      <c r="DC145" s="1"/>
      <c r="DD145" s="99"/>
      <c r="DF145" s="124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125"/>
      <c r="EJ145" s="1"/>
      <c r="EK145" s="124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124"/>
      <c r="FL145" s="171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1"/>
      <c r="FY145" s="1"/>
      <c r="FZ145" s="1"/>
      <c r="GA145" s="1"/>
      <c r="GB145" s="1"/>
      <c r="GC145" s="1"/>
      <c r="GD145" s="1"/>
      <c r="GE145" s="1"/>
      <c r="GF145" s="1"/>
    </row>
    <row r="146" spans="7:188" ht="6.95" customHeight="1" x14ac:dyDescent="0.15">
      <c r="G146" s="89" t="s">
        <v>44</v>
      </c>
      <c r="H146" s="89"/>
      <c r="I146" s="89"/>
      <c r="AD146" s="5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1"/>
      <c r="BI146" s="1"/>
      <c r="BJ146" s="1"/>
      <c r="BK146" s="1"/>
      <c r="BL146" s="1"/>
      <c r="BM146" s="1"/>
      <c r="BN146" s="1"/>
      <c r="BO146" s="1"/>
      <c r="BP146" s="99"/>
      <c r="BR146" s="5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1"/>
      <c r="CW146" s="1"/>
      <c r="CX146" s="1"/>
      <c r="CY146" s="1"/>
      <c r="CZ146" s="1"/>
      <c r="DA146" s="1"/>
      <c r="DB146" s="1"/>
      <c r="DC146" s="1"/>
      <c r="DD146" s="99"/>
      <c r="DF146" s="124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125"/>
      <c r="EJ146" s="1"/>
      <c r="EK146" s="124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124"/>
      <c r="FL146" s="171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1"/>
      <c r="FY146" s="1"/>
      <c r="FZ146" s="1"/>
      <c r="GA146" s="1"/>
      <c r="GB146" s="1"/>
      <c r="GC146" s="1"/>
      <c r="GD146" s="1"/>
      <c r="GE146" s="1"/>
      <c r="GF146" s="1"/>
    </row>
    <row r="147" spans="7:188" ht="6.95" customHeight="1" x14ac:dyDescent="0.15">
      <c r="G147" s="89" t="s">
        <v>46</v>
      </c>
      <c r="H147" s="89"/>
      <c r="I147" s="89"/>
      <c r="AD147" s="5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1"/>
      <c r="BI147" s="1"/>
      <c r="BJ147" s="1"/>
      <c r="BK147" s="1"/>
      <c r="BL147" s="1"/>
      <c r="BM147" s="1"/>
      <c r="BN147" s="1"/>
      <c r="BO147" s="1"/>
      <c r="BP147" s="99"/>
      <c r="BR147" s="5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1"/>
      <c r="CW147" s="1"/>
      <c r="CX147" s="1"/>
      <c r="CY147" s="1"/>
      <c r="CZ147" s="1"/>
      <c r="DA147" s="1"/>
      <c r="DB147" s="1"/>
      <c r="DC147" s="1"/>
      <c r="DD147" s="99"/>
      <c r="DF147" s="124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125"/>
      <c r="EJ147" s="1"/>
      <c r="EK147" s="124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124"/>
      <c r="FL147" s="171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1"/>
      <c r="FY147" s="1"/>
      <c r="FZ147" s="1"/>
      <c r="GA147" s="1"/>
      <c r="GB147" s="1"/>
      <c r="GC147" s="1"/>
      <c r="GD147" s="1"/>
      <c r="GE147" s="1"/>
      <c r="GF147" s="1"/>
    </row>
    <row r="148" spans="7:188" ht="6.95" customHeight="1" x14ac:dyDescent="0.15">
      <c r="G148" s="229"/>
      <c r="H148" s="229"/>
      <c r="I148" s="229"/>
      <c r="AD148" s="210">
        <v>4</v>
      </c>
      <c r="AE148" s="211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1"/>
      <c r="BI148" s="1"/>
      <c r="BJ148" s="1"/>
      <c r="BK148" s="1"/>
      <c r="BL148" s="1"/>
      <c r="BM148" s="1"/>
      <c r="BN148" s="1"/>
      <c r="BO148" s="1"/>
      <c r="BP148" s="99"/>
      <c r="BR148" s="210">
        <v>5</v>
      </c>
      <c r="BS148" s="211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1"/>
      <c r="CW148" s="1"/>
      <c r="CX148" s="1"/>
      <c r="CY148" s="1"/>
      <c r="CZ148" s="1"/>
      <c r="DA148" s="1"/>
      <c r="DB148" s="1"/>
      <c r="DC148" s="1"/>
      <c r="DD148" s="99"/>
      <c r="DF148" s="124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125"/>
      <c r="EJ148" s="1"/>
      <c r="EK148" s="124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124"/>
      <c r="FL148" s="171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1"/>
      <c r="FY148" s="1"/>
      <c r="FZ148" s="1"/>
      <c r="GA148" s="1"/>
      <c r="GB148" s="1"/>
      <c r="GC148" s="1"/>
      <c r="GD148" s="1"/>
      <c r="GE148" s="1"/>
      <c r="GF148" s="1"/>
    </row>
    <row r="149" spans="7:188" ht="6.95" customHeight="1" thickBot="1" x14ac:dyDescent="0.2">
      <c r="AD149" s="212"/>
      <c r="AE149" s="21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100"/>
      <c r="BI149" s="100"/>
      <c r="BJ149" s="100"/>
      <c r="BK149" s="100"/>
      <c r="BL149" s="100"/>
      <c r="BM149" s="100"/>
      <c r="BN149" s="100"/>
      <c r="BO149" s="100"/>
      <c r="BP149" s="101"/>
      <c r="BR149" s="212"/>
      <c r="BS149" s="21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3"/>
      <c r="CS149" s="53"/>
      <c r="CT149" s="53"/>
      <c r="CU149" s="53"/>
      <c r="CV149" s="100"/>
      <c r="CW149" s="100"/>
      <c r="CX149" s="100"/>
      <c r="CY149" s="100"/>
      <c r="CZ149" s="100"/>
      <c r="DA149" s="100"/>
      <c r="DB149" s="100"/>
      <c r="DC149" s="100"/>
      <c r="DD149" s="101"/>
      <c r="DF149" s="124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125"/>
      <c r="EJ149" s="1"/>
      <c r="EK149" s="124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124"/>
      <c r="FL149" s="171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1"/>
      <c r="FY149" s="1"/>
      <c r="FZ149" s="1"/>
      <c r="GA149" s="1"/>
      <c r="GB149" s="1"/>
      <c r="GC149" s="1"/>
      <c r="GD149" s="1"/>
      <c r="GE149" s="1"/>
      <c r="GF149" s="1"/>
    </row>
    <row r="150" spans="7:188" ht="6.95" customHeight="1" x14ac:dyDescent="0.15">
      <c r="AD150" s="52"/>
      <c r="AE150" s="2"/>
      <c r="AF150" s="214" t="s">
        <v>57</v>
      </c>
      <c r="AG150" s="214"/>
      <c r="AH150" s="214"/>
      <c r="AI150" s="214"/>
      <c r="AJ150" s="82"/>
      <c r="AK150" s="82"/>
      <c r="AL150" s="82"/>
      <c r="AM150" s="82"/>
      <c r="AN150" s="82"/>
      <c r="AO150" s="2"/>
      <c r="AP150" s="2"/>
      <c r="AQ150" s="82"/>
      <c r="AR150" s="82"/>
      <c r="AS150" s="82"/>
      <c r="AT150" s="82"/>
      <c r="AU150" s="82"/>
      <c r="AV150" s="82"/>
      <c r="AW150" s="82"/>
      <c r="AX150" s="82"/>
      <c r="AY150" s="214"/>
      <c r="AZ150" s="214"/>
      <c r="BA150" s="214"/>
      <c r="BB150" s="214"/>
      <c r="BC150" s="82"/>
      <c r="BD150" s="82"/>
      <c r="BE150" s="82"/>
      <c r="BF150" s="82"/>
      <c r="BG150" s="82"/>
      <c r="BH150" s="2"/>
      <c r="BI150" s="2"/>
      <c r="BJ150" s="82"/>
      <c r="BK150" s="82"/>
      <c r="BL150" s="82"/>
      <c r="BM150" s="82"/>
      <c r="BN150" s="82"/>
      <c r="BO150" s="82"/>
      <c r="BP150" s="99"/>
      <c r="BR150" s="52"/>
      <c r="BS150" s="2"/>
      <c r="BT150" s="214" t="s">
        <v>57</v>
      </c>
      <c r="BU150" s="214"/>
      <c r="BV150" s="214"/>
      <c r="BW150" s="214"/>
      <c r="BX150" s="82"/>
      <c r="BY150" s="82"/>
      <c r="BZ150" s="82"/>
      <c r="CA150" s="82"/>
      <c r="CB150" s="82"/>
      <c r="CC150" s="178"/>
      <c r="CD150" s="178"/>
      <c r="CE150" s="82"/>
      <c r="CF150" s="82"/>
      <c r="CG150" s="82"/>
      <c r="CH150" s="82"/>
      <c r="CI150" s="82"/>
      <c r="CJ150" s="82"/>
      <c r="CK150" s="82"/>
      <c r="CL150" s="82"/>
      <c r="CM150" s="214"/>
      <c r="CN150" s="214"/>
      <c r="CO150" s="214"/>
      <c r="CP150" s="214"/>
      <c r="CQ150" s="82"/>
      <c r="CR150" s="82"/>
      <c r="CS150" s="82"/>
      <c r="CT150" s="82"/>
      <c r="CU150" s="82"/>
      <c r="CV150" s="178"/>
      <c r="CW150" s="178"/>
      <c r="CX150" s="82"/>
      <c r="CY150" s="82"/>
      <c r="CZ150" s="82"/>
      <c r="DA150" s="82"/>
      <c r="DB150" s="82"/>
      <c r="DC150" s="82"/>
      <c r="DD150" s="99"/>
      <c r="DF150" s="124"/>
      <c r="DG150" s="82"/>
      <c r="DH150" s="82"/>
      <c r="DI150" s="82"/>
      <c r="DJ150" s="82"/>
      <c r="DK150" s="82"/>
      <c r="DL150" s="82"/>
      <c r="DM150" s="82"/>
      <c r="DN150" s="82"/>
      <c r="DO150" s="82"/>
      <c r="DP150" s="2"/>
      <c r="DQ150" s="2"/>
      <c r="DR150" s="82"/>
      <c r="DS150" s="82"/>
      <c r="DT150" s="82"/>
      <c r="DU150" s="82"/>
      <c r="DV150" s="82"/>
      <c r="DW150" s="82"/>
      <c r="DX150" s="82"/>
      <c r="DY150" s="82"/>
      <c r="DZ150" s="82"/>
      <c r="EA150" s="82"/>
      <c r="EB150" s="82"/>
      <c r="EC150" s="82"/>
      <c r="ED150" s="82"/>
      <c r="EE150" s="82"/>
      <c r="EF150" s="82"/>
      <c r="EG150" s="82"/>
      <c r="EH150" s="82"/>
      <c r="EI150" s="126"/>
      <c r="EJ150" s="2"/>
      <c r="EK150" s="124"/>
      <c r="EL150" s="82"/>
      <c r="EM150" s="82"/>
      <c r="EN150" s="82"/>
      <c r="EO150" s="82"/>
      <c r="EP150" s="82"/>
      <c r="EQ150" s="82"/>
      <c r="ER150" s="82"/>
      <c r="ES150" s="82"/>
      <c r="ET150" s="82"/>
      <c r="EU150" s="2"/>
      <c r="EV150" s="2"/>
      <c r="EW150" s="82"/>
      <c r="EX150" s="82"/>
      <c r="EY150" s="82"/>
      <c r="EZ150" s="82"/>
      <c r="FA150" s="82"/>
      <c r="FB150" s="82"/>
      <c r="FC150" s="82"/>
      <c r="FD150" s="82"/>
      <c r="FE150" s="82"/>
      <c r="FF150" s="82"/>
      <c r="FG150" s="82"/>
      <c r="FH150" s="82"/>
      <c r="FI150" s="82"/>
      <c r="FJ150" s="82"/>
      <c r="FK150" s="172"/>
      <c r="FL150" s="82"/>
      <c r="FM150" s="82"/>
      <c r="FN150" s="82"/>
      <c r="FO150" s="82"/>
      <c r="FP150" s="82"/>
      <c r="FQ150" s="82"/>
      <c r="FR150" s="82"/>
      <c r="FS150" s="82"/>
      <c r="FT150" s="82"/>
      <c r="FU150" s="82"/>
      <c r="FV150" s="82"/>
      <c r="FW150" s="82"/>
      <c r="FX150" s="2"/>
      <c r="FY150" s="2"/>
      <c r="FZ150" s="82"/>
      <c r="GA150" s="82"/>
      <c r="GB150" s="82"/>
      <c r="GC150" s="82"/>
      <c r="GD150" s="82"/>
      <c r="GE150" s="82"/>
      <c r="GF150" s="1"/>
    </row>
    <row r="151" spans="7:188" ht="6.95" customHeight="1" x14ac:dyDescent="0.15">
      <c r="AD151" s="56"/>
      <c r="AE151" s="3"/>
      <c r="AF151" s="197"/>
      <c r="AG151" s="197"/>
      <c r="AH151" s="197"/>
      <c r="AI151" s="197"/>
      <c r="AJ151" s="82"/>
      <c r="AK151" s="197"/>
      <c r="AL151" s="197"/>
      <c r="AM151" s="197"/>
      <c r="AN151" s="197"/>
      <c r="AO151" s="2"/>
      <c r="AP151" s="2"/>
      <c r="AQ151" s="82"/>
      <c r="AR151" s="82"/>
      <c r="AS151" s="82"/>
      <c r="AT151" s="82"/>
      <c r="AU151" s="82"/>
      <c r="AV151" s="82"/>
      <c r="AW151" s="82"/>
      <c r="AX151" s="82"/>
      <c r="AY151" s="197"/>
      <c r="AZ151" s="197"/>
      <c r="BA151" s="197"/>
      <c r="BB151" s="197"/>
      <c r="BC151" s="82"/>
      <c r="BD151" s="197"/>
      <c r="BE151" s="197"/>
      <c r="BF151" s="197"/>
      <c r="BG151" s="197"/>
      <c r="BH151" s="2"/>
      <c r="BI151" s="2"/>
      <c r="BJ151" s="82"/>
      <c r="BK151" s="82"/>
      <c r="BL151" s="82"/>
      <c r="BM151" s="82"/>
      <c r="BN151" s="82"/>
      <c r="BO151" s="82"/>
      <c r="BP151" s="99"/>
      <c r="BR151" s="56"/>
      <c r="BS151" s="3"/>
      <c r="BT151" s="197"/>
      <c r="BU151" s="197"/>
      <c r="BV151" s="197"/>
      <c r="BW151" s="197"/>
      <c r="BX151" s="82"/>
      <c r="BY151" s="197"/>
      <c r="BZ151" s="197"/>
      <c r="CA151" s="197"/>
      <c r="CB151" s="197"/>
      <c r="CC151" s="178"/>
      <c r="CD151" s="178"/>
      <c r="CE151" s="82"/>
      <c r="CF151" s="82"/>
      <c r="CG151" s="82"/>
      <c r="CH151" s="82"/>
      <c r="CI151" s="82"/>
      <c r="CJ151" s="82"/>
      <c r="CK151" s="82"/>
      <c r="CL151" s="82"/>
      <c r="CM151" s="197"/>
      <c r="CN151" s="197"/>
      <c r="CO151" s="197"/>
      <c r="CP151" s="197"/>
      <c r="CQ151" s="82"/>
      <c r="CR151" s="197"/>
      <c r="CS151" s="197"/>
      <c r="CT151" s="197"/>
      <c r="CU151" s="197"/>
      <c r="CV151" s="178"/>
      <c r="CW151" s="178"/>
      <c r="CX151" s="82"/>
      <c r="CY151" s="82"/>
      <c r="CZ151" s="82"/>
      <c r="DA151" s="82"/>
      <c r="DB151" s="82"/>
      <c r="DC151" s="82"/>
      <c r="DD151" s="99"/>
      <c r="DF151" s="127"/>
      <c r="DG151" s="82"/>
      <c r="DH151" s="82"/>
      <c r="DI151" s="82"/>
      <c r="DJ151" s="82"/>
      <c r="DK151" s="82"/>
      <c r="DL151" s="82"/>
      <c r="DM151" s="82"/>
      <c r="DN151" s="82"/>
      <c r="DO151" s="82"/>
      <c r="DP151" s="2"/>
      <c r="DQ151" s="2"/>
      <c r="DR151" s="82"/>
      <c r="DS151" s="82"/>
      <c r="DT151" s="82"/>
      <c r="DU151" s="82"/>
      <c r="DV151" s="82"/>
      <c r="DW151" s="82"/>
      <c r="DX151" s="82"/>
      <c r="DY151" s="82"/>
      <c r="DZ151" s="82"/>
      <c r="EA151" s="82"/>
      <c r="EB151" s="82"/>
      <c r="EC151" s="82"/>
      <c r="ED151" s="82"/>
      <c r="EE151" s="82"/>
      <c r="EF151" s="82"/>
      <c r="EG151" s="82"/>
      <c r="EH151" s="82"/>
      <c r="EI151" s="126"/>
      <c r="EJ151" s="2"/>
      <c r="EK151" s="127"/>
      <c r="EL151" s="82"/>
      <c r="EM151" s="82"/>
      <c r="EN151" s="82"/>
      <c r="EO151" s="82"/>
      <c r="EP151" s="82"/>
      <c r="EQ151" s="82"/>
      <c r="ER151" s="82"/>
      <c r="ES151" s="82"/>
      <c r="ET151" s="82"/>
      <c r="EU151" s="2"/>
      <c r="EV151" s="2"/>
      <c r="EW151" s="82"/>
      <c r="EX151" s="82"/>
      <c r="EY151" s="82"/>
      <c r="EZ151" s="82"/>
      <c r="FA151" s="82"/>
      <c r="FB151" s="82"/>
      <c r="FC151" s="82"/>
      <c r="FD151" s="82"/>
      <c r="FE151" s="82"/>
      <c r="FF151" s="82"/>
      <c r="FG151" s="82"/>
      <c r="FH151" s="82"/>
      <c r="FI151" s="82"/>
      <c r="FJ151" s="82"/>
      <c r="FK151" s="172"/>
      <c r="FL151" s="82"/>
      <c r="FM151" s="82"/>
      <c r="FN151" s="82"/>
      <c r="FO151" s="82"/>
      <c r="FP151" s="82"/>
      <c r="FQ151" s="82"/>
      <c r="FR151" s="82"/>
      <c r="FS151" s="82"/>
      <c r="FT151" s="82"/>
      <c r="FU151" s="82"/>
      <c r="FV151" s="82"/>
      <c r="FW151" s="82"/>
      <c r="FX151" s="2"/>
      <c r="FY151" s="2"/>
      <c r="FZ151" s="82"/>
      <c r="GA151" s="82"/>
      <c r="GB151" s="82"/>
      <c r="GC151" s="82"/>
      <c r="GD151" s="82"/>
      <c r="GE151" s="82"/>
      <c r="GF151" s="1"/>
    </row>
    <row r="152" spans="7:188" ht="6.95" customHeight="1" x14ac:dyDescent="0.15">
      <c r="AD152" s="56"/>
      <c r="AE152" s="3"/>
      <c r="AF152" s="85"/>
      <c r="AG152" s="85"/>
      <c r="AH152" s="85"/>
      <c r="AI152" s="85"/>
      <c r="AJ152" s="85"/>
      <c r="AK152" s="197"/>
      <c r="AL152" s="197"/>
      <c r="AM152" s="197"/>
      <c r="AN152" s="197"/>
      <c r="AO152" s="85"/>
      <c r="AP152" s="85"/>
      <c r="AQ152" s="85"/>
      <c r="AR152" s="85"/>
      <c r="AS152" s="85"/>
      <c r="AT152" s="85"/>
      <c r="AU152" s="82"/>
      <c r="AV152" s="82"/>
      <c r="AW152" s="82"/>
      <c r="AX152" s="82"/>
      <c r="AY152" s="85"/>
      <c r="AZ152" s="85"/>
      <c r="BA152" s="85"/>
      <c r="BB152" s="85"/>
      <c r="BC152" s="85"/>
      <c r="BD152" s="197"/>
      <c r="BE152" s="197"/>
      <c r="BF152" s="197"/>
      <c r="BG152" s="197"/>
      <c r="BH152" s="85"/>
      <c r="BI152" s="85"/>
      <c r="BJ152" s="85"/>
      <c r="BK152" s="85"/>
      <c r="BL152" s="85"/>
      <c r="BM152" s="85"/>
      <c r="BN152" s="85"/>
      <c r="BO152" s="85"/>
      <c r="BP152" s="99"/>
      <c r="BR152" s="56"/>
      <c r="BS152" s="3"/>
      <c r="BT152" s="85"/>
      <c r="BU152" s="85"/>
      <c r="BV152" s="85"/>
      <c r="BW152" s="85"/>
      <c r="BX152" s="85"/>
      <c r="BY152" s="197"/>
      <c r="BZ152" s="197"/>
      <c r="CA152" s="197"/>
      <c r="CB152" s="197"/>
      <c r="CC152" s="85"/>
      <c r="CD152" s="85"/>
      <c r="CE152" s="85"/>
      <c r="CF152" s="85"/>
      <c r="CG152" s="85"/>
      <c r="CH152" s="85"/>
      <c r="CI152" s="82"/>
      <c r="CJ152" s="82"/>
      <c r="CK152" s="82"/>
      <c r="CL152" s="82"/>
      <c r="CM152" s="85"/>
      <c r="CN152" s="85"/>
      <c r="CO152" s="85"/>
      <c r="CP152" s="85"/>
      <c r="CQ152" s="85"/>
      <c r="CR152" s="197"/>
      <c r="CS152" s="197"/>
      <c r="CT152" s="197"/>
      <c r="CU152" s="197"/>
      <c r="CV152" s="85"/>
      <c r="CW152" s="85"/>
      <c r="CX152" s="85"/>
      <c r="CY152" s="85"/>
      <c r="CZ152" s="85"/>
      <c r="DA152" s="85"/>
      <c r="DB152" s="85"/>
      <c r="DC152" s="85"/>
      <c r="DD152" s="99"/>
      <c r="DF152" s="127"/>
      <c r="DG152" s="85"/>
      <c r="DH152" s="85"/>
      <c r="DI152" s="85"/>
      <c r="DJ152" s="85"/>
      <c r="DK152" s="85"/>
      <c r="DL152" s="82"/>
      <c r="DM152" s="82"/>
      <c r="DN152" s="82"/>
      <c r="DO152" s="82"/>
      <c r="DP152" s="85"/>
      <c r="DQ152" s="85"/>
      <c r="DR152" s="85"/>
      <c r="DS152" s="85"/>
      <c r="DT152" s="85"/>
      <c r="DU152" s="85"/>
      <c r="DV152" s="82"/>
      <c r="DW152" s="82"/>
      <c r="DX152" s="82"/>
      <c r="DY152" s="82"/>
      <c r="DZ152" s="85"/>
      <c r="EA152" s="85"/>
      <c r="EB152" s="85"/>
      <c r="EC152" s="85"/>
      <c r="ED152" s="85"/>
      <c r="EE152" s="82"/>
      <c r="EF152" s="82"/>
      <c r="EG152" s="82"/>
      <c r="EH152" s="82"/>
      <c r="EI152" s="128"/>
      <c r="EJ152" s="85"/>
      <c r="EK152" s="127"/>
      <c r="EL152" s="85"/>
      <c r="EM152" s="85"/>
      <c r="EN152" s="85"/>
      <c r="EO152" s="85"/>
      <c r="EP152" s="85"/>
      <c r="EQ152" s="82"/>
      <c r="ER152" s="82"/>
      <c r="ES152" s="82"/>
      <c r="ET152" s="82"/>
      <c r="EU152" s="85"/>
      <c r="EV152" s="85"/>
      <c r="EW152" s="85"/>
      <c r="EX152" s="85"/>
      <c r="EY152" s="85"/>
      <c r="EZ152" s="85"/>
      <c r="FA152" s="82"/>
      <c r="FB152" s="82"/>
      <c r="FC152" s="82"/>
      <c r="FD152" s="82"/>
      <c r="FE152" s="85"/>
      <c r="FF152" s="85"/>
      <c r="FG152" s="85"/>
      <c r="FH152" s="85"/>
      <c r="FI152" s="85"/>
      <c r="FJ152" s="82"/>
      <c r="FK152" s="172"/>
      <c r="FL152" s="82"/>
      <c r="FM152" s="82"/>
      <c r="FN152" s="82"/>
      <c r="FO152" s="85"/>
      <c r="FP152" s="85"/>
      <c r="FQ152" s="85"/>
      <c r="FR152" s="85"/>
      <c r="FS152" s="85"/>
      <c r="FT152" s="82"/>
      <c r="FU152" s="82"/>
      <c r="FV152" s="82"/>
      <c r="FW152" s="82"/>
      <c r="FX152" s="85"/>
      <c r="FY152" s="85"/>
      <c r="FZ152" s="85"/>
      <c r="GA152" s="85"/>
      <c r="GB152" s="85"/>
      <c r="GC152" s="85"/>
      <c r="GD152" s="85"/>
      <c r="GE152" s="85"/>
      <c r="GF152" s="1"/>
    </row>
    <row r="153" spans="7:188" ht="6.95" customHeight="1" x14ac:dyDescent="0.15">
      <c r="AD153" s="56"/>
      <c r="AE153" s="3"/>
      <c r="AF153" s="199">
        <f>CHOOSE(SUM((AD138&gt;={700,750,800,850,900,950})*1), 565,615,665,715,765,815)</f>
        <v>665</v>
      </c>
      <c r="AG153" s="199"/>
      <c r="AH153" s="199"/>
      <c r="AI153" s="199"/>
      <c r="AJ153" s="3"/>
      <c r="AK153" s="2"/>
      <c r="AL153" s="2"/>
      <c r="AM153" s="85"/>
      <c r="AN153" s="85"/>
      <c r="AO153" s="215"/>
      <c r="AP153" s="215"/>
      <c r="AQ153" s="215"/>
      <c r="AR153" s="215"/>
      <c r="AS153" s="3"/>
      <c r="AT153" s="3"/>
      <c r="AU153" s="2"/>
      <c r="AV153" s="2"/>
      <c r="AW153" s="85"/>
      <c r="AX153" s="85"/>
      <c r="AY153" s="3"/>
      <c r="AZ153" s="3"/>
      <c r="BA153" s="3"/>
      <c r="BB153" s="3"/>
      <c r="BC153" s="3"/>
      <c r="BD153" s="2"/>
      <c r="BE153" s="2"/>
      <c r="BF153" s="85"/>
      <c r="BG153" s="85"/>
      <c r="BH153" s="215"/>
      <c r="BI153" s="215"/>
      <c r="BJ153" s="215"/>
      <c r="BK153" s="215"/>
      <c r="BL153" s="3"/>
      <c r="BM153" s="3"/>
      <c r="BN153" s="3"/>
      <c r="BO153" s="3"/>
      <c r="BP153" s="99"/>
      <c r="BR153" s="56"/>
      <c r="BS153" s="3"/>
      <c r="BT153" s="199">
        <f>CHOOSE(SUM((BR138&gt;={700,750,800,850,900,950})*1), 565,615,665,715,765,815)</f>
        <v>715</v>
      </c>
      <c r="BU153" s="199"/>
      <c r="BV153" s="199"/>
      <c r="BW153" s="199"/>
      <c r="BX153" s="3"/>
      <c r="BY153" s="178"/>
      <c r="BZ153" s="178"/>
      <c r="CA153" s="85"/>
      <c r="CB153" s="85"/>
      <c r="CC153" s="215"/>
      <c r="CD153" s="215"/>
      <c r="CE153" s="215"/>
      <c r="CF153" s="215"/>
      <c r="CG153" s="3"/>
      <c r="CH153" s="3"/>
      <c r="CI153" s="178"/>
      <c r="CJ153" s="178"/>
      <c r="CK153" s="85"/>
      <c r="CL153" s="85"/>
      <c r="CM153" s="3"/>
      <c r="CN153" s="3"/>
      <c r="CO153" s="3"/>
      <c r="CP153" s="3"/>
      <c r="CQ153" s="3"/>
      <c r="CR153" s="178"/>
      <c r="CS153" s="178"/>
      <c r="CT153" s="85"/>
      <c r="CU153" s="85"/>
      <c r="CV153" s="215"/>
      <c r="CW153" s="215"/>
      <c r="CX153" s="215"/>
      <c r="CY153" s="215"/>
      <c r="CZ153" s="3"/>
      <c r="DA153" s="3"/>
      <c r="DB153" s="3"/>
      <c r="DC153" s="3"/>
      <c r="DD153" s="99"/>
      <c r="DF153" s="127"/>
      <c r="DG153" s="3"/>
      <c r="DH153" s="3"/>
      <c r="DI153" s="3"/>
      <c r="DJ153" s="3"/>
      <c r="DK153" s="3"/>
      <c r="DL153" s="2"/>
      <c r="DM153" s="2"/>
      <c r="DN153" s="85"/>
      <c r="DO153" s="85"/>
      <c r="DP153" s="85"/>
      <c r="DQ153" s="85"/>
      <c r="DR153" s="85"/>
      <c r="DS153" s="3"/>
      <c r="DT153" s="3"/>
      <c r="DU153" s="3"/>
      <c r="DV153" s="2"/>
      <c r="DW153" s="2"/>
      <c r="DX153" s="85"/>
      <c r="DY153" s="85"/>
      <c r="DZ153" s="3"/>
      <c r="EA153" s="3"/>
      <c r="EB153" s="3"/>
      <c r="EC153" s="3"/>
      <c r="ED153" s="3"/>
      <c r="EE153" s="2"/>
      <c r="EF153" s="2"/>
      <c r="EG153" s="85"/>
      <c r="EH153" s="85"/>
      <c r="EI153" s="128"/>
      <c r="EJ153" s="85"/>
      <c r="EK153" s="127"/>
      <c r="EL153" s="3"/>
      <c r="EM153" s="3"/>
      <c r="EN153" s="3"/>
      <c r="EO153" s="3"/>
      <c r="EP153" s="3"/>
      <c r="EQ153" s="2"/>
      <c r="ER153" s="2"/>
      <c r="ES153" s="85"/>
      <c r="ET153" s="85"/>
      <c r="EU153" s="85"/>
      <c r="EV153" s="85"/>
      <c r="EW153" s="85"/>
      <c r="EX153" s="3"/>
      <c r="EY153" s="3"/>
      <c r="EZ153" s="3"/>
      <c r="FA153" s="2"/>
      <c r="FB153" s="2"/>
      <c r="FC153" s="85"/>
      <c r="FD153" s="85"/>
      <c r="FE153" s="3"/>
      <c r="FF153" s="3"/>
      <c r="FG153" s="3"/>
      <c r="FH153" s="3"/>
      <c r="FI153" s="3"/>
      <c r="FJ153" s="2"/>
      <c r="FK153" s="124"/>
      <c r="FL153" s="85"/>
      <c r="FM153" s="85"/>
      <c r="FN153" s="85"/>
      <c r="FO153" s="3"/>
      <c r="FP153" s="3"/>
      <c r="FQ153" s="3"/>
      <c r="FR153" s="3"/>
      <c r="FS153" s="3"/>
      <c r="FT153" s="2"/>
      <c r="FU153" s="2"/>
      <c r="FV153" s="85"/>
      <c r="FW153" s="85"/>
      <c r="FX153" s="85"/>
      <c r="FY153" s="85"/>
      <c r="FZ153" s="85"/>
      <c r="GA153" s="3"/>
      <c r="GB153" s="3"/>
      <c r="GC153" s="3"/>
      <c r="GD153" s="3"/>
      <c r="GE153" s="3"/>
      <c r="GF153" s="1"/>
    </row>
    <row r="154" spans="7:188" ht="6.95" customHeight="1" x14ac:dyDescent="0.15">
      <c r="AD154" s="56"/>
      <c r="AE154" s="3"/>
      <c r="AF154" s="199"/>
      <c r="AG154" s="199"/>
      <c r="AH154" s="199"/>
      <c r="AI154" s="199"/>
      <c r="AJ154" s="3"/>
      <c r="AK154" s="4"/>
      <c r="AL154" s="4"/>
      <c r="AM154" s="85"/>
      <c r="AN154" s="85"/>
      <c r="AO154" s="215"/>
      <c r="AP154" s="215"/>
      <c r="AQ154" s="215"/>
      <c r="AR154" s="215"/>
      <c r="AS154" s="3"/>
      <c r="AT154" s="3"/>
      <c r="AU154" s="4"/>
      <c r="AV154" s="4"/>
      <c r="AW154" s="85"/>
      <c r="AX154" s="85"/>
      <c r="AY154" s="3"/>
      <c r="AZ154" s="3"/>
      <c r="BA154" s="3"/>
      <c r="BB154" s="3"/>
      <c r="BC154" s="3"/>
      <c r="BD154" s="4"/>
      <c r="BE154" s="4"/>
      <c r="BF154" s="85"/>
      <c r="BG154" s="85"/>
      <c r="BH154" s="215"/>
      <c r="BI154" s="215"/>
      <c r="BJ154" s="215"/>
      <c r="BK154" s="215"/>
      <c r="BL154" s="3"/>
      <c r="BM154" s="3"/>
      <c r="BN154" s="3"/>
      <c r="BO154" s="3"/>
      <c r="BP154" s="99"/>
      <c r="BR154" s="56"/>
      <c r="BS154" s="3"/>
      <c r="BT154" s="199"/>
      <c r="BU154" s="199"/>
      <c r="BV154" s="199"/>
      <c r="BW154" s="199"/>
      <c r="BX154" s="3"/>
      <c r="BY154" s="4"/>
      <c r="BZ154" s="4"/>
      <c r="CA154" s="85"/>
      <c r="CB154" s="85"/>
      <c r="CC154" s="215"/>
      <c r="CD154" s="215"/>
      <c r="CE154" s="215"/>
      <c r="CF154" s="215"/>
      <c r="CG154" s="3"/>
      <c r="CH154" s="3"/>
      <c r="CI154" s="4"/>
      <c r="CJ154" s="4"/>
      <c r="CK154" s="85"/>
      <c r="CL154" s="85"/>
      <c r="CM154" s="3"/>
      <c r="CN154" s="3"/>
      <c r="CO154" s="3"/>
      <c r="CP154" s="3"/>
      <c r="CQ154" s="3"/>
      <c r="CR154" s="4"/>
      <c r="CS154" s="4"/>
      <c r="CT154" s="85"/>
      <c r="CU154" s="85"/>
      <c r="CV154" s="215"/>
      <c r="CW154" s="215"/>
      <c r="CX154" s="215"/>
      <c r="CY154" s="215"/>
      <c r="CZ154" s="3"/>
      <c r="DA154" s="3"/>
      <c r="DB154" s="3"/>
      <c r="DC154" s="3"/>
      <c r="DD154" s="99"/>
      <c r="DF154" s="127"/>
      <c r="DG154" s="3"/>
      <c r="DH154" s="3"/>
      <c r="DI154" s="3"/>
      <c r="DJ154" s="3"/>
      <c r="DK154" s="3"/>
      <c r="DL154" s="4"/>
      <c r="DM154" s="4"/>
      <c r="DN154" s="85"/>
      <c r="DO154" s="85"/>
      <c r="DP154" s="85"/>
      <c r="DQ154" s="85"/>
      <c r="DR154" s="85"/>
      <c r="DS154" s="3"/>
      <c r="DT154" s="3"/>
      <c r="DU154" s="3"/>
      <c r="DV154" s="4"/>
      <c r="DW154" s="4"/>
      <c r="DX154" s="85"/>
      <c r="DY154" s="85"/>
      <c r="DZ154" s="3"/>
      <c r="EA154" s="3"/>
      <c r="EB154" s="3"/>
      <c r="EC154" s="3"/>
      <c r="ED154" s="3"/>
      <c r="EE154" s="4"/>
      <c r="EF154" s="4"/>
      <c r="EG154" s="85"/>
      <c r="EH154" s="85"/>
      <c r="EI154" s="128"/>
      <c r="EJ154" s="85"/>
      <c r="EK154" s="127"/>
      <c r="EL154" s="3"/>
      <c r="EM154" s="3"/>
      <c r="EN154" s="3"/>
      <c r="EO154" s="3"/>
      <c r="EP154" s="3"/>
      <c r="EQ154" s="4"/>
      <c r="ER154" s="4"/>
      <c r="ES154" s="85"/>
      <c r="ET154" s="85"/>
      <c r="EU154" s="85"/>
      <c r="EV154" s="85"/>
      <c r="EW154" s="85"/>
      <c r="EX154" s="3"/>
      <c r="EY154" s="3"/>
      <c r="EZ154" s="3"/>
      <c r="FA154" s="4"/>
      <c r="FB154" s="4"/>
      <c r="FC154" s="85"/>
      <c r="FD154" s="85"/>
      <c r="FE154" s="3"/>
      <c r="FF154" s="3"/>
      <c r="FG154" s="3"/>
      <c r="FH154" s="3"/>
      <c r="FI154" s="3"/>
      <c r="FJ154" s="4"/>
      <c r="FK154" s="173"/>
      <c r="FL154" s="85"/>
      <c r="FM154" s="85"/>
      <c r="FN154" s="85"/>
      <c r="FO154" s="3"/>
      <c r="FP154" s="3"/>
      <c r="FQ154" s="3"/>
      <c r="FR154" s="3"/>
      <c r="FS154" s="3"/>
      <c r="FT154" s="4"/>
      <c r="FU154" s="4"/>
      <c r="FV154" s="85"/>
      <c r="FW154" s="85"/>
      <c r="FX154" s="85"/>
      <c r="FY154" s="85"/>
      <c r="FZ154" s="85"/>
      <c r="GA154" s="3"/>
      <c r="GB154" s="3"/>
      <c r="GC154" s="3"/>
      <c r="GD154" s="3"/>
      <c r="GE154" s="3"/>
      <c r="GF154" s="1"/>
    </row>
    <row r="155" spans="7:188" ht="6.95" customHeight="1" x14ac:dyDescent="0.15">
      <c r="AD155" s="56"/>
      <c r="AE155" s="3"/>
      <c r="AF155" s="3"/>
      <c r="AG155" s="3"/>
      <c r="AH155" s="3"/>
      <c r="AI155" s="3"/>
      <c r="AJ155" s="3"/>
      <c r="AK155" s="4"/>
      <c r="AL155" s="4"/>
      <c r="AM155" s="84"/>
      <c r="AN155" s="84"/>
      <c r="AO155" s="200"/>
      <c r="AP155" s="200"/>
      <c r="AQ155" s="200"/>
      <c r="AR155" s="200"/>
      <c r="AS155" s="3"/>
      <c r="AT155" s="3"/>
      <c r="AU155" s="4"/>
      <c r="AV155" s="4"/>
      <c r="AW155" s="84"/>
      <c r="AX155" s="84"/>
      <c r="AY155" s="3"/>
      <c r="AZ155" s="3"/>
      <c r="BA155" s="3"/>
      <c r="BB155" s="3"/>
      <c r="BC155" s="3"/>
      <c r="BD155" s="4"/>
      <c r="BE155" s="4"/>
      <c r="BF155" s="84"/>
      <c r="BG155" s="84"/>
      <c r="BH155" s="200"/>
      <c r="BI155" s="200"/>
      <c r="BJ155" s="200"/>
      <c r="BK155" s="200"/>
      <c r="BL155" s="3"/>
      <c r="BM155" s="3"/>
      <c r="BN155" s="3"/>
      <c r="BO155" s="3"/>
      <c r="BP155" s="99"/>
      <c r="BR155" s="56"/>
      <c r="BS155" s="3"/>
      <c r="BT155" s="3"/>
      <c r="BU155" s="3"/>
      <c r="BV155" s="3"/>
      <c r="BW155" s="3"/>
      <c r="BX155" s="3"/>
      <c r="BY155" s="4"/>
      <c r="BZ155" s="4"/>
      <c r="CA155" s="84"/>
      <c r="CB155" s="84"/>
      <c r="CC155" s="200"/>
      <c r="CD155" s="200"/>
      <c r="CE155" s="200"/>
      <c r="CF155" s="200"/>
      <c r="CG155" s="3"/>
      <c r="CH155" s="3"/>
      <c r="CI155" s="4"/>
      <c r="CJ155" s="4"/>
      <c r="CK155" s="84"/>
      <c r="CL155" s="84"/>
      <c r="CM155" s="3"/>
      <c r="CN155" s="3"/>
      <c r="CO155" s="3"/>
      <c r="CP155" s="3"/>
      <c r="CQ155" s="3"/>
      <c r="CR155" s="4"/>
      <c r="CS155" s="4"/>
      <c r="CT155" s="84"/>
      <c r="CU155" s="84"/>
      <c r="CV155" s="200"/>
      <c r="CW155" s="200"/>
      <c r="CX155" s="200"/>
      <c r="CY155" s="200"/>
      <c r="CZ155" s="3"/>
      <c r="DA155" s="3"/>
      <c r="DB155" s="3"/>
      <c r="DC155" s="3"/>
      <c r="DD155" s="99"/>
      <c r="DF155" s="127"/>
      <c r="DG155" s="3"/>
      <c r="DH155" s="3"/>
      <c r="DI155" s="3"/>
      <c r="DJ155" s="3"/>
      <c r="DK155" s="3"/>
      <c r="DL155" s="4"/>
      <c r="DM155" s="4"/>
      <c r="DN155" s="84"/>
      <c r="DO155" s="84"/>
      <c r="DP155" s="84"/>
      <c r="DQ155" s="84"/>
      <c r="DR155" s="84"/>
      <c r="DS155" s="3"/>
      <c r="DT155" s="3"/>
      <c r="DU155" s="3"/>
      <c r="DV155" s="4"/>
      <c r="DW155" s="4"/>
      <c r="DX155" s="84"/>
      <c r="DY155" s="84"/>
      <c r="DZ155" s="3"/>
      <c r="EA155" s="3"/>
      <c r="EB155" s="3"/>
      <c r="EC155" s="3"/>
      <c r="ED155" s="3"/>
      <c r="EE155" s="4"/>
      <c r="EF155" s="4"/>
      <c r="EG155" s="84"/>
      <c r="EH155" s="84"/>
      <c r="EI155" s="129"/>
      <c r="EJ155" s="84"/>
      <c r="EK155" s="127"/>
      <c r="EL155" s="3"/>
      <c r="EM155" s="3"/>
      <c r="EN155" s="3"/>
      <c r="EO155" s="3"/>
      <c r="EP155" s="3"/>
      <c r="EQ155" s="4"/>
      <c r="ER155" s="4"/>
      <c r="ES155" s="84"/>
      <c r="ET155" s="84"/>
      <c r="EU155" s="84"/>
      <c r="EV155" s="84"/>
      <c r="EW155" s="84"/>
      <c r="EX155" s="3"/>
      <c r="EY155" s="3"/>
      <c r="EZ155" s="3"/>
      <c r="FA155" s="4"/>
      <c r="FB155" s="4"/>
      <c r="FC155" s="84"/>
      <c r="FD155" s="84"/>
      <c r="FE155" s="3"/>
      <c r="FF155" s="3"/>
      <c r="FG155" s="3"/>
      <c r="FH155" s="3"/>
      <c r="FI155" s="3"/>
      <c r="FJ155" s="4"/>
      <c r="FK155" s="173"/>
      <c r="FL155" s="84"/>
      <c r="FM155" s="84"/>
      <c r="FN155" s="84"/>
      <c r="FO155" s="3"/>
      <c r="FP155" s="3"/>
      <c r="FQ155" s="3"/>
      <c r="FR155" s="3"/>
      <c r="FS155" s="3"/>
      <c r="FT155" s="4"/>
      <c r="FU155" s="4"/>
      <c r="FV155" s="84"/>
      <c r="FW155" s="84"/>
      <c r="FX155" s="84"/>
      <c r="FY155" s="84"/>
      <c r="FZ155" s="84"/>
      <c r="GA155" s="3"/>
      <c r="GB155" s="3"/>
      <c r="GC155" s="3"/>
      <c r="GD155" s="3"/>
      <c r="GE155" s="3"/>
      <c r="GF155" s="1"/>
    </row>
    <row r="156" spans="7:188" ht="6.95" customHeight="1" x14ac:dyDescent="0.15">
      <c r="AD156" s="56"/>
      <c r="AE156" s="3"/>
      <c r="AF156" s="3"/>
      <c r="AG156" s="3"/>
      <c r="AH156" s="3"/>
      <c r="AI156" s="3"/>
      <c r="AJ156" s="84"/>
      <c r="AK156" s="200"/>
      <c r="AL156" s="200"/>
      <c r="AM156" s="200"/>
      <c r="AN156" s="200"/>
      <c r="AO156" s="200"/>
      <c r="AP156" s="200"/>
      <c r="AQ156" s="200"/>
      <c r="AR156" s="200"/>
      <c r="AS156" s="84"/>
      <c r="AT156" s="84"/>
      <c r="AU156" s="84"/>
      <c r="AV156" s="84"/>
      <c r="AW156" s="84"/>
      <c r="AX156" s="84"/>
      <c r="AY156" s="3"/>
      <c r="AZ156" s="3"/>
      <c r="BA156" s="3"/>
      <c r="BB156" s="3"/>
      <c r="BC156" s="84"/>
      <c r="BD156" s="200"/>
      <c r="BE156" s="200"/>
      <c r="BF156" s="200"/>
      <c r="BG156" s="200"/>
      <c r="BH156" s="200"/>
      <c r="BI156" s="200"/>
      <c r="BJ156" s="200"/>
      <c r="BK156" s="200"/>
      <c r="BL156" s="84"/>
      <c r="BM156" s="84"/>
      <c r="BN156" s="3"/>
      <c r="BO156" s="84"/>
      <c r="BP156" s="99"/>
      <c r="BR156" s="56"/>
      <c r="BS156" s="3"/>
      <c r="BT156" s="3"/>
      <c r="BU156" s="3"/>
      <c r="BV156" s="3"/>
      <c r="BW156" s="3"/>
      <c r="BX156" s="84"/>
      <c r="BY156" s="200"/>
      <c r="BZ156" s="200"/>
      <c r="CA156" s="200"/>
      <c r="CB156" s="200"/>
      <c r="CC156" s="200"/>
      <c r="CD156" s="200"/>
      <c r="CE156" s="200"/>
      <c r="CF156" s="200"/>
      <c r="CG156" s="84"/>
      <c r="CH156" s="84"/>
      <c r="CI156" s="84"/>
      <c r="CJ156" s="84"/>
      <c r="CK156" s="84"/>
      <c r="CL156" s="84"/>
      <c r="CM156" s="3"/>
      <c r="CN156" s="3"/>
      <c r="CO156" s="3"/>
      <c r="CP156" s="3"/>
      <c r="CQ156" s="84"/>
      <c r="CR156" s="200"/>
      <c r="CS156" s="200"/>
      <c r="CT156" s="200"/>
      <c r="CU156" s="200"/>
      <c r="CV156" s="200"/>
      <c r="CW156" s="200"/>
      <c r="CX156" s="200"/>
      <c r="CY156" s="200"/>
      <c r="CZ156" s="84"/>
      <c r="DA156" s="84"/>
      <c r="DB156" s="3"/>
      <c r="DC156" s="84"/>
      <c r="DD156" s="99"/>
      <c r="DF156" s="127"/>
      <c r="DG156" s="3"/>
      <c r="DH156" s="3"/>
      <c r="DI156" s="3"/>
      <c r="DJ156" s="3"/>
      <c r="DK156" s="84"/>
      <c r="DL156" s="84"/>
      <c r="DM156" s="84"/>
      <c r="DN156" s="84"/>
      <c r="DO156" s="84"/>
      <c r="DP156" s="84"/>
      <c r="DQ156" s="84"/>
      <c r="DR156" s="84"/>
      <c r="DS156" s="3"/>
      <c r="DT156" s="84"/>
      <c r="DU156" s="84"/>
      <c r="DV156" s="84"/>
      <c r="DW156" s="84"/>
      <c r="DX156" s="84"/>
      <c r="DY156" s="84"/>
      <c r="DZ156" s="3"/>
      <c r="EA156" s="3"/>
      <c r="EB156" s="3"/>
      <c r="EC156" s="3"/>
      <c r="ED156" s="84"/>
      <c r="EE156" s="84"/>
      <c r="EF156" s="84"/>
      <c r="EG156" s="84"/>
      <c r="EH156" s="84"/>
      <c r="EI156" s="129"/>
      <c r="EJ156" s="84"/>
      <c r="EK156" s="127"/>
      <c r="EL156" s="3"/>
      <c r="EM156" s="3"/>
      <c r="EN156" s="3"/>
      <c r="EO156" s="3"/>
      <c r="EP156" s="84"/>
      <c r="EQ156" s="84"/>
      <c r="ER156" s="84"/>
      <c r="ES156" s="84"/>
      <c r="ET156" s="84"/>
      <c r="EU156" s="84"/>
      <c r="EV156" s="84"/>
      <c r="EW156" s="84"/>
      <c r="EX156" s="3"/>
      <c r="EY156" s="84"/>
      <c r="EZ156" s="84"/>
      <c r="FA156" s="84"/>
      <c r="FB156" s="84"/>
      <c r="FC156" s="84"/>
      <c r="FD156" s="84"/>
      <c r="FE156" s="3"/>
      <c r="FF156" s="3"/>
      <c r="FG156" s="3"/>
      <c r="FH156" s="3"/>
      <c r="FI156" s="84"/>
      <c r="FJ156" s="84"/>
      <c r="FK156" s="174"/>
      <c r="FL156" s="84"/>
      <c r="FM156" s="84"/>
      <c r="FN156" s="84"/>
      <c r="FO156" s="3"/>
      <c r="FP156" s="3"/>
      <c r="FQ156" s="3"/>
      <c r="FR156" s="3"/>
      <c r="FS156" s="84"/>
      <c r="FT156" s="84"/>
      <c r="FU156" s="84"/>
      <c r="FV156" s="84"/>
      <c r="FW156" s="84"/>
      <c r="FX156" s="84"/>
      <c r="FY156" s="84"/>
      <c r="FZ156" s="84"/>
      <c r="GA156" s="3"/>
      <c r="GB156" s="84"/>
      <c r="GC156" s="84"/>
      <c r="GD156" s="3"/>
      <c r="GE156" s="84"/>
      <c r="GF156" s="1"/>
    </row>
    <row r="157" spans="7:188" ht="6.95" customHeight="1" x14ac:dyDescent="0.15">
      <c r="AD157" s="56"/>
      <c r="AE157" s="3"/>
      <c r="AF157" s="3"/>
      <c r="AG157" s="3"/>
      <c r="AH157" s="3"/>
      <c r="AI157" s="3"/>
      <c r="AJ157" s="84"/>
      <c r="AK157" s="200"/>
      <c r="AL157" s="200"/>
      <c r="AM157" s="200"/>
      <c r="AN157" s="200"/>
      <c r="AO157" s="196" t="s">
        <v>42</v>
      </c>
      <c r="AP157" s="196"/>
      <c r="AQ157" s="196"/>
      <c r="AR157" s="196">
        <v>2</v>
      </c>
      <c r="AS157" s="196"/>
      <c r="AT157" s="196" t="s">
        <v>43</v>
      </c>
      <c r="AU157" s="196"/>
      <c r="AV157" s="196"/>
      <c r="AW157" s="84"/>
      <c r="AX157" s="84"/>
      <c r="AY157" s="3"/>
      <c r="AZ157" s="3"/>
      <c r="BA157" s="3"/>
      <c r="BB157" s="3"/>
      <c r="BC157" s="84"/>
      <c r="BD157" s="200"/>
      <c r="BE157" s="200"/>
      <c r="BF157" s="200"/>
      <c r="BG157" s="200"/>
      <c r="BH157" s="196"/>
      <c r="BI157" s="196"/>
      <c r="BJ157" s="196"/>
      <c r="BK157" s="196"/>
      <c r="BL157" s="196"/>
      <c r="BM157" s="196"/>
      <c r="BN157" s="196"/>
      <c r="BO157" s="196"/>
      <c r="BP157" s="99"/>
      <c r="BR157" s="56"/>
      <c r="BS157" s="3"/>
      <c r="BT157" s="3"/>
      <c r="BU157" s="3"/>
      <c r="BV157" s="3"/>
      <c r="BW157" s="3"/>
      <c r="BX157" s="84"/>
      <c r="BY157" s="200"/>
      <c r="BZ157" s="200"/>
      <c r="CA157" s="200"/>
      <c r="CB157" s="200"/>
      <c r="CC157" s="196" t="s">
        <v>42</v>
      </c>
      <c r="CD157" s="196"/>
      <c r="CE157" s="196"/>
      <c r="CF157" s="196">
        <v>2</v>
      </c>
      <c r="CG157" s="196"/>
      <c r="CH157" s="196" t="s">
        <v>43</v>
      </c>
      <c r="CI157" s="196"/>
      <c r="CJ157" s="196"/>
      <c r="CK157" s="84"/>
      <c r="CL157" s="84"/>
      <c r="CM157" s="3"/>
      <c r="CN157" s="3"/>
      <c r="CO157" s="3"/>
      <c r="CP157" s="3"/>
      <c r="CQ157" s="84"/>
      <c r="CR157" s="200"/>
      <c r="CS157" s="200"/>
      <c r="CT157" s="200"/>
      <c r="CU157" s="200"/>
      <c r="CV157" s="196"/>
      <c r="CW157" s="196"/>
      <c r="CX157" s="196"/>
      <c r="CY157" s="196"/>
      <c r="CZ157" s="196"/>
      <c r="DA157" s="196"/>
      <c r="DB157" s="196"/>
      <c r="DC157" s="196"/>
      <c r="DD157" s="99"/>
      <c r="DF157" s="127"/>
      <c r="DG157" s="3"/>
      <c r="DH157" s="3"/>
      <c r="DI157" s="3"/>
      <c r="DJ157" s="3"/>
      <c r="DK157" s="84"/>
      <c r="DL157" s="84"/>
      <c r="DM157" s="84"/>
      <c r="DN157" s="84"/>
      <c r="DO157" s="84"/>
      <c r="DP157" s="88"/>
      <c r="DQ157" s="88"/>
      <c r="DR157" s="88"/>
      <c r="DS157" s="88"/>
      <c r="DT157" s="88"/>
      <c r="DU157" s="88"/>
      <c r="DV157" s="88"/>
      <c r="DW157" s="84"/>
      <c r="DX157" s="84"/>
      <c r="DY157" s="84"/>
      <c r="DZ157" s="3"/>
      <c r="EA157" s="3"/>
      <c r="EB157" s="3"/>
      <c r="EC157" s="3"/>
      <c r="ED157" s="84"/>
      <c r="EE157" s="84"/>
      <c r="EF157" s="84"/>
      <c r="EG157" s="84"/>
      <c r="EH157" s="84"/>
      <c r="EI157" s="130"/>
      <c r="EJ157" s="88"/>
      <c r="EK157" s="127"/>
      <c r="EL157" s="3"/>
      <c r="EM157" s="3"/>
      <c r="EN157" s="3"/>
      <c r="EO157" s="3"/>
      <c r="EP157" s="84"/>
      <c r="EQ157" s="84"/>
      <c r="ER157" s="84"/>
      <c r="ES157" s="84"/>
      <c r="ET157" s="84"/>
      <c r="EU157" s="88"/>
      <c r="EV157" s="88"/>
      <c r="EW157" s="88"/>
      <c r="EX157" s="88"/>
      <c r="EY157" s="88"/>
      <c r="EZ157" s="88"/>
      <c r="FA157" s="88"/>
      <c r="FB157" s="84"/>
      <c r="FC157" s="84"/>
      <c r="FD157" s="84"/>
      <c r="FE157" s="3"/>
      <c r="FF157" s="3"/>
      <c r="FG157" s="3"/>
      <c r="FH157" s="3"/>
      <c r="FI157" s="84"/>
      <c r="FJ157" s="84"/>
      <c r="FK157" s="174"/>
      <c r="FL157" s="84"/>
      <c r="FM157" s="84"/>
      <c r="FN157" s="84"/>
      <c r="FO157" s="3"/>
      <c r="FP157" s="3"/>
      <c r="FQ157" s="3"/>
      <c r="FR157" s="3"/>
      <c r="FS157" s="84"/>
      <c r="FT157" s="84"/>
      <c r="FU157" s="84"/>
      <c r="FV157" s="84"/>
      <c r="FW157" s="84"/>
      <c r="FX157" s="88"/>
      <c r="FY157" s="88"/>
      <c r="FZ157" s="88"/>
      <c r="GA157" s="88"/>
      <c r="GB157" s="88"/>
      <c r="GC157" s="88"/>
      <c r="GD157" s="88"/>
      <c r="GE157" s="88"/>
      <c r="GF157" s="1"/>
    </row>
    <row r="158" spans="7:188" ht="6.95" customHeight="1" x14ac:dyDescent="0.15">
      <c r="AD158" s="52"/>
      <c r="AE158" s="2"/>
      <c r="AF158" s="2"/>
      <c r="AG158" s="2"/>
      <c r="AH158" s="2"/>
      <c r="AI158" s="2"/>
      <c r="AJ158" s="2"/>
      <c r="AK158" s="2"/>
      <c r="AL158" s="88"/>
      <c r="AM158" s="88"/>
      <c r="AN158" s="88"/>
      <c r="AO158" s="196"/>
      <c r="AP158" s="196"/>
      <c r="AQ158" s="196"/>
      <c r="AR158" s="196"/>
      <c r="AS158" s="196"/>
      <c r="AT158" s="196"/>
      <c r="AU158" s="196"/>
      <c r="AV158" s="196"/>
      <c r="AW158" s="88"/>
      <c r="AX158" s="88"/>
      <c r="AY158" s="2"/>
      <c r="AZ158" s="2"/>
      <c r="BA158" s="2"/>
      <c r="BB158" s="2"/>
      <c r="BC158" s="2"/>
      <c r="BD158" s="2"/>
      <c r="BE158" s="88"/>
      <c r="BF158" s="88"/>
      <c r="BG158" s="88"/>
      <c r="BH158" s="196"/>
      <c r="BI158" s="196"/>
      <c r="BJ158" s="196"/>
      <c r="BK158" s="196"/>
      <c r="BL158" s="196"/>
      <c r="BM158" s="196"/>
      <c r="BN158" s="196"/>
      <c r="BO158" s="196"/>
      <c r="BP158" s="99"/>
      <c r="BR158" s="52"/>
      <c r="BS158" s="2"/>
      <c r="BT158" s="178"/>
      <c r="BU158" s="178"/>
      <c r="BV158" s="178"/>
      <c r="BW158" s="178"/>
      <c r="BX158" s="178"/>
      <c r="BY158" s="178"/>
      <c r="BZ158" s="88"/>
      <c r="CA158" s="88"/>
      <c r="CB158" s="88"/>
      <c r="CC158" s="196"/>
      <c r="CD158" s="196"/>
      <c r="CE158" s="196"/>
      <c r="CF158" s="196"/>
      <c r="CG158" s="196"/>
      <c r="CH158" s="196"/>
      <c r="CI158" s="196"/>
      <c r="CJ158" s="196"/>
      <c r="CK158" s="88"/>
      <c r="CL158" s="88"/>
      <c r="CM158" s="178"/>
      <c r="CN158" s="178"/>
      <c r="CO158" s="178"/>
      <c r="CP158" s="178"/>
      <c r="CQ158" s="178"/>
      <c r="CR158" s="178"/>
      <c r="CS158" s="88"/>
      <c r="CT158" s="88"/>
      <c r="CU158" s="88"/>
      <c r="CV158" s="196"/>
      <c r="CW158" s="196"/>
      <c r="CX158" s="196"/>
      <c r="CY158" s="196"/>
      <c r="CZ158" s="196"/>
      <c r="DA158" s="196"/>
      <c r="DB158" s="196"/>
      <c r="DC158" s="196"/>
      <c r="DD158" s="99"/>
      <c r="DF158" s="124"/>
      <c r="DG158" s="2"/>
      <c r="DH158" s="2"/>
      <c r="DI158" s="2"/>
      <c r="DJ158" s="2"/>
      <c r="DK158" s="2"/>
      <c r="DL158" s="2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2"/>
      <c r="EA158" s="2"/>
      <c r="EB158" s="2"/>
      <c r="EC158" s="2"/>
      <c r="ED158" s="2"/>
      <c r="EE158" s="2"/>
      <c r="EF158" s="88"/>
      <c r="EG158" s="88"/>
      <c r="EH158" s="88"/>
      <c r="EI158" s="130"/>
      <c r="EJ158" s="88"/>
      <c r="EK158" s="124"/>
      <c r="EL158" s="2"/>
      <c r="EM158" s="2"/>
      <c r="EN158" s="2"/>
      <c r="EO158" s="2"/>
      <c r="EP158" s="2"/>
      <c r="EQ158" s="2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2"/>
      <c r="FF158" s="2"/>
      <c r="FG158" s="2"/>
      <c r="FH158" s="2"/>
      <c r="FI158" s="2"/>
      <c r="FJ158" s="2"/>
      <c r="FK158" s="175"/>
      <c r="FL158" s="88"/>
      <c r="FM158" s="88"/>
      <c r="FN158" s="88"/>
      <c r="FO158" s="2"/>
      <c r="FP158" s="2"/>
      <c r="FQ158" s="2"/>
      <c r="FR158" s="2"/>
      <c r="FS158" s="2"/>
      <c r="FT158" s="2"/>
      <c r="FU158" s="88"/>
      <c r="FV158" s="88"/>
      <c r="FW158" s="88"/>
      <c r="FX158" s="88"/>
      <c r="FY158" s="88"/>
      <c r="FZ158" s="88"/>
      <c r="GA158" s="88"/>
      <c r="GB158" s="88"/>
      <c r="GC158" s="88"/>
      <c r="GD158" s="88"/>
      <c r="GE158" s="88"/>
      <c r="GF158" s="1"/>
    </row>
    <row r="159" spans="7:188" ht="6.95" customHeight="1" x14ac:dyDescent="0.15">
      <c r="AD159" s="83"/>
      <c r="AE159" s="82"/>
      <c r="AF159" s="197" t="s">
        <v>28</v>
      </c>
      <c r="AG159" s="197"/>
      <c r="AH159" s="197"/>
      <c r="AI159" s="197"/>
      <c r="AJ159" s="82"/>
      <c r="AK159" s="82"/>
      <c r="AL159" s="82"/>
      <c r="AM159" s="2"/>
      <c r="AN159" s="2"/>
      <c r="AO159" s="2"/>
      <c r="AP159" s="2"/>
      <c r="AQ159" s="2"/>
      <c r="AR159" s="2"/>
      <c r="AS159" s="2"/>
      <c r="AT159" s="2"/>
      <c r="AU159" s="3"/>
      <c r="AV159" s="82"/>
      <c r="AW159" s="88"/>
      <c r="AX159" s="88"/>
      <c r="AY159" s="197" t="s">
        <v>27</v>
      </c>
      <c r="AZ159" s="197"/>
      <c r="BA159" s="197"/>
      <c r="BB159" s="197"/>
      <c r="BC159" s="82"/>
      <c r="BD159" s="82"/>
      <c r="BE159" s="3"/>
      <c r="BF159" s="3"/>
      <c r="BG159" s="3"/>
      <c r="BH159" s="3"/>
      <c r="BI159" s="198"/>
      <c r="BJ159" s="198"/>
      <c r="BK159" s="198"/>
      <c r="BL159" s="198"/>
      <c r="BM159" s="1"/>
      <c r="BN159" s="1"/>
      <c r="BO159" s="1"/>
      <c r="BP159" s="99"/>
      <c r="BR159" s="83"/>
      <c r="BS159" s="82"/>
      <c r="BT159" s="197" t="s">
        <v>28</v>
      </c>
      <c r="BU159" s="197"/>
      <c r="BV159" s="197"/>
      <c r="BW159" s="197"/>
      <c r="BX159" s="82"/>
      <c r="BY159" s="82"/>
      <c r="BZ159" s="82"/>
      <c r="CA159" s="2"/>
      <c r="CB159" s="2"/>
      <c r="CC159" s="2"/>
      <c r="CD159" s="2"/>
      <c r="CE159" s="2"/>
      <c r="CF159" s="2"/>
      <c r="CG159" s="2"/>
      <c r="CH159" s="2"/>
      <c r="CI159" s="3"/>
      <c r="CJ159" s="82"/>
      <c r="CK159" s="88"/>
      <c r="CL159" s="88"/>
      <c r="CM159" s="197" t="s">
        <v>27</v>
      </c>
      <c r="CN159" s="197"/>
      <c r="CO159" s="197"/>
      <c r="CP159" s="197"/>
      <c r="CQ159" s="82"/>
      <c r="CR159" s="82"/>
      <c r="CS159" s="3"/>
      <c r="CT159" s="3"/>
      <c r="CU159" s="3"/>
      <c r="CV159" s="3"/>
      <c r="CW159" s="198"/>
      <c r="CX159" s="198"/>
      <c r="CY159" s="198"/>
      <c r="CZ159" s="198"/>
      <c r="DA159" s="1"/>
      <c r="DB159" s="1"/>
      <c r="DC159" s="1"/>
      <c r="DD159" s="99"/>
      <c r="DF159" s="127"/>
      <c r="DG159" s="82"/>
      <c r="DH159" s="82"/>
      <c r="DI159" s="82"/>
      <c r="DJ159" s="2"/>
      <c r="DK159" s="82"/>
      <c r="DL159" s="82"/>
      <c r="DM159" s="82"/>
      <c r="DN159" s="2"/>
      <c r="DO159" s="2"/>
      <c r="DP159" s="2"/>
      <c r="DQ159" s="2"/>
      <c r="DR159" s="2"/>
      <c r="DS159" s="2"/>
      <c r="DT159" s="2"/>
      <c r="DU159" s="2"/>
      <c r="DV159" s="82"/>
      <c r="DW159" s="88"/>
      <c r="DX159" s="88"/>
      <c r="DY159" s="3"/>
      <c r="DZ159" s="82"/>
      <c r="EA159" s="82"/>
      <c r="EB159" s="82"/>
      <c r="EC159" s="82"/>
      <c r="ED159" s="82"/>
      <c r="EE159" s="82"/>
      <c r="EF159" s="3"/>
      <c r="EG159" s="3"/>
      <c r="EH159" s="3"/>
      <c r="EI159" s="131"/>
      <c r="EJ159" s="3"/>
      <c r="EK159" s="127"/>
      <c r="EL159" s="82"/>
      <c r="EM159" s="82"/>
      <c r="EN159" s="82"/>
      <c r="EO159" s="2"/>
      <c r="EP159" s="82"/>
      <c r="EQ159" s="82"/>
      <c r="ER159" s="82"/>
      <c r="ES159" s="2"/>
      <c r="ET159" s="2"/>
      <c r="EU159" s="2"/>
      <c r="EV159" s="2"/>
      <c r="EW159" s="2"/>
      <c r="EX159" s="2"/>
      <c r="EY159" s="2"/>
      <c r="EZ159" s="2"/>
      <c r="FA159" s="82"/>
      <c r="FB159" s="88"/>
      <c r="FC159" s="88"/>
      <c r="FD159" s="3"/>
      <c r="FE159" s="82"/>
      <c r="FF159" s="82"/>
      <c r="FG159" s="82"/>
      <c r="FH159" s="82"/>
      <c r="FI159" s="82"/>
      <c r="FJ159" s="82"/>
      <c r="FK159" s="127"/>
      <c r="FL159" s="3"/>
      <c r="FM159" s="3"/>
      <c r="FN159" s="3"/>
      <c r="FO159" s="82"/>
      <c r="FP159" s="82"/>
      <c r="FQ159" s="82"/>
      <c r="FR159" s="82"/>
      <c r="FS159" s="82"/>
      <c r="FT159" s="82"/>
      <c r="FU159" s="3"/>
      <c r="FV159" s="3"/>
      <c r="FW159" s="3"/>
      <c r="FX159" s="3"/>
      <c r="FY159" s="3"/>
      <c r="FZ159" s="3"/>
      <c r="GA159" s="3"/>
      <c r="GB159" s="3"/>
      <c r="GC159" s="1"/>
      <c r="GD159" s="88"/>
      <c r="GE159" s="88"/>
      <c r="GF159" s="1"/>
    </row>
    <row r="160" spans="7:188" ht="6.95" customHeight="1" x14ac:dyDescent="0.15">
      <c r="L160" s="197" t="s">
        <v>27</v>
      </c>
      <c r="M160" s="197"/>
      <c r="N160" s="197"/>
      <c r="O160" s="197"/>
      <c r="P160" s="82"/>
      <c r="Q160" s="82"/>
      <c r="R160" s="3"/>
      <c r="S160" s="3"/>
      <c r="T160" s="3"/>
      <c r="U160" s="3"/>
      <c r="V160" s="198"/>
      <c r="W160" s="198"/>
      <c r="X160" s="198"/>
      <c r="Y160" s="198"/>
      <c r="Z160" s="1"/>
      <c r="AA160" s="1"/>
      <c r="AB160" s="1"/>
      <c r="AD160" s="56"/>
      <c r="AE160" s="3"/>
      <c r="AF160" s="197"/>
      <c r="AG160" s="197"/>
      <c r="AH160" s="197"/>
      <c r="AI160" s="197"/>
      <c r="AJ160" s="82"/>
      <c r="AK160" s="82"/>
      <c r="AL160" s="82"/>
      <c r="AM160" s="2"/>
      <c r="AN160" s="2"/>
      <c r="AO160" s="2"/>
      <c r="AP160" s="2"/>
      <c r="AQ160" s="2"/>
      <c r="AR160" s="2"/>
      <c r="AS160" s="2"/>
      <c r="AT160" s="2"/>
      <c r="AU160" s="3"/>
      <c r="AV160" s="82"/>
      <c r="AW160" s="82"/>
      <c r="AX160" s="3"/>
      <c r="AY160" s="197"/>
      <c r="AZ160" s="197"/>
      <c r="BA160" s="197"/>
      <c r="BB160" s="197"/>
      <c r="BC160" s="82"/>
      <c r="BD160" s="82"/>
      <c r="BE160" s="3"/>
      <c r="BF160" s="3"/>
      <c r="BG160" s="3"/>
      <c r="BH160" s="3"/>
      <c r="BI160" s="198"/>
      <c r="BJ160" s="198"/>
      <c r="BK160" s="198"/>
      <c r="BL160" s="198"/>
      <c r="BM160" s="1"/>
      <c r="BN160" s="1"/>
      <c r="BO160" s="1"/>
      <c r="BP160" s="99"/>
      <c r="BR160" s="56"/>
      <c r="BS160" s="3"/>
      <c r="BT160" s="197"/>
      <c r="BU160" s="197"/>
      <c r="BV160" s="197"/>
      <c r="BW160" s="197"/>
      <c r="BX160" s="82"/>
      <c r="BY160" s="82"/>
      <c r="BZ160" s="82"/>
      <c r="CA160" s="2"/>
      <c r="CB160" s="2"/>
      <c r="CC160" s="2"/>
      <c r="CD160" s="2"/>
      <c r="CE160" s="2"/>
      <c r="CF160" s="2"/>
      <c r="CG160" s="2"/>
      <c r="CH160" s="2"/>
      <c r="CI160" s="3"/>
      <c r="CJ160" s="82"/>
      <c r="CK160" s="82"/>
      <c r="CL160" s="3"/>
      <c r="CM160" s="197"/>
      <c r="CN160" s="197"/>
      <c r="CO160" s="197"/>
      <c r="CP160" s="197"/>
      <c r="CQ160" s="82"/>
      <c r="CR160" s="82"/>
      <c r="CS160" s="3"/>
      <c r="CT160" s="3"/>
      <c r="CU160" s="3"/>
      <c r="CV160" s="3"/>
      <c r="CW160" s="198"/>
      <c r="CX160" s="198"/>
      <c r="CY160" s="198"/>
      <c r="CZ160" s="198"/>
      <c r="DA160" s="1"/>
      <c r="DB160" s="1"/>
      <c r="DC160" s="1"/>
      <c r="DD160" s="99"/>
      <c r="DF160" s="127"/>
      <c r="DG160" s="82"/>
      <c r="DH160" s="82"/>
      <c r="DI160" s="82"/>
      <c r="DJ160" s="2"/>
      <c r="DK160" s="82"/>
      <c r="DL160" s="82"/>
      <c r="DM160" s="82"/>
      <c r="DN160" s="2"/>
      <c r="DO160" s="2"/>
      <c r="DP160" s="2"/>
      <c r="DQ160" s="2"/>
      <c r="DR160" s="2"/>
      <c r="DS160" s="2"/>
      <c r="DT160" s="2"/>
      <c r="DU160" s="2"/>
      <c r="DV160" s="3"/>
      <c r="DW160" s="82"/>
      <c r="DX160" s="82"/>
      <c r="DY160" s="3"/>
      <c r="DZ160" s="82"/>
      <c r="EA160" s="82"/>
      <c r="EB160" s="82"/>
      <c r="EC160" s="82"/>
      <c r="ED160" s="82"/>
      <c r="EE160" s="82"/>
      <c r="EF160" s="3"/>
      <c r="EG160" s="3"/>
      <c r="EH160" s="3"/>
      <c r="EI160" s="131"/>
      <c r="EJ160" s="3"/>
      <c r="EK160" s="127"/>
      <c r="EL160" s="82"/>
      <c r="EM160" s="82"/>
      <c r="EN160" s="82"/>
      <c r="EO160" s="2"/>
      <c r="EP160" s="82"/>
      <c r="EQ160" s="82"/>
      <c r="ER160" s="82"/>
      <c r="ES160" s="2"/>
      <c r="ET160" s="2"/>
      <c r="EU160" s="2"/>
      <c r="EV160" s="2"/>
      <c r="EW160" s="2"/>
      <c r="EX160" s="2"/>
      <c r="EY160" s="2"/>
      <c r="EZ160" s="2"/>
      <c r="FA160" s="3"/>
      <c r="FB160" s="82"/>
      <c r="FC160" s="82"/>
      <c r="FD160" s="3"/>
      <c r="FE160" s="82"/>
      <c r="FF160" s="82"/>
      <c r="FG160" s="82"/>
      <c r="FH160" s="82"/>
      <c r="FI160" s="82"/>
      <c r="FJ160" s="82"/>
      <c r="FK160" s="127"/>
      <c r="FL160" s="3"/>
      <c r="FM160" s="3"/>
      <c r="FN160" s="3"/>
      <c r="FO160" s="82"/>
      <c r="FP160" s="82"/>
      <c r="FQ160" s="82"/>
      <c r="FR160" s="82"/>
      <c r="FS160" s="82"/>
      <c r="FT160" s="82"/>
      <c r="FU160" s="3"/>
      <c r="FV160" s="3"/>
      <c r="FW160" s="3"/>
      <c r="FX160" s="3"/>
      <c r="FY160" s="3"/>
      <c r="FZ160" s="3"/>
      <c r="GA160" s="3"/>
      <c r="GB160" s="3"/>
      <c r="GC160" s="1"/>
      <c r="GD160" s="1"/>
      <c r="GE160" s="1"/>
      <c r="GF160" s="1"/>
    </row>
    <row r="161" spans="12:188" ht="6.95" customHeight="1" x14ac:dyDescent="0.15">
      <c r="L161" s="197"/>
      <c r="M161" s="197"/>
      <c r="N161" s="197"/>
      <c r="O161" s="197"/>
      <c r="P161" s="82"/>
      <c r="Q161" s="82"/>
      <c r="R161" s="3"/>
      <c r="S161" s="3"/>
      <c r="T161" s="3"/>
      <c r="U161" s="3"/>
      <c r="V161" s="198"/>
      <c r="W161" s="198"/>
      <c r="X161" s="198"/>
      <c r="Y161" s="198"/>
      <c r="Z161" s="1"/>
      <c r="AA161" s="1"/>
      <c r="AB161" s="1"/>
      <c r="AD161" s="56"/>
      <c r="AE161" s="3"/>
      <c r="AF161" s="3"/>
      <c r="AG161" s="3"/>
      <c r="AH161" s="3"/>
      <c r="AI161" s="2"/>
      <c r="AJ161" s="2"/>
      <c r="AK161" s="2"/>
      <c r="AL161" s="2"/>
      <c r="AM161" s="2"/>
      <c r="AN161" s="82"/>
      <c r="AO161" s="82"/>
      <c r="AP161" s="82"/>
      <c r="AQ161" s="82"/>
      <c r="AR161" s="82"/>
      <c r="AS161" s="82"/>
      <c r="AT161" s="2"/>
      <c r="AU161" s="3"/>
      <c r="AV161" s="82"/>
      <c r="AW161" s="82"/>
      <c r="AX161" s="3"/>
      <c r="AY161" s="3"/>
      <c r="AZ161" s="2"/>
      <c r="BA161" s="3"/>
      <c r="BB161" s="82"/>
      <c r="BC161" s="82"/>
      <c r="BD161" s="3"/>
      <c r="BE161" s="3"/>
      <c r="BF161" s="3"/>
      <c r="BG161" s="3"/>
      <c r="BH161" s="3"/>
      <c r="BI161" s="3"/>
      <c r="BJ161" s="3"/>
      <c r="BK161" s="3"/>
      <c r="BL161" s="3"/>
      <c r="BM161" s="1"/>
      <c r="BN161" s="1"/>
      <c r="BO161" s="1"/>
      <c r="BP161" s="99"/>
      <c r="BR161" s="56"/>
      <c r="BS161" s="3"/>
      <c r="BT161" s="3"/>
      <c r="BU161" s="3"/>
      <c r="BV161" s="3"/>
      <c r="BW161" s="2"/>
      <c r="BX161" s="2"/>
      <c r="BY161" s="2"/>
      <c r="BZ161" s="2"/>
      <c r="CA161" s="2"/>
      <c r="CB161" s="82"/>
      <c r="CC161" s="82"/>
      <c r="CD161" s="82"/>
      <c r="CE161" s="82"/>
      <c r="CF161" s="82"/>
      <c r="CG161" s="82"/>
      <c r="CH161" s="2"/>
      <c r="CI161" s="3"/>
      <c r="CJ161" s="82"/>
      <c r="CK161" s="82"/>
      <c r="CL161" s="3"/>
      <c r="CM161" s="3"/>
      <c r="CN161" s="2"/>
      <c r="CO161" s="3"/>
      <c r="CP161" s="82"/>
      <c r="CQ161" s="82"/>
      <c r="CR161" s="3"/>
      <c r="CS161" s="3"/>
      <c r="CT161" s="3"/>
      <c r="CU161" s="3"/>
      <c r="CV161" s="3"/>
      <c r="CW161" s="3"/>
      <c r="CX161" s="3"/>
      <c r="CY161" s="3"/>
      <c r="CZ161" s="3"/>
      <c r="DA161" s="1"/>
      <c r="DB161" s="1"/>
      <c r="DC161" s="1"/>
      <c r="DD161" s="99"/>
      <c r="DF161" s="127"/>
      <c r="DG161" s="3"/>
      <c r="DH161" s="3"/>
      <c r="DI161" s="3"/>
      <c r="DJ161" s="2"/>
      <c r="DK161" s="2"/>
      <c r="DL161" s="2"/>
      <c r="DM161" s="2"/>
      <c r="DN161" s="2"/>
      <c r="DO161" s="82"/>
      <c r="DP161" s="82"/>
      <c r="DQ161" s="82"/>
      <c r="DR161" s="82"/>
      <c r="DS161" s="82"/>
      <c r="DT161" s="82"/>
      <c r="DU161" s="2"/>
      <c r="DV161" s="3"/>
      <c r="DW161" s="82"/>
      <c r="DX161" s="82"/>
      <c r="DY161" s="82"/>
      <c r="DZ161" s="3"/>
      <c r="EA161" s="2"/>
      <c r="EB161" s="3"/>
      <c r="EC161" s="82"/>
      <c r="ED161" s="82"/>
      <c r="EE161" s="3"/>
      <c r="EF161" s="3"/>
      <c r="EG161" s="3"/>
      <c r="EH161" s="3"/>
      <c r="EI161" s="131"/>
      <c r="EJ161" s="3"/>
      <c r="EK161" s="127"/>
      <c r="EL161" s="3"/>
      <c r="EM161" s="3"/>
      <c r="EN161" s="3"/>
      <c r="EO161" s="2"/>
      <c r="EP161" s="2"/>
      <c r="EQ161" s="2"/>
      <c r="ER161" s="2"/>
      <c r="ES161" s="2"/>
      <c r="ET161" s="82"/>
      <c r="EU161" s="82"/>
      <c r="EV161" s="82"/>
      <c r="EW161" s="82"/>
      <c r="EX161" s="82"/>
      <c r="EY161" s="82"/>
      <c r="EZ161" s="2"/>
      <c r="FA161" s="3"/>
      <c r="FB161" s="82"/>
      <c r="FC161" s="82"/>
      <c r="FD161" s="82"/>
      <c r="FE161" s="3"/>
      <c r="FF161" s="2"/>
      <c r="FG161" s="3"/>
      <c r="FH161" s="82"/>
      <c r="FI161" s="82"/>
      <c r="FJ161" s="3"/>
      <c r="FK161" s="127"/>
      <c r="FL161" s="3"/>
      <c r="FM161" s="3"/>
      <c r="FN161" s="82"/>
      <c r="FO161" s="3"/>
      <c r="FP161" s="2"/>
      <c r="FQ161" s="3"/>
      <c r="FR161" s="82"/>
      <c r="FS161" s="82"/>
      <c r="FT161" s="3"/>
      <c r="FU161" s="3"/>
      <c r="FV161" s="3"/>
      <c r="FW161" s="3"/>
      <c r="FX161" s="3"/>
      <c r="FY161" s="3"/>
      <c r="FZ161" s="3"/>
      <c r="GA161" s="3"/>
      <c r="GB161" s="3"/>
      <c r="GC161" s="1"/>
      <c r="GD161" s="1"/>
      <c r="GE161" s="1"/>
      <c r="GF161" s="1"/>
    </row>
    <row r="162" spans="12:188" ht="6.95" customHeight="1" x14ac:dyDescent="0.15">
      <c r="L162" s="3"/>
      <c r="M162" s="2"/>
      <c r="N162" s="3"/>
      <c r="O162" s="82"/>
      <c r="P162" s="82"/>
      <c r="Q162" s="3"/>
      <c r="R162" s="3"/>
      <c r="S162" s="3"/>
      <c r="T162" s="3"/>
      <c r="U162" s="3"/>
      <c r="V162" s="3"/>
      <c r="W162" s="3"/>
      <c r="X162" s="3"/>
      <c r="Y162" s="3"/>
      <c r="Z162" s="1"/>
      <c r="AA162" s="1"/>
      <c r="AB162" s="1"/>
      <c r="AD162" s="56"/>
      <c r="AE162" s="3"/>
      <c r="AF162" s="199">
        <f>CHOOSE(SUM((AD138&gt;={700,750,800,850,900,950})*1), 500,550,600,650,700,750)</f>
        <v>600</v>
      </c>
      <c r="AG162" s="199"/>
      <c r="AH162" s="199"/>
      <c r="AI162" s="199"/>
      <c r="AJ162" s="4"/>
      <c r="AK162" s="4"/>
      <c r="AL162" s="4"/>
      <c r="AM162" s="4"/>
      <c r="AN162" s="82"/>
      <c r="AO162" s="82"/>
      <c r="AP162" s="82"/>
      <c r="AQ162" s="82"/>
      <c r="AR162" s="82"/>
      <c r="AS162" s="82"/>
      <c r="AT162" s="4"/>
      <c r="AU162" s="3"/>
      <c r="AV162" s="3"/>
      <c r="AW162" s="82"/>
      <c r="AX162" s="3"/>
      <c r="AY162" s="3"/>
      <c r="AZ162" s="4"/>
      <c r="BA162" s="3"/>
      <c r="BB162" s="3"/>
      <c r="BC162" s="3"/>
      <c r="BD162" s="3"/>
      <c r="BE162" s="3"/>
      <c r="BF162" s="3"/>
      <c r="BG162" s="3"/>
      <c r="BH162" s="197">
        <f>CHOOSE(SUM(($BR$138&gt;={700,750})*1), 700,800)</f>
        <v>800</v>
      </c>
      <c r="BI162" s="197"/>
      <c r="BJ162" s="197"/>
      <c r="BK162" s="197"/>
      <c r="BL162" s="3"/>
      <c r="BM162" s="1"/>
      <c r="BN162" s="1"/>
      <c r="BO162" s="1"/>
      <c r="BP162" s="99"/>
      <c r="BR162" s="56"/>
      <c r="BS162" s="3"/>
      <c r="BT162" s="199">
        <f>CHOOSE(SUM((BR138&gt;={700,750,800,850,900,950})*1), 500,550,600,650,700,750)</f>
        <v>650</v>
      </c>
      <c r="BU162" s="199"/>
      <c r="BV162" s="199"/>
      <c r="BW162" s="199"/>
      <c r="BX162" s="4"/>
      <c r="BY162" s="4"/>
      <c r="BZ162" s="4"/>
      <c r="CA162" s="4"/>
      <c r="CB162" s="82"/>
      <c r="CC162" s="82"/>
      <c r="CD162" s="82"/>
      <c r="CE162" s="82"/>
      <c r="CF162" s="82"/>
      <c r="CG162" s="82"/>
      <c r="CH162" s="4"/>
      <c r="CI162" s="3"/>
      <c r="CJ162" s="3"/>
      <c r="CK162" s="82"/>
      <c r="CL162" s="3"/>
      <c r="CM162" s="3"/>
      <c r="CN162" s="4"/>
      <c r="CO162" s="3"/>
      <c r="CP162" s="3"/>
      <c r="CQ162" s="3"/>
      <c r="CR162" s="3"/>
      <c r="CS162" s="3"/>
      <c r="CT162" s="3"/>
      <c r="CU162" s="3"/>
      <c r="CV162" s="197">
        <f>CHOOSE(SUM(($BR$138&gt;={700,750})*1), 700,800)</f>
        <v>800</v>
      </c>
      <c r="CW162" s="197"/>
      <c r="CX162" s="197"/>
      <c r="CY162" s="197"/>
      <c r="CZ162" s="3"/>
      <c r="DA162" s="1"/>
      <c r="DB162" s="1"/>
      <c r="DC162" s="1"/>
      <c r="DD162" s="99"/>
      <c r="DF162" s="127"/>
      <c r="DG162" s="3"/>
      <c r="DH162" s="3"/>
      <c r="DI162" s="3"/>
      <c r="DJ162" s="4"/>
      <c r="DK162" s="4"/>
      <c r="DL162" s="4"/>
      <c r="DM162" s="4"/>
      <c r="DN162" s="4"/>
      <c r="DO162" s="82"/>
      <c r="DP162" s="82"/>
      <c r="DQ162" s="82"/>
      <c r="DR162" s="82"/>
      <c r="DS162" s="82"/>
      <c r="DT162" s="82"/>
      <c r="DU162" s="4"/>
      <c r="DV162" s="3"/>
      <c r="DW162" s="82"/>
      <c r="DX162" s="82"/>
      <c r="DY162" s="3"/>
      <c r="DZ162" s="3"/>
      <c r="EA162" s="2"/>
      <c r="EB162" s="3"/>
      <c r="EC162" s="3"/>
      <c r="ED162" s="3"/>
      <c r="EE162" s="3"/>
      <c r="EF162" s="3"/>
      <c r="EG162" s="3"/>
      <c r="EH162" s="3"/>
      <c r="EI162" s="132"/>
      <c r="EJ162" s="82"/>
      <c r="EK162" s="127"/>
      <c r="EL162" s="3"/>
      <c r="EM162" s="3"/>
      <c r="EN162" s="3"/>
      <c r="EO162" s="4"/>
      <c r="EP162" s="4"/>
      <c r="EQ162" s="4"/>
      <c r="ER162" s="4"/>
      <c r="ES162" s="4"/>
      <c r="ET162" s="82"/>
      <c r="EU162" s="82"/>
      <c r="EV162" s="82"/>
      <c r="EW162" s="82"/>
      <c r="EX162" s="82"/>
      <c r="EY162" s="82"/>
      <c r="EZ162" s="4"/>
      <c r="FA162" s="3"/>
      <c r="FB162" s="82"/>
      <c r="FC162" s="82"/>
      <c r="FD162" s="3"/>
      <c r="FE162" s="3"/>
      <c r="FF162" s="2"/>
      <c r="FG162" s="3"/>
      <c r="FH162" s="3"/>
      <c r="FI162" s="3"/>
      <c r="FJ162" s="3"/>
      <c r="FK162" s="127"/>
      <c r="FL162" s="3"/>
      <c r="FM162" s="3"/>
      <c r="FN162" s="3"/>
      <c r="FO162" s="3"/>
      <c r="FP162" s="2"/>
      <c r="FQ162" s="3"/>
      <c r="FR162" s="3"/>
      <c r="FS162" s="3"/>
      <c r="FT162" s="3"/>
      <c r="FU162" s="3"/>
      <c r="FV162" s="3"/>
      <c r="FW162" s="3"/>
      <c r="FX162" s="96"/>
      <c r="FY162" s="96"/>
      <c r="FZ162" s="96"/>
      <c r="GA162" s="3"/>
      <c r="GB162" s="3"/>
      <c r="GC162" s="1"/>
      <c r="GD162" s="1"/>
      <c r="GE162" s="1"/>
      <c r="GF162" s="1"/>
    </row>
    <row r="163" spans="12:188" ht="6.95" customHeight="1" x14ac:dyDescent="0.15">
      <c r="L163" s="3"/>
      <c r="M163" s="4"/>
      <c r="N163" s="3"/>
      <c r="O163" s="3"/>
      <c r="P163" s="3"/>
      <c r="Q163" s="3"/>
      <c r="R163" s="3"/>
      <c r="S163" s="3"/>
      <c r="T163" s="3"/>
      <c r="U163" s="197">
        <f>CHOOSE(SUM(($AD$138&gt;={700,750})*1), 700,800)</f>
        <v>800</v>
      </c>
      <c r="V163" s="197"/>
      <c r="W163" s="197"/>
      <c r="X163" s="197"/>
      <c r="Y163" s="3"/>
      <c r="Z163" s="1"/>
      <c r="AA163" s="1"/>
      <c r="AB163" s="1"/>
      <c r="AD163" s="56"/>
      <c r="AE163" s="3"/>
      <c r="AF163" s="199"/>
      <c r="AG163" s="199"/>
      <c r="AH163" s="199"/>
      <c r="AI163" s="199"/>
      <c r="AJ163" s="4"/>
      <c r="AK163" s="4"/>
      <c r="AL163" s="4"/>
      <c r="AM163" s="4"/>
      <c r="AN163" s="82"/>
      <c r="AO163" s="82"/>
      <c r="AP163" s="82"/>
      <c r="AQ163" s="4"/>
      <c r="AR163" s="4"/>
      <c r="AS163" s="4"/>
      <c r="AT163" s="4"/>
      <c r="AU163" s="4"/>
      <c r="AV163" s="4"/>
      <c r="AW163" s="3"/>
      <c r="AX163" s="3"/>
      <c r="AY163" s="4"/>
      <c r="AZ163" s="4"/>
      <c r="BA163" s="4"/>
      <c r="BB163" s="4"/>
      <c r="BC163" s="4"/>
      <c r="BD163" s="4"/>
      <c r="BE163" s="4"/>
      <c r="BF163" s="4"/>
      <c r="BG163" s="4"/>
      <c r="BH163" s="197"/>
      <c r="BI163" s="197"/>
      <c r="BJ163" s="197"/>
      <c r="BK163" s="197"/>
      <c r="BL163" s="4"/>
      <c r="BM163" s="1"/>
      <c r="BN163" s="1"/>
      <c r="BO163" s="1"/>
      <c r="BP163" s="99"/>
      <c r="BR163" s="56"/>
      <c r="BS163" s="3"/>
      <c r="BT163" s="199"/>
      <c r="BU163" s="199"/>
      <c r="BV163" s="199"/>
      <c r="BW163" s="199"/>
      <c r="BX163" s="4"/>
      <c r="BY163" s="4"/>
      <c r="BZ163" s="4"/>
      <c r="CA163" s="4"/>
      <c r="CB163" s="82"/>
      <c r="CC163" s="82"/>
      <c r="CD163" s="82"/>
      <c r="CE163" s="4"/>
      <c r="CF163" s="4"/>
      <c r="CG163" s="4"/>
      <c r="CH163" s="4"/>
      <c r="CI163" s="4"/>
      <c r="CJ163" s="4"/>
      <c r="CK163" s="3"/>
      <c r="CL163" s="3"/>
      <c r="CM163" s="4"/>
      <c r="CN163" s="4"/>
      <c r="CO163" s="4"/>
      <c r="CP163" s="4"/>
      <c r="CQ163" s="4"/>
      <c r="CR163" s="4"/>
      <c r="CS163" s="4"/>
      <c r="CT163" s="4"/>
      <c r="CU163" s="4"/>
      <c r="CV163" s="197"/>
      <c r="CW163" s="197"/>
      <c r="CX163" s="197"/>
      <c r="CY163" s="197"/>
      <c r="CZ163" s="4"/>
      <c r="DA163" s="1"/>
      <c r="DB163" s="1"/>
      <c r="DC163" s="1"/>
      <c r="DD163" s="99"/>
      <c r="DF163" s="127"/>
      <c r="DG163" s="3"/>
      <c r="DH163" s="3"/>
      <c r="DI163" s="3"/>
      <c r="DJ163" s="4"/>
      <c r="DK163" s="4"/>
      <c r="DL163" s="4"/>
      <c r="DM163" s="4"/>
      <c r="DN163" s="4"/>
      <c r="DO163" s="82"/>
      <c r="DP163" s="82"/>
      <c r="DQ163" s="82"/>
      <c r="DR163" s="4"/>
      <c r="DS163" s="4"/>
      <c r="DT163" s="4"/>
      <c r="DU163" s="4"/>
      <c r="DV163" s="3"/>
      <c r="DW163" s="3"/>
      <c r="DX163" s="3"/>
      <c r="DY163" s="3"/>
      <c r="DZ163" s="3"/>
      <c r="EA163" s="4"/>
      <c r="EB163" s="4"/>
      <c r="EC163" s="4"/>
      <c r="ED163" s="4"/>
      <c r="EE163" s="4"/>
      <c r="EF163" s="4"/>
      <c r="EG163" s="4"/>
      <c r="EH163" s="4"/>
      <c r="EI163" s="132"/>
      <c r="EJ163" s="82"/>
      <c r="EK163" s="127"/>
      <c r="EL163" s="3"/>
      <c r="EM163" s="3"/>
      <c r="EN163" s="3"/>
      <c r="EO163" s="4"/>
      <c r="EP163" s="4"/>
      <c r="EQ163" s="4"/>
      <c r="ER163" s="4"/>
      <c r="ES163" s="4"/>
      <c r="ET163" s="82"/>
      <c r="EU163" s="82"/>
      <c r="EV163" s="82"/>
      <c r="EW163" s="4"/>
      <c r="EX163" s="4"/>
      <c r="EY163" s="4"/>
      <c r="EZ163" s="4"/>
      <c r="FA163" s="3"/>
      <c r="FB163" s="3"/>
      <c r="FC163" s="3"/>
      <c r="FD163" s="3"/>
      <c r="FE163" s="3"/>
      <c r="FF163" s="4"/>
      <c r="FG163" s="4"/>
      <c r="FH163" s="4"/>
      <c r="FI163" s="4"/>
      <c r="FJ163" s="4"/>
      <c r="FK163" s="173"/>
      <c r="FL163" s="4"/>
      <c r="FM163" s="4"/>
      <c r="FN163" s="3"/>
      <c r="FO163" s="3"/>
      <c r="FP163" s="4"/>
      <c r="FQ163" s="4"/>
      <c r="FR163" s="4"/>
      <c r="FS163" s="4"/>
      <c r="FT163" s="4"/>
      <c r="FU163" s="4"/>
      <c r="FV163" s="4"/>
      <c r="FW163" s="4"/>
      <c r="FX163" s="96"/>
      <c r="FY163" s="96"/>
      <c r="FZ163" s="96"/>
      <c r="GA163" s="4"/>
      <c r="GB163" s="4"/>
      <c r="GC163" s="1"/>
      <c r="GD163" s="1"/>
      <c r="GE163" s="1"/>
      <c r="GF163" s="1"/>
    </row>
    <row r="164" spans="12:188" ht="6.95" customHeight="1" x14ac:dyDescent="0.15">
      <c r="L164" s="4"/>
      <c r="M164" s="4"/>
      <c r="N164" s="4"/>
      <c r="O164" s="4"/>
      <c r="P164" s="4"/>
      <c r="Q164" s="4"/>
      <c r="R164" s="4"/>
      <c r="S164" s="4"/>
      <c r="T164" s="4"/>
      <c r="U164" s="197"/>
      <c r="V164" s="197"/>
      <c r="W164" s="197"/>
      <c r="X164" s="197"/>
      <c r="Y164" s="4"/>
      <c r="Z164" s="1"/>
      <c r="AA164" s="1"/>
      <c r="AB164" s="1"/>
      <c r="AD164" s="56"/>
      <c r="AE164" s="3"/>
      <c r="AF164" s="3"/>
      <c r="AG164" s="3"/>
      <c r="AH164" s="3"/>
      <c r="AI164" s="4"/>
      <c r="AJ164" s="4"/>
      <c r="AK164" s="4"/>
      <c r="AL164" s="4"/>
      <c r="AM164" s="88"/>
      <c r="AN164" s="88"/>
      <c r="AO164" s="88"/>
      <c r="AP164" s="88"/>
      <c r="AQ164" s="88"/>
      <c r="AR164" s="88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1"/>
      <c r="BN164" s="1"/>
      <c r="BO164" s="1"/>
      <c r="BP164" s="99"/>
      <c r="BR164" s="56"/>
      <c r="BS164" s="3"/>
      <c r="BT164" s="3"/>
      <c r="BU164" s="3"/>
      <c r="BV164" s="3"/>
      <c r="BW164" s="4"/>
      <c r="BX164" s="4"/>
      <c r="BY164" s="4"/>
      <c r="BZ164" s="4"/>
      <c r="CA164" s="88"/>
      <c r="CB164" s="88"/>
      <c r="CC164" s="88"/>
      <c r="CD164" s="88"/>
      <c r="CE164" s="88"/>
      <c r="CF164" s="8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1"/>
      <c r="DB164" s="1"/>
      <c r="DC164" s="1"/>
      <c r="DD164" s="99"/>
      <c r="DF164" s="127"/>
      <c r="DG164" s="3"/>
      <c r="DH164" s="3"/>
      <c r="DI164" s="3"/>
      <c r="DJ164" s="4"/>
      <c r="DK164" s="4"/>
      <c r="DL164" s="4"/>
      <c r="DM164" s="4"/>
      <c r="DN164" s="88"/>
      <c r="DO164" s="88"/>
      <c r="DP164" s="88"/>
      <c r="DQ164" s="88"/>
      <c r="DR164" s="88"/>
      <c r="DS164" s="88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133"/>
      <c r="EJ164" s="4"/>
      <c r="EK164" s="127"/>
      <c r="EL164" s="3"/>
      <c r="EM164" s="3"/>
      <c r="EN164" s="3"/>
      <c r="EO164" s="4"/>
      <c r="EP164" s="4"/>
      <c r="EQ164" s="4"/>
      <c r="ER164" s="4"/>
      <c r="ES164" s="88"/>
      <c r="ET164" s="88"/>
      <c r="EU164" s="88"/>
      <c r="EV164" s="88"/>
      <c r="EW164" s="88"/>
      <c r="EX164" s="88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173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1"/>
      <c r="GD164" s="1"/>
      <c r="GE164" s="1"/>
      <c r="GF164" s="1"/>
    </row>
    <row r="165" spans="12:188" ht="6.95" customHeight="1" x14ac:dyDescent="0.15"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1"/>
      <c r="AA165" s="1"/>
      <c r="AB165" s="1"/>
      <c r="AD165" s="56"/>
      <c r="AE165" s="3"/>
      <c r="AF165" s="3"/>
      <c r="AG165" s="3"/>
      <c r="AH165" s="3"/>
      <c r="AI165" s="4"/>
      <c r="AJ165" s="4"/>
      <c r="AK165" s="84"/>
      <c r="AL165" s="84"/>
      <c r="AM165" s="88"/>
      <c r="AN165" s="88"/>
      <c r="AO165" s="196" t="s">
        <v>42</v>
      </c>
      <c r="AP165" s="196"/>
      <c r="AQ165" s="196"/>
      <c r="AR165" s="196">
        <v>8</v>
      </c>
      <c r="AS165" s="196"/>
      <c r="AT165" s="196" t="s">
        <v>43</v>
      </c>
      <c r="AU165" s="196"/>
      <c r="AV165" s="196"/>
      <c r="AW165" s="4"/>
      <c r="AX165" s="4"/>
      <c r="AY165" s="4"/>
      <c r="AZ165" s="88"/>
      <c r="BA165" s="4"/>
      <c r="BB165" s="200">
        <f>CHOOSE(SUM(($BR$138&gt;={700,750})*1), 300,200)</f>
        <v>200</v>
      </c>
      <c r="BC165" s="200"/>
      <c r="BD165" s="200"/>
      <c r="BE165" s="200"/>
      <c r="BF165" s="4"/>
      <c r="BG165" s="88"/>
      <c r="BH165" s="196" t="s">
        <v>42</v>
      </c>
      <c r="BI165" s="196"/>
      <c r="BJ165" s="196"/>
      <c r="BK165" s="196">
        <v>2</v>
      </c>
      <c r="BL165" s="196"/>
      <c r="BM165" s="196" t="s">
        <v>43</v>
      </c>
      <c r="BN165" s="196"/>
      <c r="BO165" s="196"/>
      <c r="BP165" s="99"/>
      <c r="BR165" s="56"/>
      <c r="BS165" s="3"/>
      <c r="BT165" s="3"/>
      <c r="BU165" s="3"/>
      <c r="BV165" s="3"/>
      <c r="BW165" s="4"/>
      <c r="BX165" s="4"/>
      <c r="BY165" s="84"/>
      <c r="BZ165" s="84"/>
      <c r="CA165" s="88"/>
      <c r="CB165" s="88"/>
      <c r="CC165" s="196" t="s">
        <v>42</v>
      </c>
      <c r="CD165" s="196"/>
      <c r="CE165" s="196"/>
      <c r="CF165" s="196">
        <v>8</v>
      </c>
      <c r="CG165" s="196"/>
      <c r="CH165" s="196" t="s">
        <v>43</v>
      </c>
      <c r="CI165" s="196"/>
      <c r="CJ165" s="196"/>
      <c r="CK165" s="4"/>
      <c r="CL165" s="4"/>
      <c r="CM165" s="4"/>
      <c r="CN165" s="88"/>
      <c r="CO165" s="4"/>
      <c r="CP165" s="200">
        <f>CHOOSE(SUM(($BR$138&gt;={700,750})*1), 300,200)</f>
        <v>200</v>
      </c>
      <c r="CQ165" s="200"/>
      <c r="CR165" s="200"/>
      <c r="CS165" s="200"/>
      <c r="CT165" s="4"/>
      <c r="CU165" s="88"/>
      <c r="CV165" s="196" t="s">
        <v>42</v>
      </c>
      <c r="CW165" s="196"/>
      <c r="CX165" s="196"/>
      <c r="CY165" s="196">
        <v>2</v>
      </c>
      <c r="CZ165" s="196"/>
      <c r="DA165" s="196" t="s">
        <v>43</v>
      </c>
      <c r="DB165" s="196"/>
      <c r="DC165" s="196"/>
      <c r="DD165" s="99"/>
      <c r="DF165" s="127"/>
      <c r="DG165" s="3"/>
      <c r="DH165" s="3"/>
      <c r="DI165" s="3"/>
      <c r="DJ165" s="4"/>
      <c r="DK165" s="4"/>
      <c r="DL165" s="84"/>
      <c r="DM165" s="84"/>
      <c r="DN165" s="88"/>
      <c r="DO165" s="88"/>
      <c r="DP165" s="88"/>
      <c r="DQ165" s="88"/>
      <c r="DR165" s="88"/>
      <c r="DS165" s="88"/>
      <c r="DT165" s="88"/>
      <c r="DU165" s="88"/>
      <c r="DV165" s="88"/>
      <c r="DW165" s="4"/>
      <c r="DX165" s="4"/>
      <c r="DY165" s="4"/>
      <c r="DZ165" s="4"/>
      <c r="EA165" s="4"/>
      <c r="EB165" s="4"/>
      <c r="EC165" s="84"/>
      <c r="ED165" s="84"/>
      <c r="EE165" s="84"/>
      <c r="EF165" s="4"/>
      <c r="EG165" s="4"/>
      <c r="EH165" s="88"/>
      <c r="EI165" s="130"/>
      <c r="EJ165" s="88"/>
      <c r="EK165" s="127"/>
      <c r="EL165" s="3"/>
      <c r="EM165" s="3"/>
      <c r="EN165" s="3"/>
      <c r="EO165" s="4"/>
      <c r="EP165" s="4"/>
      <c r="EQ165" s="84"/>
      <c r="ER165" s="84"/>
      <c r="ES165" s="88"/>
      <c r="ET165" s="88"/>
      <c r="EU165" s="88"/>
      <c r="EV165" s="88"/>
      <c r="EW165" s="88"/>
      <c r="EX165" s="88"/>
      <c r="EY165" s="88"/>
      <c r="EZ165" s="88"/>
      <c r="FA165" s="88"/>
      <c r="FB165" s="4"/>
      <c r="FC165" s="4"/>
      <c r="FD165" s="4"/>
      <c r="FE165" s="4"/>
      <c r="FF165" s="4"/>
      <c r="FG165" s="4"/>
      <c r="FH165" s="84"/>
      <c r="FI165" s="84"/>
      <c r="FJ165" s="84"/>
      <c r="FK165" s="173"/>
      <c r="FL165" s="4"/>
      <c r="FM165" s="88"/>
      <c r="FN165" s="4"/>
      <c r="FO165" s="4"/>
      <c r="FP165" s="4"/>
      <c r="FQ165" s="4"/>
      <c r="FR165" s="102"/>
      <c r="FS165" s="102"/>
      <c r="FT165" s="102"/>
      <c r="FU165" s="4"/>
      <c r="FV165" s="4"/>
      <c r="FW165" s="88"/>
      <c r="FX165" s="88"/>
      <c r="FY165" s="88"/>
      <c r="FZ165" s="88"/>
      <c r="GA165" s="88"/>
      <c r="GB165" s="88"/>
      <c r="GC165" s="88"/>
      <c r="GD165" s="88"/>
      <c r="GE165" s="1"/>
      <c r="GF165" s="1"/>
    </row>
    <row r="166" spans="12:188" ht="6.95" customHeight="1" x14ac:dyDescent="0.15">
      <c r="L166" s="4"/>
      <c r="M166" s="88"/>
      <c r="N166" s="4"/>
      <c r="O166" s="200">
        <f>CHOOSE(SUM(($AD$138&gt;={700,750})*1), 300,200)</f>
        <v>200</v>
      </c>
      <c r="P166" s="200"/>
      <c r="Q166" s="200"/>
      <c r="R166" s="200"/>
      <c r="S166" s="4"/>
      <c r="T166" s="88"/>
      <c r="U166" s="196" t="s">
        <v>42</v>
      </c>
      <c r="V166" s="196"/>
      <c r="W166" s="196"/>
      <c r="X166" s="196">
        <v>2</v>
      </c>
      <c r="Y166" s="196"/>
      <c r="Z166" s="196" t="s">
        <v>43</v>
      </c>
      <c r="AA166" s="196"/>
      <c r="AB166" s="196"/>
      <c r="AD166" s="56"/>
      <c r="AE166" s="3"/>
      <c r="AF166" s="2"/>
      <c r="AG166" s="2"/>
      <c r="AH166" s="2"/>
      <c r="AI166" s="2"/>
      <c r="AJ166" s="2"/>
      <c r="AK166" s="84"/>
      <c r="AL166" s="84"/>
      <c r="AM166" s="88"/>
      <c r="AN166" s="88"/>
      <c r="AO166" s="196"/>
      <c r="AP166" s="196"/>
      <c r="AQ166" s="196"/>
      <c r="AR166" s="196"/>
      <c r="AS166" s="196"/>
      <c r="AT166" s="196"/>
      <c r="AU166" s="196"/>
      <c r="AV166" s="196"/>
      <c r="AW166" s="84"/>
      <c r="AX166" s="84"/>
      <c r="AY166" s="4"/>
      <c r="AZ166" s="88"/>
      <c r="BA166" s="4"/>
      <c r="BB166" s="200"/>
      <c r="BC166" s="200"/>
      <c r="BD166" s="200"/>
      <c r="BE166" s="200"/>
      <c r="BF166" s="4"/>
      <c r="BG166" s="88"/>
      <c r="BH166" s="196"/>
      <c r="BI166" s="196"/>
      <c r="BJ166" s="196"/>
      <c r="BK166" s="196"/>
      <c r="BL166" s="196"/>
      <c r="BM166" s="196"/>
      <c r="BN166" s="196"/>
      <c r="BO166" s="196"/>
      <c r="BP166" s="99"/>
      <c r="BR166" s="56"/>
      <c r="BS166" s="3"/>
      <c r="BT166" s="2"/>
      <c r="BU166" s="2"/>
      <c r="BV166" s="2"/>
      <c r="BW166" s="2"/>
      <c r="BX166" s="2"/>
      <c r="BY166" s="84"/>
      <c r="BZ166" s="84"/>
      <c r="CA166" s="88"/>
      <c r="CB166" s="88"/>
      <c r="CC166" s="196"/>
      <c r="CD166" s="196"/>
      <c r="CE166" s="196"/>
      <c r="CF166" s="196"/>
      <c r="CG166" s="196"/>
      <c r="CH166" s="196"/>
      <c r="CI166" s="196"/>
      <c r="CJ166" s="196"/>
      <c r="CK166" s="84"/>
      <c r="CL166" s="84"/>
      <c r="CM166" s="4"/>
      <c r="CN166" s="88"/>
      <c r="CO166" s="4"/>
      <c r="CP166" s="200"/>
      <c r="CQ166" s="200"/>
      <c r="CR166" s="200"/>
      <c r="CS166" s="200"/>
      <c r="CT166" s="4"/>
      <c r="CU166" s="88"/>
      <c r="CV166" s="196"/>
      <c r="CW166" s="196"/>
      <c r="CX166" s="196"/>
      <c r="CY166" s="196"/>
      <c r="CZ166" s="196"/>
      <c r="DA166" s="196"/>
      <c r="DB166" s="196"/>
      <c r="DC166" s="196"/>
      <c r="DD166" s="99"/>
      <c r="DF166" s="124"/>
      <c r="DG166" s="2"/>
      <c r="DH166" s="2"/>
      <c r="DI166" s="2"/>
      <c r="DJ166" s="2"/>
      <c r="DK166" s="2"/>
      <c r="DL166" s="84"/>
      <c r="DM166" s="84"/>
      <c r="DN166" s="88"/>
      <c r="DO166" s="88"/>
      <c r="DP166" s="88"/>
      <c r="DQ166" s="88"/>
      <c r="DR166" s="88"/>
      <c r="DS166" s="88"/>
      <c r="DT166" s="88"/>
      <c r="DU166" s="88"/>
      <c r="DV166" s="88"/>
      <c r="DW166" s="84"/>
      <c r="DX166" s="84"/>
      <c r="DY166" s="84"/>
      <c r="DZ166" s="4"/>
      <c r="EA166" s="88"/>
      <c r="EB166" s="4"/>
      <c r="EC166" s="84"/>
      <c r="ED166" s="84"/>
      <c r="EE166" s="84"/>
      <c r="EF166" s="4"/>
      <c r="EG166" s="4"/>
      <c r="EH166" s="88"/>
      <c r="EI166" s="130"/>
      <c r="EJ166" s="88"/>
      <c r="EK166" s="124"/>
      <c r="EL166" s="2"/>
      <c r="EM166" s="2"/>
      <c r="EN166" s="2"/>
      <c r="EO166" s="2"/>
      <c r="EP166" s="2"/>
      <c r="EQ166" s="84"/>
      <c r="ER166" s="84"/>
      <c r="ES166" s="88"/>
      <c r="ET166" s="88"/>
      <c r="EU166" s="88"/>
      <c r="EV166" s="88"/>
      <c r="EW166" s="88"/>
      <c r="EX166" s="88"/>
      <c r="EY166" s="88"/>
      <c r="EZ166" s="88"/>
      <c r="FA166" s="88"/>
      <c r="FB166" s="84"/>
      <c r="FC166" s="84"/>
      <c r="FD166" s="84"/>
      <c r="FE166" s="4"/>
      <c r="FF166" s="88"/>
      <c r="FG166" s="4"/>
      <c r="FH166" s="84"/>
      <c r="FI166" s="84"/>
      <c r="FJ166" s="84"/>
      <c r="FK166" s="173"/>
      <c r="FL166" s="4"/>
      <c r="FM166" s="88"/>
      <c r="FN166" s="84"/>
      <c r="FO166" s="4"/>
      <c r="FP166" s="88"/>
      <c r="FQ166" s="4"/>
      <c r="FR166" s="102"/>
      <c r="FS166" s="102"/>
      <c r="FT166" s="102"/>
      <c r="FU166" s="4"/>
      <c r="FV166" s="4"/>
      <c r="FW166" s="88"/>
      <c r="FX166" s="88"/>
      <c r="FY166" s="88"/>
      <c r="FZ166" s="88"/>
      <c r="GA166" s="88"/>
      <c r="GB166" s="88"/>
      <c r="GC166" s="88"/>
      <c r="GD166" s="88"/>
      <c r="GE166" s="1"/>
      <c r="GF166" s="1"/>
    </row>
    <row r="167" spans="12:188" ht="6.95" customHeight="1" x14ac:dyDescent="0.15">
      <c r="L167" s="4"/>
      <c r="M167" s="88"/>
      <c r="N167" s="4"/>
      <c r="O167" s="200"/>
      <c r="P167" s="200"/>
      <c r="Q167" s="200"/>
      <c r="R167" s="200"/>
      <c r="S167" s="4"/>
      <c r="T167" s="88"/>
      <c r="U167" s="196"/>
      <c r="V167" s="196"/>
      <c r="W167" s="196"/>
      <c r="X167" s="196"/>
      <c r="Y167" s="196"/>
      <c r="Z167" s="196"/>
      <c r="AA167" s="196"/>
      <c r="AB167" s="196"/>
      <c r="AD167" s="52"/>
      <c r="AE167" s="2"/>
      <c r="AF167" s="2"/>
      <c r="AG167" s="2"/>
      <c r="AH167" s="2"/>
      <c r="AI167" s="2"/>
      <c r="AJ167" s="2"/>
      <c r="AK167" s="84"/>
      <c r="AL167" s="84"/>
      <c r="AM167" s="88"/>
      <c r="AN167" s="88"/>
      <c r="AO167" s="103"/>
      <c r="AP167" s="103"/>
      <c r="AQ167" s="103"/>
      <c r="AR167" s="103"/>
      <c r="AS167" s="103"/>
      <c r="AT167" s="103"/>
      <c r="AU167" s="103"/>
      <c r="AV167" s="103"/>
      <c r="AW167" s="84"/>
      <c r="AX167" s="84"/>
      <c r="BP167" s="99"/>
      <c r="BR167" s="52"/>
      <c r="BS167" s="2"/>
      <c r="BT167" s="2"/>
      <c r="BU167" s="2"/>
      <c r="BV167" s="2"/>
      <c r="BW167" s="2"/>
      <c r="BX167" s="2"/>
      <c r="BY167" s="84"/>
      <c r="BZ167" s="84"/>
      <c r="CA167" s="88"/>
      <c r="CB167" s="88"/>
      <c r="CC167" s="103"/>
      <c r="CD167" s="103"/>
      <c r="CE167" s="103"/>
      <c r="CF167" s="103"/>
      <c r="CG167" s="103"/>
      <c r="CH167" s="103"/>
      <c r="CI167" s="103"/>
      <c r="CJ167" s="103"/>
      <c r="CK167" s="84"/>
      <c r="CL167" s="84"/>
      <c r="CM167" s="4"/>
      <c r="CN167" s="4"/>
      <c r="CO167" s="4"/>
      <c r="CP167" s="4"/>
      <c r="CQ167" s="4"/>
      <c r="CR167" s="4"/>
      <c r="CS167" s="4"/>
      <c r="CT167" s="4"/>
      <c r="CU167" s="4"/>
      <c r="CV167" s="1"/>
      <c r="CW167" s="1"/>
      <c r="CX167" s="1"/>
      <c r="CY167" s="1"/>
      <c r="CZ167" s="1"/>
      <c r="DA167" s="1"/>
      <c r="DB167" s="1"/>
      <c r="DC167" s="1"/>
      <c r="DD167" s="99"/>
      <c r="DF167" s="124"/>
      <c r="DG167" s="2"/>
      <c r="DH167" s="2"/>
      <c r="DI167" s="2"/>
      <c r="DJ167" s="2"/>
      <c r="DK167" s="2"/>
      <c r="DL167" s="84"/>
      <c r="DM167" s="84"/>
      <c r="DN167" s="88"/>
      <c r="DO167" s="88"/>
      <c r="DP167" s="88"/>
      <c r="DQ167" s="88"/>
      <c r="DR167" s="88"/>
      <c r="DS167" s="88"/>
      <c r="DT167" s="88"/>
      <c r="DU167" s="88"/>
      <c r="DV167" s="4"/>
      <c r="DW167" s="84"/>
      <c r="DX167" s="84"/>
      <c r="DY167" s="84"/>
      <c r="DZ167" s="4"/>
      <c r="EA167" s="88"/>
      <c r="EB167" s="4"/>
      <c r="EC167" s="84"/>
      <c r="ED167" s="84"/>
      <c r="EE167" s="84"/>
      <c r="EF167" s="4"/>
      <c r="EG167" s="4"/>
      <c r="EH167" s="88"/>
      <c r="EI167" s="130"/>
      <c r="EJ167" s="88"/>
      <c r="EK167" s="124"/>
      <c r="EL167" s="2"/>
      <c r="EM167" s="2"/>
      <c r="EN167" s="2"/>
      <c r="EO167" s="2"/>
      <c r="EP167" s="2"/>
      <c r="EQ167" s="84"/>
      <c r="ER167" s="84"/>
      <c r="ES167" s="88"/>
      <c r="ET167" s="88"/>
      <c r="EU167" s="88"/>
      <c r="EV167" s="88"/>
      <c r="EW167" s="88"/>
      <c r="EX167" s="88"/>
      <c r="EY167" s="88"/>
      <c r="EZ167" s="88"/>
      <c r="FA167" s="4"/>
      <c r="FB167" s="84"/>
      <c r="FC167" s="84"/>
      <c r="FD167" s="84"/>
      <c r="FE167" s="4"/>
      <c r="FF167" s="88"/>
      <c r="FG167" s="4"/>
      <c r="FH167" s="84"/>
      <c r="FI167" s="84"/>
      <c r="FJ167" s="84"/>
      <c r="FK167" s="173"/>
      <c r="FL167" s="4"/>
      <c r="FM167" s="88"/>
      <c r="FN167" s="84"/>
      <c r="FO167" s="4"/>
      <c r="FP167" s="88"/>
      <c r="FQ167" s="4"/>
      <c r="FR167" s="84"/>
      <c r="FS167" s="84"/>
      <c r="FT167" s="84"/>
      <c r="FU167" s="4"/>
      <c r="FV167" s="4"/>
      <c r="FW167" s="88"/>
      <c r="FX167" s="88"/>
      <c r="FY167" s="88"/>
      <c r="FZ167" s="88"/>
      <c r="GA167" s="88"/>
      <c r="GB167" s="88"/>
      <c r="GC167" s="88"/>
      <c r="GD167" s="1"/>
      <c r="GE167" s="1"/>
      <c r="GF167" s="1"/>
    </row>
    <row r="168" spans="12:188" ht="6.95" customHeight="1" x14ac:dyDescent="0.15">
      <c r="AD168" s="56"/>
      <c r="AE168" s="3"/>
      <c r="AF168" s="3"/>
      <c r="AG168" s="3"/>
      <c r="AH168" s="3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1"/>
      <c r="BI168" s="1"/>
      <c r="BJ168" s="1"/>
      <c r="BK168" s="1"/>
      <c r="BL168" s="1"/>
      <c r="BM168" s="1"/>
      <c r="BN168" s="1"/>
      <c r="BO168" s="1"/>
      <c r="BP168" s="99"/>
      <c r="BR168" s="56"/>
      <c r="BS168" s="3"/>
      <c r="BT168" s="2"/>
      <c r="BU168" s="2"/>
      <c r="BV168" s="2"/>
      <c r="BW168" s="2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1"/>
      <c r="CW168" s="1"/>
      <c r="CX168" s="1"/>
      <c r="CY168" s="1"/>
      <c r="CZ168" s="1"/>
      <c r="DA168" s="1"/>
      <c r="DB168" s="1"/>
      <c r="DC168" s="1"/>
      <c r="DD168" s="99"/>
      <c r="DF168" s="127"/>
      <c r="DG168" s="96"/>
      <c r="DH168" s="96"/>
      <c r="DI168" s="96"/>
      <c r="DJ168" s="86"/>
      <c r="DK168" s="96"/>
      <c r="DL168" s="96"/>
      <c r="DM168" s="96"/>
      <c r="DN168" s="96"/>
      <c r="DO168" s="87"/>
      <c r="DP168" s="88"/>
      <c r="DQ168" s="88"/>
      <c r="DR168" s="88"/>
      <c r="DS168" s="88"/>
      <c r="DT168" s="88"/>
      <c r="DU168" s="88"/>
      <c r="DV168" s="88"/>
      <c r="DW168" s="88"/>
      <c r="DX168" s="88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125"/>
      <c r="EJ168" s="1"/>
      <c r="EK168" s="127"/>
      <c r="EL168" s="96"/>
      <c r="EM168" s="96"/>
      <c r="EN168" s="96"/>
      <c r="EO168" s="86"/>
      <c r="EP168" s="96"/>
      <c r="EQ168" s="96"/>
      <c r="ER168" s="96"/>
      <c r="ES168" s="96"/>
      <c r="ET168" s="87"/>
      <c r="EU168" s="88"/>
      <c r="EV168" s="88"/>
      <c r="EW168" s="88"/>
      <c r="EX168" s="88"/>
      <c r="EY168" s="88"/>
      <c r="EZ168" s="88"/>
      <c r="FA168" s="88"/>
      <c r="FB168" s="88"/>
      <c r="FC168" s="88"/>
      <c r="FD168" s="4"/>
      <c r="FE168" s="4"/>
      <c r="FF168" s="4"/>
      <c r="FG168" s="4"/>
      <c r="FH168" s="4"/>
      <c r="FI168" s="4"/>
      <c r="FJ168" s="4"/>
      <c r="FK168" s="173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1"/>
      <c r="FY168" s="1"/>
      <c r="FZ168" s="1"/>
      <c r="GA168" s="1"/>
      <c r="GB168" s="1"/>
      <c r="GC168" s="1"/>
      <c r="GD168" s="1"/>
      <c r="GE168" s="1"/>
      <c r="GF168" s="1"/>
    </row>
    <row r="169" spans="12:188" ht="6.95" customHeight="1" x14ac:dyDescent="0.15">
      <c r="AD169" s="56"/>
      <c r="AE169" s="3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3"/>
      <c r="AQ169" s="103"/>
      <c r="AR169" s="103"/>
      <c r="AS169" s="103"/>
      <c r="AT169" s="103"/>
      <c r="AU169" s="103"/>
      <c r="AV169" s="103"/>
      <c r="AW169" s="103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1"/>
      <c r="BI169" s="1"/>
      <c r="BJ169" s="1"/>
      <c r="BK169" s="1"/>
      <c r="BL169" s="1"/>
      <c r="BM169" s="1"/>
      <c r="BN169" s="1"/>
      <c r="BO169" s="1"/>
      <c r="BP169" s="99"/>
      <c r="BR169" s="56"/>
      <c r="BS169" s="3"/>
      <c r="BT169" s="2"/>
      <c r="BU169" s="2"/>
      <c r="BV169" s="2"/>
      <c r="BW169" s="2"/>
      <c r="BX169" s="106"/>
      <c r="BY169" s="106"/>
      <c r="BZ169" s="106"/>
      <c r="CA169" s="106"/>
      <c r="CB169" s="106"/>
      <c r="CC169" s="106"/>
      <c r="CD169" s="103"/>
      <c r="CE169" s="103"/>
      <c r="CF169" s="103"/>
      <c r="CG169" s="103"/>
      <c r="CH169" s="103"/>
      <c r="CI169" s="103"/>
      <c r="CJ169" s="103"/>
      <c r="CK169" s="103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1"/>
      <c r="CW169" s="1"/>
      <c r="CX169" s="1"/>
      <c r="CY169" s="1"/>
      <c r="CZ169" s="1"/>
      <c r="DA169" s="1"/>
      <c r="DB169" s="1"/>
      <c r="DC169" s="1"/>
      <c r="DD169" s="147"/>
      <c r="DF169" s="127"/>
      <c r="DG169" s="96"/>
      <c r="DH169" s="96"/>
      <c r="DI169" s="96"/>
      <c r="DJ169" s="86"/>
      <c r="DK169" s="96"/>
      <c r="DL169" s="96"/>
      <c r="DM169" s="96"/>
      <c r="DN169" s="96"/>
      <c r="DO169" s="87"/>
      <c r="DP169" s="88"/>
      <c r="DQ169" s="88"/>
      <c r="DR169" s="88"/>
      <c r="DS169" s="88"/>
      <c r="DT169" s="88"/>
      <c r="DU169" s="88"/>
      <c r="DV169" s="88"/>
      <c r="DW169" s="88"/>
      <c r="DX169" s="88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125"/>
      <c r="EJ169" s="1"/>
      <c r="EK169" s="127"/>
      <c r="EL169" s="96"/>
      <c r="EM169" s="96"/>
      <c r="EN169" s="96"/>
      <c r="EO169" s="86"/>
      <c r="EP169" s="96"/>
      <c r="EQ169" s="96"/>
      <c r="ER169" s="96"/>
      <c r="ES169" s="96"/>
      <c r="ET169" s="87"/>
      <c r="EU169" s="88"/>
      <c r="EV169" s="88"/>
      <c r="EW169" s="88"/>
      <c r="EX169" s="88"/>
      <c r="EY169" s="88"/>
      <c r="EZ169" s="88"/>
      <c r="FA169" s="88"/>
      <c r="FB169" s="88"/>
      <c r="FC169" s="88"/>
      <c r="FD169" s="4"/>
      <c r="FE169" s="4"/>
      <c r="FF169" s="4"/>
      <c r="FG169" s="4"/>
      <c r="FH169" s="4"/>
      <c r="FI169" s="4"/>
      <c r="FJ169" s="4"/>
      <c r="FK169" s="173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1"/>
      <c r="FY169" s="1"/>
      <c r="FZ169" s="1"/>
      <c r="GA169" s="1"/>
      <c r="GB169" s="1"/>
      <c r="GC169" s="1"/>
      <c r="GD169" s="1"/>
      <c r="GE169" s="1"/>
      <c r="GF169" s="1"/>
    </row>
    <row r="170" spans="12:188" ht="6.95" customHeight="1" x14ac:dyDescent="0.15">
      <c r="AD170" s="56"/>
      <c r="AE170" s="3"/>
      <c r="AF170" s="200" t="s">
        <v>26</v>
      </c>
      <c r="AG170" s="200"/>
      <c r="AH170" s="200"/>
      <c r="AI170" s="200"/>
      <c r="AJ170" s="106"/>
      <c r="AK170" s="106"/>
      <c r="AL170" s="106"/>
      <c r="AM170" s="106"/>
      <c r="AN170" s="106"/>
      <c r="AO170" s="106"/>
      <c r="AP170" s="103"/>
      <c r="AQ170" s="103"/>
      <c r="AR170" s="103"/>
      <c r="AS170" s="103"/>
      <c r="AT170" s="103"/>
      <c r="AU170" s="103"/>
      <c r="AV170" s="103"/>
      <c r="AW170" s="103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1"/>
      <c r="BI170" s="1"/>
      <c r="BJ170" s="1"/>
      <c r="BK170" s="1"/>
      <c r="BL170" s="1"/>
      <c r="BM170" s="1"/>
      <c r="BN170" s="1"/>
      <c r="BO170" s="1"/>
      <c r="BP170" s="99"/>
      <c r="BR170" s="56"/>
      <c r="BS170" s="3"/>
      <c r="BT170" s="2"/>
      <c r="BU170" s="2"/>
      <c r="BV170" s="2"/>
      <c r="BW170" s="2"/>
      <c r="BX170" s="106"/>
      <c r="BY170" s="106"/>
      <c r="BZ170" s="106"/>
      <c r="CA170" s="106"/>
      <c r="CB170" s="106"/>
      <c r="CC170" s="106"/>
      <c r="CD170" s="103"/>
      <c r="CE170" s="103"/>
      <c r="CF170" s="103"/>
      <c r="CG170" s="103"/>
      <c r="CH170" s="103"/>
      <c r="CI170" s="103"/>
      <c r="CJ170" s="103"/>
      <c r="CK170" s="103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1"/>
      <c r="CW170" s="1"/>
      <c r="CX170" s="1"/>
      <c r="CY170" s="1"/>
      <c r="CZ170" s="1"/>
      <c r="DA170" s="1"/>
      <c r="DB170" s="1"/>
      <c r="DC170" s="1"/>
      <c r="DD170" s="147"/>
      <c r="DF170" s="127"/>
      <c r="DG170" s="96"/>
      <c r="DH170" s="96"/>
      <c r="DI170" s="96"/>
      <c r="DJ170" s="86"/>
      <c r="DK170" s="96"/>
      <c r="DL170" s="96"/>
      <c r="DM170" s="96"/>
      <c r="DN170" s="96"/>
      <c r="DO170" s="96"/>
      <c r="DP170" s="96"/>
      <c r="DQ170" s="4"/>
      <c r="DR170" s="88"/>
      <c r="DS170" s="88"/>
      <c r="DT170" s="88"/>
      <c r="DU170" s="88"/>
      <c r="DV170" s="88"/>
      <c r="DW170" s="88"/>
      <c r="DX170" s="88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125"/>
      <c r="EJ170" s="1"/>
      <c r="EK170" s="127"/>
      <c r="EL170" s="96"/>
      <c r="EM170" s="96"/>
      <c r="EN170" s="96"/>
      <c r="EO170" s="86"/>
      <c r="EP170" s="96"/>
      <c r="EQ170" s="96"/>
      <c r="ER170" s="96"/>
      <c r="ES170" s="96"/>
      <c r="ET170" s="96"/>
      <c r="EU170" s="96"/>
      <c r="EV170" s="4"/>
      <c r="EW170" s="88"/>
      <c r="EX170" s="88"/>
      <c r="EY170" s="88"/>
      <c r="EZ170" s="88"/>
      <c r="FA170" s="88"/>
      <c r="FB170" s="88"/>
      <c r="FC170" s="88"/>
      <c r="FD170" s="4"/>
      <c r="FE170" s="4"/>
      <c r="FF170" s="4"/>
      <c r="FG170" s="4"/>
      <c r="FH170" s="4"/>
      <c r="FI170" s="4"/>
      <c r="FJ170" s="4"/>
      <c r="FK170" s="173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1"/>
      <c r="FY170" s="1"/>
      <c r="FZ170" s="1"/>
      <c r="GA170" s="1"/>
      <c r="GB170" s="1"/>
      <c r="GC170" s="1"/>
      <c r="GD170" s="1"/>
      <c r="GE170" s="1"/>
      <c r="GF170" s="1"/>
    </row>
    <row r="171" spans="12:188" ht="6.95" customHeight="1" x14ac:dyDescent="0.15">
      <c r="AD171" s="56"/>
      <c r="AE171" s="3"/>
      <c r="AF171" s="200"/>
      <c r="AG171" s="200"/>
      <c r="AH171" s="200"/>
      <c r="AI171" s="200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1"/>
      <c r="BI171" s="1"/>
      <c r="BJ171" s="199">
        <f>CHOOSE(SUM((AD138&gt;={700,750,800,850,900,950})*1), 140,190,240,290,340,390)</f>
        <v>240</v>
      </c>
      <c r="BK171" s="199"/>
      <c r="BL171" s="199"/>
      <c r="BM171" s="199"/>
      <c r="BN171" s="1"/>
      <c r="BO171" s="1"/>
      <c r="BP171" s="99"/>
      <c r="BR171" s="56"/>
      <c r="BS171" s="3"/>
      <c r="BT171" s="193" t="s">
        <v>48</v>
      </c>
      <c r="BU171" s="193"/>
      <c r="BV171" s="193"/>
      <c r="BW171" s="193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1"/>
      <c r="CW171" s="1"/>
      <c r="CX171" s="199">
        <f>CHOOSE(SUM((BR138&gt;={700,750,800,850,900,950})*1), 140,190,240,290,340,390)</f>
        <v>290</v>
      </c>
      <c r="CY171" s="199"/>
      <c r="CZ171" s="199"/>
      <c r="DA171" s="199"/>
      <c r="DB171" s="1"/>
      <c r="DC171" s="1"/>
      <c r="DD171" s="147"/>
      <c r="DF171" s="127"/>
      <c r="DG171" s="96"/>
      <c r="DH171" s="96"/>
      <c r="DI171" s="96"/>
      <c r="DJ171" s="86"/>
      <c r="DK171" s="96"/>
      <c r="DL171" s="96"/>
      <c r="DM171" s="96"/>
      <c r="DN171" s="96"/>
      <c r="DO171" s="96"/>
      <c r="DP171" s="96"/>
      <c r="DQ171" s="4"/>
      <c r="DR171" s="88"/>
      <c r="DS171" s="88"/>
      <c r="DT171" s="88"/>
      <c r="DU171" s="88"/>
      <c r="DV171" s="88"/>
      <c r="DW171" s="88"/>
      <c r="DX171" s="88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125"/>
      <c r="EJ171" s="1"/>
      <c r="EK171" s="127"/>
      <c r="EL171" s="96"/>
      <c r="EM171" s="96"/>
      <c r="EN171" s="96"/>
      <c r="EO171" s="86"/>
      <c r="EP171" s="96"/>
      <c r="EQ171" s="96"/>
      <c r="ER171" s="96"/>
      <c r="ES171" s="96"/>
      <c r="ET171" s="96"/>
      <c r="EU171" s="96"/>
      <c r="EV171" s="4"/>
      <c r="EW171" s="88"/>
      <c r="EX171" s="88"/>
      <c r="EY171" s="88"/>
      <c r="EZ171" s="88"/>
      <c r="FA171" s="88"/>
      <c r="FB171" s="88"/>
      <c r="FC171" s="88"/>
      <c r="FD171" s="4"/>
      <c r="FE171" s="4"/>
      <c r="FF171" s="4"/>
      <c r="FG171" s="4"/>
      <c r="FH171" s="4"/>
      <c r="FI171" s="4"/>
      <c r="FJ171" s="4"/>
      <c r="FK171" s="173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1"/>
      <c r="FY171" s="1"/>
      <c r="FZ171" s="1"/>
      <c r="GA171" s="1"/>
      <c r="GB171" s="1"/>
      <c r="GC171" s="1"/>
      <c r="GD171" s="1"/>
      <c r="GE171" s="1"/>
      <c r="GF171" s="1"/>
    </row>
    <row r="172" spans="12:188" ht="6.95" customHeight="1" x14ac:dyDescent="0.15">
      <c r="L172" s="197" t="s">
        <v>27</v>
      </c>
      <c r="M172" s="197"/>
      <c r="N172" s="197"/>
      <c r="O172" s="197"/>
      <c r="P172" s="106"/>
      <c r="Q172" s="218">
        <v>1000</v>
      </c>
      <c r="R172" s="218"/>
      <c r="S172" s="218"/>
      <c r="T172" s="218"/>
      <c r="U172" s="218"/>
      <c r="V172" s="218"/>
      <c r="W172" s="218"/>
      <c r="X172" s="3"/>
      <c r="Y172" s="3"/>
      <c r="Z172" s="1"/>
      <c r="AA172" s="1"/>
      <c r="AB172" s="1"/>
      <c r="AD172" s="56"/>
      <c r="AE172" s="3"/>
      <c r="AF172" s="106"/>
      <c r="AG172" s="106"/>
      <c r="AH172" s="106"/>
      <c r="AI172" s="106"/>
      <c r="AJ172" s="104"/>
      <c r="AK172" s="105"/>
      <c r="AL172" s="105"/>
      <c r="AM172" s="105"/>
      <c r="AN172" s="105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1"/>
      <c r="BI172" s="1"/>
      <c r="BJ172" s="199"/>
      <c r="BK172" s="199"/>
      <c r="BL172" s="199"/>
      <c r="BM172" s="199"/>
      <c r="BN172" s="1"/>
      <c r="BO172" s="1"/>
      <c r="BP172" s="99"/>
      <c r="BR172" s="56"/>
      <c r="BS172" s="3"/>
      <c r="BT172" s="193"/>
      <c r="BU172" s="193"/>
      <c r="BV172" s="193"/>
      <c r="BW172" s="193"/>
      <c r="BX172" s="104"/>
      <c r="BY172" s="105"/>
      <c r="BZ172" s="105"/>
      <c r="CA172" s="105"/>
      <c r="CB172" s="105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1"/>
      <c r="CW172" s="1"/>
      <c r="CX172" s="199"/>
      <c r="CY172" s="199"/>
      <c r="CZ172" s="199"/>
      <c r="DA172" s="199"/>
      <c r="DB172" s="1"/>
      <c r="DC172" s="1"/>
      <c r="DD172" s="147"/>
      <c r="DF172" s="127"/>
      <c r="DG172" s="96"/>
      <c r="DH172" s="96"/>
      <c r="DI172" s="96"/>
      <c r="DJ172" s="4"/>
      <c r="DK172" s="96"/>
      <c r="DL172" s="96"/>
      <c r="DM172" s="96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125"/>
      <c r="EJ172" s="1"/>
      <c r="EK172" s="127"/>
      <c r="EL172" s="96"/>
      <c r="EM172" s="96"/>
      <c r="EN172" s="96"/>
      <c r="EO172" s="4"/>
      <c r="EP172" s="96"/>
      <c r="EQ172" s="96"/>
      <c r="ER172" s="96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173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1"/>
      <c r="FY172" s="1"/>
      <c r="FZ172" s="1"/>
      <c r="GA172" s="1"/>
      <c r="GB172" s="1"/>
      <c r="GC172" s="1"/>
      <c r="GD172" s="1"/>
      <c r="GE172" s="1"/>
      <c r="GF172" s="1"/>
    </row>
    <row r="173" spans="12:188" ht="6.95" customHeight="1" x14ac:dyDescent="0.15">
      <c r="L173" s="197"/>
      <c r="M173" s="197"/>
      <c r="N173" s="197"/>
      <c r="O173" s="197"/>
      <c r="P173" s="106"/>
      <c r="Q173" s="218"/>
      <c r="R173" s="218"/>
      <c r="S173" s="218"/>
      <c r="T173" s="218"/>
      <c r="U173" s="218"/>
      <c r="V173" s="218"/>
      <c r="W173" s="218"/>
      <c r="X173" s="3"/>
      <c r="Y173" s="3"/>
      <c r="Z173" s="1"/>
      <c r="AA173" s="1"/>
      <c r="AB173" s="1"/>
      <c r="AD173" s="56"/>
      <c r="AE173" s="3"/>
      <c r="AF173" s="197" t="str">
        <f>AF170</f>
        <v>D16</v>
      </c>
      <c r="AG173" s="197"/>
      <c r="AH173" s="197"/>
      <c r="AI173" s="197"/>
      <c r="AJ173" s="104"/>
      <c r="AK173" s="105"/>
      <c r="AL173" s="105"/>
      <c r="AM173" s="105"/>
      <c r="AN173" s="105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1"/>
      <c r="BI173" s="1"/>
      <c r="BJ173" s="96"/>
      <c r="BK173" s="96"/>
      <c r="BL173" s="96"/>
      <c r="BM173" s="96"/>
      <c r="BN173" s="110"/>
      <c r="BO173" s="1"/>
      <c r="BP173" s="99"/>
      <c r="BR173" s="56"/>
      <c r="BS173" s="3"/>
      <c r="BT173" s="2"/>
      <c r="BU173" s="2"/>
      <c r="BV173" s="2"/>
      <c r="BW173" s="2"/>
      <c r="BX173" s="104"/>
      <c r="BY173" s="105"/>
      <c r="BZ173" s="105"/>
      <c r="CA173" s="105"/>
      <c r="CB173" s="105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1"/>
      <c r="CW173" s="1"/>
      <c r="CX173" s="96"/>
      <c r="CY173" s="96"/>
      <c r="CZ173" s="96"/>
      <c r="DA173" s="96"/>
      <c r="DB173" s="110"/>
      <c r="DC173" s="1"/>
      <c r="DD173" s="147"/>
      <c r="DF173" s="127"/>
      <c r="DG173" s="96"/>
      <c r="DH173" s="96"/>
      <c r="DI173" s="96"/>
      <c r="DJ173" s="4"/>
      <c r="DK173" s="96"/>
      <c r="DL173" s="96"/>
      <c r="DM173" s="96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125"/>
      <c r="EJ173" s="1"/>
      <c r="EK173" s="127"/>
      <c r="EL173" s="96"/>
      <c r="EM173" s="96"/>
      <c r="EN173" s="96"/>
      <c r="EO173" s="4"/>
      <c r="EP173" s="96"/>
      <c r="EQ173" s="96"/>
      <c r="ER173" s="96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173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1"/>
      <c r="FY173" s="1"/>
      <c r="FZ173" s="1"/>
      <c r="GA173" s="1"/>
      <c r="GB173" s="1"/>
      <c r="GC173" s="1"/>
      <c r="GD173" s="1"/>
      <c r="GE173" s="1"/>
      <c r="GF173" s="1"/>
    </row>
    <row r="174" spans="12:188" ht="6.95" customHeight="1" x14ac:dyDescent="0.15">
      <c r="L174" s="3"/>
      <c r="M174" s="2"/>
      <c r="N174" s="3"/>
      <c r="O174" s="82"/>
      <c r="P174" s="82"/>
      <c r="Q174" s="3"/>
      <c r="R174" s="3"/>
      <c r="S174" s="3"/>
      <c r="T174" s="3"/>
      <c r="U174" s="3"/>
      <c r="V174" s="3"/>
      <c r="W174" s="3"/>
      <c r="X174" s="3"/>
      <c r="Y174" s="3"/>
      <c r="Z174" s="1"/>
      <c r="AA174" s="1"/>
      <c r="AB174" s="1"/>
      <c r="AD174" s="56"/>
      <c r="AE174" s="3"/>
      <c r="AF174" s="197"/>
      <c r="AG174" s="197"/>
      <c r="AH174" s="197"/>
      <c r="AI174" s="197"/>
      <c r="AJ174" s="4"/>
      <c r="AK174" s="4"/>
      <c r="AL174" s="105"/>
      <c r="AM174" s="105"/>
      <c r="AN174" s="105"/>
      <c r="AO174" s="105"/>
      <c r="AP174" s="105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1"/>
      <c r="BI174" s="1"/>
      <c r="BJ174" s="1"/>
      <c r="BK174" s="1"/>
      <c r="BL174" s="110"/>
      <c r="BM174" s="110"/>
      <c r="BN174" s="110"/>
      <c r="BO174" s="1"/>
      <c r="BP174" s="99"/>
      <c r="BR174" s="56"/>
      <c r="BS174" s="3"/>
      <c r="BT174" s="2"/>
      <c r="BU174" s="2"/>
      <c r="BV174" s="2"/>
      <c r="BW174" s="2"/>
      <c r="BX174" s="4"/>
      <c r="BY174" s="4"/>
      <c r="BZ174" s="105"/>
      <c r="CA174" s="105"/>
      <c r="CB174" s="105"/>
      <c r="CC174" s="105"/>
      <c r="CD174" s="105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1"/>
      <c r="CW174" s="1"/>
      <c r="CX174" s="1"/>
      <c r="CY174" s="1"/>
      <c r="CZ174" s="110"/>
      <c r="DA174" s="110"/>
      <c r="DB174" s="110"/>
      <c r="DC174" s="1"/>
      <c r="DD174" s="147"/>
      <c r="DF174" s="127"/>
      <c r="DG174" s="3"/>
      <c r="DH174" s="3"/>
      <c r="DI174" s="3"/>
      <c r="DJ174" s="4"/>
      <c r="DK174" s="4"/>
      <c r="DL174" s="4"/>
      <c r="DM174" s="96"/>
      <c r="DN174" s="96"/>
      <c r="DO174" s="96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125"/>
      <c r="EJ174" s="1"/>
      <c r="EK174" s="155"/>
      <c r="EL174" s="155"/>
      <c r="EM174" s="155"/>
      <c r="EN174" s="155"/>
      <c r="EO174" s="176"/>
      <c r="EP174" s="176"/>
      <c r="EQ174" s="176"/>
      <c r="ER174" s="177"/>
      <c r="ES174" s="177"/>
      <c r="ET174" s="177"/>
      <c r="EU174" s="176"/>
      <c r="EV174" s="176"/>
      <c r="EW174" s="176"/>
      <c r="EX174" s="176"/>
      <c r="EY174" s="176"/>
      <c r="EZ174" s="176"/>
      <c r="FA174" s="176"/>
      <c r="FB174" s="176"/>
      <c r="FC174" s="176"/>
      <c r="FD174" s="176"/>
      <c r="FE174" s="176"/>
      <c r="FF174" s="176"/>
      <c r="FG174" s="176"/>
      <c r="FH174" s="176"/>
      <c r="FI174" s="176"/>
      <c r="FJ174" s="176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1"/>
      <c r="FY174" s="1"/>
      <c r="FZ174" s="1"/>
      <c r="GA174" s="1"/>
      <c r="GB174" s="1"/>
      <c r="GC174" s="1"/>
      <c r="GD174" s="1"/>
      <c r="GE174" s="1"/>
      <c r="GF174" s="1"/>
    </row>
    <row r="175" spans="12:188" ht="6.95" customHeight="1" x14ac:dyDescent="0.15">
      <c r="L175" s="3"/>
      <c r="M175" s="4"/>
      <c r="N175" s="3"/>
      <c r="O175" s="3"/>
      <c r="P175" s="3"/>
      <c r="Q175" s="3"/>
      <c r="R175" s="3"/>
      <c r="S175" s="3"/>
      <c r="T175" s="3"/>
      <c r="U175" s="106"/>
      <c r="V175" s="106"/>
      <c r="W175" s="106"/>
      <c r="X175" s="106"/>
      <c r="Y175" s="3"/>
      <c r="Z175" s="1"/>
      <c r="AA175" s="1"/>
      <c r="AB175" s="1"/>
      <c r="AD175" s="56"/>
      <c r="AE175" s="3"/>
      <c r="AF175" s="106"/>
      <c r="AG175" s="106"/>
      <c r="AH175" s="106"/>
      <c r="AI175" s="106"/>
      <c r="AJ175" s="4"/>
      <c r="AK175" s="4"/>
      <c r="AL175" s="105"/>
      <c r="AM175" s="105"/>
      <c r="AN175" s="105"/>
      <c r="AO175" s="105"/>
      <c r="AP175" s="105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196" t="s">
        <v>42</v>
      </c>
      <c r="BI175" s="196"/>
      <c r="BJ175" s="196"/>
      <c r="BK175" s="196">
        <v>1</v>
      </c>
      <c r="BL175" s="196"/>
      <c r="BM175" s="196" t="s">
        <v>43</v>
      </c>
      <c r="BN175" s="196"/>
      <c r="BO175" s="196"/>
      <c r="BP175" s="99"/>
      <c r="BR175" s="56"/>
      <c r="BS175" s="3"/>
      <c r="BT175" s="193"/>
      <c r="BU175" s="193"/>
      <c r="BV175" s="193"/>
      <c r="BW175" s="193"/>
      <c r="BX175" s="4"/>
      <c r="BY175" s="4"/>
      <c r="BZ175" s="105"/>
      <c r="CA175" s="105"/>
      <c r="CB175" s="105"/>
      <c r="CC175" s="105"/>
      <c r="CD175" s="105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196" t="s">
        <v>42</v>
      </c>
      <c r="CW175" s="196"/>
      <c r="CX175" s="196"/>
      <c r="CY175" s="196">
        <v>1</v>
      </c>
      <c r="CZ175" s="196"/>
      <c r="DA175" s="196" t="s">
        <v>43</v>
      </c>
      <c r="DB175" s="196"/>
      <c r="DC175" s="196"/>
      <c r="DD175" s="147"/>
      <c r="DF175" s="127"/>
      <c r="DG175" s="3"/>
      <c r="DH175" s="3"/>
      <c r="DI175" s="3"/>
      <c r="DJ175" s="4"/>
      <c r="DK175" s="4"/>
      <c r="DL175" s="4"/>
      <c r="DM175" s="96"/>
      <c r="DN175" s="96"/>
      <c r="DO175" s="96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125"/>
      <c r="EJ175" s="1"/>
      <c r="EK175" s="3"/>
      <c r="EL175" s="3"/>
      <c r="EM175" s="3"/>
      <c r="EN175" s="3"/>
      <c r="EO175" s="4"/>
      <c r="EP175" s="4"/>
      <c r="EQ175" s="4"/>
      <c r="ER175" s="96"/>
      <c r="ES175" s="96"/>
      <c r="ET175" s="96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1"/>
      <c r="FY175" s="1"/>
      <c r="FZ175" s="1"/>
      <c r="GA175" s="1"/>
      <c r="GB175" s="1"/>
      <c r="GC175" s="1"/>
      <c r="GD175" s="1"/>
      <c r="GE175" s="1"/>
      <c r="GF175" s="1"/>
    </row>
    <row r="176" spans="12:188" ht="6.95" customHeight="1" x14ac:dyDescent="0.15">
      <c r="L176" s="4"/>
      <c r="M176" s="4"/>
      <c r="N176" s="4"/>
      <c r="O176" s="4"/>
      <c r="P176" s="4"/>
      <c r="Q176" s="4"/>
      <c r="R176" s="4"/>
      <c r="S176" s="4"/>
      <c r="T176" s="4"/>
      <c r="U176" s="106"/>
      <c r="V176" s="106"/>
      <c r="W176" s="106"/>
      <c r="X176" s="106"/>
      <c r="Y176" s="4"/>
      <c r="Z176" s="1"/>
      <c r="AA176" s="1"/>
      <c r="AB176" s="1"/>
      <c r="AD176" s="56"/>
      <c r="AE176" s="3"/>
      <c r="AF176" s="3"/>
      <c r="AG176" s="3"/>
      <c r="AH176" s="105"/>
      <c r="AI176" s="105"/>
      <c r="AJ176" s="105"/>
      <c r="AK176" s="105"/>
      <c r="AL176" s="4"/>
      <c r="AM176" s="4"/>
      <c r="AN176" s="4"/>
      <c r="AO176" s="103"/>
      <c r="AP176" s="103"/>
      <c r="AQ176" s="103"/>
      <c r="AR176" s="103"/>
      <c r="AS176" s="103"/>
      <c r="AT176" s="103"/>
      <c r="AU176" s="103"/>
      <c r="AV176" s="103"/>
      <c r="AW176" s="103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196"/>
      <c r="BI176" s="196"/>
      <c r="BJ176" s="196"/>
      <c r="BK176" s="196"/>
      <c r="BL176" s="196"/>
      <c r="BM176" s="196"/>
      <c r="BN176" s="196"/>
      <c r="BO176" s="196"/>
      <c r="BP176" s="99"/>
      <c r="BR176" s="56"/>
      <c r="BS176" s="3"/>
      <c r="BT176" s="193"/>
      <c r="BU176" s="193"/>
      <c r="BV176" s="193"/>
      <c r="BW176" s="193"/>
      <c r="BX176" s="105"/>
      <c r="BY176" s="105"/>
      <c r="BZ176" s="4"/>
      <c r="CA176" s="4"/>
      <c r="CB176" s="4"/>
      <c r="CC176" s="103"/>
      <c r="CD176" s="103"/>
      <c r="CE176" s="103"/>
      <c r="CF176" s="103"/>
      <c r="CG176" s="103"/>
      <c r="CH176" s="103"/>
      <c r="CI176" s="103"/>
      <c r="CJ176" s="103"/>
      <c r="CK176" s="103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196"/>
      <c r="CW176" s="196"/>
      <c r="CX176" s="196"/>
      <c r="CY176" s="196"/>
      <c r="CZ176" s="196"/>
      <c r="DA176" s="196"/>
      <c r="DB176" s="196"/>
      <c r="DC176" s="196"/>
      <c r="DD176" s="147"/>
      <c r="DF176" s="127"/>
      <c r="DG176" s="3"/>
      <c r="DH176" s="3"/>
      <c r="DI176" s="96"/>
      <c r="DJ176" s="96"/>
      <c r="DK176" s="96"/>
      <c r="DL176" s="4"/>
      <c r="DM176" s="4"/>
      <c r="DN176" s="4"/>
      <c r="DO176" s="4"/>
      <c r="DP176" s="88"/>
      <c r="DQ176" s="88"/>
      <c r="DR176" s="88"/>
      <c r="DS176" s="88"/>
      <c r="DT176" s="88"/>
      <c r="DU176" s="88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125"/>
      <c r="EJ176" s="1"/>
      <c r="EK176" s="3"/>
      <c r="EL176" s="3"/>
      <c r="EM176" s="3"/>
      <c r="EN176" s="96"/>
      <c r="EO176" s="96"/>
      <c r="EP176" s="96"/>
      <c r="EQ176" s="4"/>
      <c r="ER176" s="4"/>
      <c r="ES176" s="4"/>
      <c r="ET176" s="4"/>
      <c r="EU176" s="88"/>
      <c r="EV176" s="88"/>
      <c r="EW176" s="88"/>
      <c r="EX176" s="88"/>
      <c r="EY176" s="88"/>
      <c r="EZ176" s="88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1"/>
      <c r="FY176" s="1"/>
      <c r="FZ176" s="1"/>
      <c r="GA176" s="1"/>
      <c r="GB176" s="1"/>
      <c r="GC176" s="1"/>
      <c r="GD176" s="1"/>
      <c r="GE176" s="1"/>
      <c r="GF176" s="1"/>
    </row>
    <row r="177" spans="10:188" ht="6.95" customHeight="1" x14ac:dyDescent="0.15">
      <c r="L177" s="4"/>
      <c r="M177" s="4"/>
      <c r="N177" s="4"/>
      <c r="O177" s="4"/>
      <c r="P177" s="4"/>
      <c r="Q177" s="4"/>
      <c r="R177" s="4"/>
      <c r="S177" s="4"/>
      <c r="T177" s="4"/>
      <c r="U177" s="196" t="s">
        <v>42</v>
      </c>
      <c r="V177" s="196"/>
      <c r="W177" s="196"/>
      <c r="X177" s="196">
        <v>2</v>
      </c>
      <c r="Y177" s="196"/>
      <c r="Z177" s="196" t="s">
        <v>43</v>
      </c>
      <c r="AA177" s="196"/>
      <c r="AB177" s="196"/>
      <c r="AD177" s="56"/>
      <c r="AE177" s="3"/>
      <c r="AF177" s="198" t="s">
        <v>44</v>
      </c>
      <c r="AG177" s="198"/>
      <c r="AH177" s="198"/>
      <c r="AI177" s="198"/>
      <c r="AJ177" s="105"/>
      <c r="AK177" s="105"/>
      <c r="AL177" s="218">
        <v>1800</v>
      </c>
      <c r="AM177" s="218"/>
      <c r="AN177" s="218"/>
      <c r="AO177" s="218"/>
      <c r="AP177" s="218"/>
      <c r="AQ177" s="218"/>
      <c r="AR177" s="218"/>
      <c r="AS177" s="103"/>
      <c r="AT177" s="196" t="s">
        <v>42</v>
      </c>
      <c r="AU177" s="196"/>
      <c r="AV177" s="196"/>
      <c r="AW177" s="196">
        <v>2</v>
      </c>
      <c r="AX177" s="196"/>
      <c r="AY177" s="196" t="s">
        <v>43</v>
      </c>
      <c r="AZ177" s="196"/>
      <c r="BA177" s="196"/>
      <c r="BB177" s="4"/>
      <c r="BC177" s="4"/>
      <c r="BD177" s="4"/>
      <c r="BE177" s="4"/>
      <c r="BF177" s="4"/>
      <c r="BG177" s="4"/>
      <c r="BH177" s="103"/>
      <c r="BI177" s="103"/>
      <c r="BJ177" s="103"/>
      <c r="BK177" s="103"/>
      <c r="BL177" s="103"/>
      <c r="BM177" s="103"/>
      <c r="BN177" s="103"/>
      <c r="BO177" s="103"/>
      <c r="BP177" s="99"/>
      <c r="BR177" s="56"/>
      <c r="BS177" s="3"/>
      <c r="BT177" s="193" t="s">
        <v>26</v>
      </c>
      <c r="BU177" s="193"/>
      <c r="BV177" s="193"/>
      <c r="BW177" s="193"/>
      <c r="BX177" s="4"/>
      <c r="BY177" s="199" t="s">
        <v>61</v>
      </c>
      <c r="BZ177" s="199"/>
      <c r="CA177" s="199"/>
      <c r="CB177" s="199"/>
      <c r="CC177" s="199"/>
      <c r="CD177" s="199"/>
      <c r="CE177" s="199"/>
      <c r="CF177" s="199"/>
      <c r="CG177" s="103"/>
      <c r="CH177" s="196" t="s">
        <v>42</v>
      </c>
      <c r="CI177" s="196"/>
      <c r="CJ177" s="196"/>
      <c r="CK177" s="196"/>
      <c r="CL177" s="196"/>
      <c r="CM177" s="196" t="s">
        <v>43</v>
      </c>
      <c r="CN177" s="196"/>
      <c r="CO177" s="196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147"/>
      <c r="DF177" s="127"/>
      <c r="DG177" s="3"/>
      <c r="DH177" s="3"/>
      <c r="DI177" s="96"/>
      <c r="DJ177" s="96"/>
      <c r="DK177" s="96"/>
      <c r="DL177" s="4"/>
      <c r="DM177" s="4"/>
      <c r="DN177" s="4"/>
      <c r="DO177" s="4"/>
      <c r="DP177" s="88"/>
      <c r="DQ177" s="88"/>
      <c r="DR177" s="88"/>
      <c r="DS177" s="88"/>
      <c r="DT177" s="88"/>
      <c r="DU177" s="88"/>
      <c r="DV177" s="88"/>
      <c r="DW177" s="88"/>
      <c r="DX177" s="88"/>
      <c r="DY177" s="88"/>
      <c r="DZ177" s="4"/>
      <c r="EA177" s="4"/>
      <c r="EB177" s="4"/>
      <c r="EC177" s="4"/>
      <c r="ED177" s="4"/>
      <c r="EE177" s="4"/>
      <c r="EF177" s="4"/>
      <c r="EG177" s="4"/>
      <c r="EH177" s="4"/>
      <c r="EI177" s="125"/>
      <c r="EJ177" s="1"/>
      <c r="EK177" s="3"/>
      <c r="EL177" s="3"/>
      <c r="EM177" s="3"/>
      <c r="EN177" s="96"/>
      <c r="EO177" s="96"/>
      <c r="EP177" s="96"/>
      <c r="EQ177" s="4"/>
      <c r="ER177" s="4"/>
      <c r="ES177" s="4"/>
      <c r="ET177" s="4"/>
      <c r="EU177" s="88"/>
      <c r="EV177" s="88"/>
      <c r="EW177" s="88"/>
      <c r="EX177" s="88"/>
      <c r="EY177" s="88"/>
      <c r="EZ177" s="88"/>
      <c r="FA177" s="88"/>
      <c r="FB177" s="88"/>
      <c r="FC177" s="88"/>
      <c r="FD177" s="88"/>
      <c r="FE177" s="4"/>
      <c r="FF177" s="4"/>
      <c r="FG177" s="4"/>
      <c r="FH177" s="4"/>
      <c r="FI177" s="4"/>
      <c r="FJ177" s="4"/>
      <c r="FK177" s="4"/>
      <c r="FL177" s="4"/>
      <c r="FM177" s="4"/>
      <c r="FN177" s="88"/>
      <c r="FO177" s="4"/>
      <c r="FP177" s="4"/>
      <c r="FQ177" s="4"/>
      <c r="FR177" s="4"/>
      <c r="FS177" s="4"/>
      <c r="FT177" s="4"/>
      <c r="FU177" s="4"/>
      <c r="FV177" s="4"/>
      <c r="FW177" s="4"/>
      <c r="FX177" s="1"/>
      <c r="FY177" s="1"/>
      <c r="FZ177" s="1"/>
      <c r="GA177" s="1"/>
      <c r="GB177" s="1"/>
      <c r="GC177" s="1"/>
      <c r="GD177" s="1"/>
      <c r="GE177" s="1"/>
      <c r="GF177" s="1"/>
    </row>
    <row r="178" spans="10:188" ht="6.95" customHeight="1" x14ac:dyDescent="0.15">
      <c r="L178" s="4"/>
      <c r="M178" s="88"/>
      <c r="N178" s="4"/>
      <c r="O178" s="107"/>
      <c r="P178" s="107"/>
      <c r="Q178" s="107"/>
      <c r="R178" s="107"/>
      <c r="S178" s="4"/>
      <c r="T178" s="88"/>
      <c r="U178" s="196"/>
      <c r="V178" s="196"/>
      <c r="W178" s="196"/>
      <c r="X178" s="196"/>
      <c r="Y178" s="196"/>
      <c r="Z178" s="196"/>
      <c r="AA178" s="196"/>
      <c r="AB178" s="196"/>
      <c r="AD178" s="56"/>
      <c r="AE178" s="3"/>
      <c r="AF178" s="198"/>
      <c r="AG178" s="198"/>
      <c r="AH178" s="198"/>
      <c r="AI178" s="198"/>
      <c r="AJ178" s="4"/>
      <c r="AK178" s="4"/>
      <c r="AL178" s="218"/>
      <c r="AM178" s="218"/>
      <c r="AN178" s="218"/>
      <c r="AO178" s="218"/>
      <c r="AP178" s="218"/>
      <c r="AQ178" s="218"/>
      <c r="AR178" s="218"/>
      <c r="AS178" s="103"/>
      <c r="AT178" s="196"/>
      <c r="AU178" s="196"/>
      <c r="AV178" s="196"/>
      <c r="AW178" s="196"/>
      <c r="AX178" s="196"/>
      <c r="AY178" s="196"/>
      <c r="AZ178" s="196"/>
      <c r="BA178" s="196"/>
      <c r="BB178" s="4"/>
      <c r="BC178" s="4"/>
      <c r="BD178" s="4"/>
      <c r="BE178" s="4"/>
      <c r="BF178" s="4"/>
      <c r="BG178" s="4"/>
      <c r="BH178" s="1"/>
      <c r="BI178" s="1"/>
      <c r="BJ178" s="1"/>
      <c r="BK178" s="1"/>
      <c r="BL178" s="1"/>
      <c r="BM178" s="1"/>
      <c r="BN178" s="1"/>
      <c r="BO178" s="1"/>
      <c r="BP178" s="99"/>
      <c r="BR178" s="56"/>
      <c r="BS178" s="3"/>
      <c r="BT178" s="193"/>
      <c r="BU178" s="193"/>
      <c r="BV178" s="193"/>
      <c r="BW178" s="193"/>
      <c r="BX178" s="4"/>
      <c r="BY178" s="199"/>
      <c r="BZ178" s="199"/>
      <c r="CA178" s="199"/>
      <c r="CB178" s="199"/>
      <c r="CC178" s="199"/>
      <c r="CD178" s="199"/>
      <c r="CE178" s="199"/>
      <c r="CF178" s="199"/>
      <c r="CG178" s="103"/>
      <c r="CH178" s="196"/>
      <c r="CI178" s="196"/>
      <c r="CJ178" s="196"/>
      <c r="CK178" s="196"/>
      <c r="CL178" s="196"/>
      <c r="CM178" s="196"/>
      <c r="CN178" s="196"/>
      <c r="CO178" s="196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147"/>
      <c r="DF178" s="127"/>
      <c r="DG178" s="82"/>
      <c r="DH178" s="82"/>
      <c r="DI178" s="82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125"/>
      <c r="EJ178" s="1"/>
      <c r="EK178" s="1"/>
      <c r="EL178" s="1"/>
      <c r="EM178" s="1"/>
      <c r="EN178" s="1"/>
      <c r="EO178" s="1"/>
      <c r="EP178" s="1"/>
      <c r="EQ178" s="1"/>
      <c r="ER178" s="1"/>
      <c r="ES178" s="90"/>
      <c r="ET178" s="3"/>
      <c r="EU178" s="3"/>
      <c r="EV178" s="82"/>
      <c r="EW178" s="82"/>
      <c r="EX178" s="82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1"/>
      <c r="FY178" s="1"/>
      <c r="FZ178" s="1"/>
      <c r="GA178" s="1"/>
      <c r="GB178" s="1"/>
      <c r="GC178" s="1"/>
      <c r="GD178" s="1"/>
      <c r="GE178" s="1"/>
      <c r="GF178" s="1"/>
    </row>
    <row r="179" spans="10:188" ht="6.95" customHeight="1" x14ac:dyDescent="0.15">
      <c r="AD179" s="56"/>
      <c r="AE179" s="3"/>
      <c r="AF179" s="193" t="s">
        <v>26</v>
      </c>
      <c r="AG179" s="193"/>
      <c r="AH179" s="193"/>
      <c r="AI179" s="193"/>
      <c r="AJ179" s="4"/>
      <c r="AK179" s="4"/>
      <c r="AL179" s="218" t="s">
        <v>47</v>
      </c>
      <c r="AM179" s="218"/>
      <c r="AN179" s="218"/>
      <c r="AO179" s="218"/>
      <c r="AP179" s="218"/>
      <c r="AQ179" s="218"/>
      <c r="AR179" s="218"/>
      <c r="AS179" s="103"/>
      <c r="AT179" s="196" t="s">
        <v>42</v>
      </c>
      <c r="AU179" s="196"/>
      <c r="AV179" s="196"/>
      <c r="AW179" s="196"/>
      <c r="AX179" s="196"/>
      <c r="AY179" s="196" t="s">
        <v>43</v>
      </c>
      <c r="AZ179" s="196"/>
      <c r="BA179" s="196"/>
      <c r="BB179" s="4"/>
      <c r="BC179" s="4"/>
      <c r="BD179" s="4"/>
      <c r="BE179" s="4"/>
      <c r="BF179" s="4"/>
      <c r="BG179" s="4"/>
      <c r="BH179" s="1"/>
      <c r="BI179" s="1"/>
      <c r="BJ179" s="1"/>
      <c r="BK179" s="1"/>
      <c r="BL179" s="1"/>
      <c r="BM179" s="1"/>
      <c r="BN179" s="1"/>
      <c r="BO179" s="1"/>
      <c r="BP179" s="99"/>
      <c r="BR179" s="56"/>
      <c r="BS179" s="3"/>
      <c r="BT179" s="193" t="s">
        <v>26</v>
      </c>
      <c r="BU179" s="193"/>
      <c r="BV179" s="193"/>
      <c r="BW179" s="193"/>
      <c r="BX179" s="4"/>
      <c r="BY179" s="193" t="s">
        <v>47</v>
      </c>
      <c r="BZ179" s="193"/>
      <c r="CA179" s="193"/>
      <c r="CB179" s="193"/>
      <c r="CC179" s="193"/>
      <c r="CD179" s="193"/>
      <c r="CE179" s="193"/>
      <c r="CF179" s="193"/>
      <c r="CG179" s="103"/>
      <c r="CH179" s="196" t="s">
        <v>42</v>
      </c>
      <c r="CI179" s="196"/>
      <c r="CJ179" s="196"/>
      <c r="CK179" s="196"/>
      <c r="CL179" s="196"/>
      <c r="CM179" s="196" t="s">
        <v>43</v>
      </c>
      <c r="CN179" s="196"/>
      <c r="CO179" s="196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147"/>
      <c r="DF179" s="134"/>
      <c r="DG179" s="135"/>
      <c r="DH179" s="135"/>
      <c r="DI179" s="135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7"/>
      <c r="EJ179" s="1"/>
      <c r="EK179" s="1"/>
      <c r="EL179" s="1"/>
      <c r="EM179" s="1"/>
      <c r="EN179" s="1"/>
      <c r="EO179" s="1"/>
      <c r="EP179" s="1"/>
      <c r="EQ179" s="1"/>
      <c r="ER179" s="1"/>
      <c r="ES179" s="90"/>
      <c r="ET179" s="3"/>
      <c r="EU179" s="3"/>
      <c r="EV179" s="82"/>
      <c r="EW179" s="82"/>
      <c r="EX179" s="82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1"/>
      <c r="FY179" s="1"/>
      <c r="FZ179" s="1"/>
      <c r="GA179" s="1"/>
      <c r="GB179" s="1"/>
      <c r="GC179" s="1"/>
      <c r="GD179" s="1"/>
      <c r="GE179" s="1"/>
      <c r="GF179" s="1"/>
    </row>
    <row r="180" spans="10:188" ht="6.95" customHeight="1" x14ac:dyDescent="0.15">
      <c r="AD180" s="56"/>
      <c r="AE180" s="3"/>
      <c r="AF180" s="193"/>
      <c r="AG180" s="193"/>
      <c r="AH180" s="193"/>
      <c r="AI180" s="193"/>
      <c r="AJ180" s="4"/>
      <c r="AK180" s="4"/>
      <c r="AL180" s="218"/>
      <c r="AM180" s="218"/>
      <c r="AN180" s="218"/>
      <c r="AO180" s="218"/>
      <c r="AP180" s="218"/>
      <c r="AQ180" s="218"/>
      <c r="AR180" s="218"/>
      <c r="AS180" s="103"/>
      <c r="AT180" s="196"/>
      <c r="AU180" s="196"/>
      <c r="AV180" s="196"/>
      <c r="AW180" s="196"/>
      <c r="AX180" s="196"/>
      <c r="AY180" s="196"/>
      <c r="AZ180" s="196"/>
      <c r="BA180" s="196"/>
      <c r="BB180" s="4"/>
      <c r="BC180" s="4"/>
      <c r="BD180" s="4"/>
      <c r="BE180" s="4"/>
      <c r="BF180" s="4"/>
      <c r="BG180" s="4"/>
      <c r="BH180" s="1"/>
      <c r="BI180" s="1"/>
      <c r="BJ180" s="1"/>
      <c r="BK180" s="1"/>
      <c r="BL180" s="1"/>
      <c r="BM180" s="1"/>
      <c r="BN180" s="1"/>
      <c r="BO180" s="1"/>
      <c r="BP180" s="99"/>
      <c r="BR180" s="56"/>
      <c r="BS180" s="3"/>
      <c r="BT180" s="193"/>
      <c r="BU180" s="193"/>
      <c r="BV180" s="193"/>
      <c r="BW180" s="193"/>
      <c r="BX180" s="4"/>
      <c r="BY180" s="193"/>
      <c r="BZ180" s="193"/>
      <c r="CA180" s="193"/>
      <c r="CB180" s="193"/>
      <c r="CC180" s="193"/>
      <c r="CD180" s="193"/>
      <c r="CE180" s="193"/>
      <c r="CF180" s="193"/>
      <c r="CG180" s="103"/>
      <c r="CH180" s="196"/>
      <c r="CI180" s="196"/>
      <c r="CJ180" s="196"/>
      <c r="CK180" s="196"/>
      <c r="CL180" s="196"/>
      <c r="CM180" s="196"/>
      <c r="CN180" s="196"/>
      <c r="CO180" s="196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147"/>
      <c r="DF180" s="3"/>
      <c r="DG180" s="3"/>
      <c r="DH180" s="3"/>
      <c r="DI180" s="3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90"/>
      <c r="ET180" s="3"/>
      <c r="EU180" s="3"/>
      <c r="EV180" s="3"/>
      <c r="EW180" s="3"/>
      <c r="EX180" s="3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1"/>
      <c r="FY180" s="1"/>
      <c r="FZ180" s="1"/>
      <c r="GA180" s="1"/>
      <c r="GB180" s="1"/>
      <c r="GC180" s="1"/>
      <c r="GD180" s="1"/>
      <c r="GE180" s="1"/>
      <c r="GF180" s="1"/>
    </row>
    <row r="181" spans="10:188" ht="6.95" customHeight="1" x14ac:dyDescent="0.15">
      <c r="AD181" s="56"/>
      <c r="AE181" s="3"/>
      <c r="AF181" s="193" t="s">
        <v>56</v>
      </c>
      <c r="AG181" s="193"/>
      <c r="AH181" s="193"/>
      <c r="AI181" s="193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1"/>
      <c r="BI181" s="1"/>
      <c r="BJ181" s="1"/>
      <c r="BK181" s="1"/>
      <c r="BL181" s="1"/>
      <c r="BM181" s="1"/>
      <c r="BN181" s="1"/>
      <c r="BO181" s="1"/>
      <c r="BP181" s="99"/>
      <c r="BR181" s="56"/>
      <c r="BS181" s="3"/>
      <c r="BT181" s="193" t="s">
        <v>56</v>
      </c>
      <c r="BU181" s="193"/>
      <c r="BV181" s="193"/>
      <c r="BW181" s="193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1"/>
      <c r="CW181" s="1"/>
      <c r="CX181" s="1"/>
      <c r="CY181" s="1"/>
      <c r="CZ181" s="1"/>
      <c r="DA181" s="1"/>
      <c r="DB181" s="1"/>
      <c r="DC181" s="1"/>
      <c r="DD181" s="99"/>
      <c r="DF181" s="3"/>
      <c r="DG181" s="3"/>
      <c r="DH181" s="3"/>
      <c r="DI181" s="3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90"/>
      <c r="ET181" s="3"/>
      <c r="EU181" s="3"/>
      <c r="EV181" s="3"/>
      <c r="EW181" s="3"/>
      <c r="EX181" s="3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1"/>
      <c r="FY181" s="1"/>
      <c r="FZ181" s="1"/>
      <c r="GA181" s="1"/>
      <c r="GB181" s="1"/>
      <c r="GC181" s="1"/>
      <c r="GD181" s="1"/>
      <c r="GE181" s="1"/>
      <c r="GF181" s="1"/>
    </row>
    <row r="182" spans="10:188" ht="6.95" customHeight="1" x14ac:dyDescent="0.15">
      <c r="AD182" s="56"/>
      <c r="AE182" s="3"/>
      <c r="AF182" s="193"/>
      <c r="AG182" s="193"/>
      <c r="AH182" s="193"/>
      <c r="AI182" s="193"/>
      <c r="AJ182" s="2"/>
      <c r="AK182" s="2"/>
      <c r="AL182" s="2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1"/>
      <c r="BI182" s="1"/>
      <c r="BJ182" s="1"/>
      <c r="BK182" s="1"/>
      <c r="BL182" s="1"/>
      <c r="BM182" s="1"/>
      <c r="BN182" s="1"/>
      <c r="BO182" s="1"/>
      <c r="BP182" s="99"/>
      <c r="BR182" s="56"/>
      <c r="BS182" s="3"/>
      <c r="BT182" s="193"/>
      <c r="BU182" s="193"/>
      <c r="BV182" s="193"/>
      <c r="BW182" s="193"/>
      <c r="BX182" s="2"/>
      <c r="BY182" s="2"/>
      <c r="BZ182" s="2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1"/>
      <c r="CW182" s="1"/>
      <c r="CX182" s="1"/>
      <c r="CY182" s="1"/>
      <c r="CZ182" s="1"/>
      <c r="DA182" s="1"/>
      <c r="DB182" s="1"/>
      <c r="DC182" s="1"/>
      <c r="DD182" s="99"/>
      <c r="DF182" s="3"/>
      <c r="DG182" s="3"/>
      <c r="DH182" s="3"/>
      <c r="DI182" s="3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88"/>
      <c r="EN182" s="88"/>
      <c r="EO182" s="88"/>
      <c r="EP182" s="88"/>
      <c r="EQ182" s="1"/>
      <c r="ER182" s="1"/>
      <c r="ES182" s="90"/>
      <c r="ET182" s="3"/>
      <c r="EU182" s="3"/>
      <c r="EV182" s="3"/>
      <c r="EW182" s="3"/>
      <c r="EX182" s="3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88"/>
      <c r="FS182" s="88"/>
      <c r="FT182" s="88"/>
      <c r="FU182" s="88"/>
      <c r="FV182" s="88"/>
      <c r="FW182" s="88"/>
      <c r="FX182" s="88"/>
      <c r="FY182" s="88"/>
      <c r="FZ182" s="88"/>
      <c r="GA182" s="88"/>
      <c r="GB182" s="88"/>
      <c r="GC182" s="88"/>
      <c r="GD182" s="88"/>
      <c r="GE182" s="1"/>
      <c r="GF182" s="1"/>
    </row>
    <row r="183" spans="10:188" ht="6.95" customHeight="1" x14ac:dyDescent="0.15">
      <c r="AD183" s="56"/>
      <c r="AE183" s="3"/>
      <c r="AF183" s="3"/>
      <c r="AG183" s="3"/>
      <c r="AH183" s="3"/>
      <c r="AI183" s="4"/>
      <c r="AJ183" s="194">
        <f>CHOOSE(SUM((AD138&gt;={700,750,800,850,900,950})*1), 205,255,305,355,405,455)</f>
        <v>305</v>
      </c>
      <c r="AK183" s="194"/>
      <c r="AL183" s="194"/>
      <c r="AM183" s="2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11"/>
      <c r="BC183" s="111"/>
      <c r="BD183" s="111"/>
      <c r="BE183" s="4"/>
      <c r="BF183" s="4"/>
      <c r="BG183" s="4"/>
      <c r="BH183" s="1"/>
      <c r="BI183" s="1"/>
      <c r="BJ183" s="1"/>
      <c r="BK183" s="1"/>
      <c r="BL183" s="1"/>
      <c r="BM183" s="1"/>
      <c r="BN183" s="1"/>
      <c r="BO183" s="1"/>
      <c r="BP183" s="99"/>
      <c r="BR183" s="56"/>
      <c r="BS183" s="3"/>
      <c r="BT183" s="3"/>
      <c r="BU183" s="3"/>
      <c r="BV183" s="3"/>
      <c r="BW183" s="4"/>
      <c r="BX183" s="194">
        <f>CHOOSE(SUM((BR138&gt;={700,750,800,850,900,950})*1), 205,255,305,355,405,455)</f>
        <v>355</v>
      </c>
      <c r="BY183" s="194"/>
      <c r="BZ183" s="194"/>
      <c r="CA183" s="2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111"/>
      <c r="CQ183" s="111"/>
      <c r="CR183" s="111"/>
      <c r="CS183" s="4"/>
      <c r="CT183" s="4"/>
      <c r="CU183" s="4"/>
      <c r="CV183" s="1"/>
      <c r="CW183" s="1"/>
      <c r="CX183" s="1"/>
      <c r="CY183" s="1"/>
      <c r="CZ183" s="1"/>
      <c r="DA183" s="1"/>
      <c r="DB183" s="1"/>
      <c r="DC183" s="1"/>
      <c r="DD183" s="99"/>
      <c r="DF183" s="3"/>
      <c r="DG183" s="3"/>
      <c r="DH183" s="3"/>
      <c r="DI183" s="3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88"/>
      <c r="ED183" s="88"/>
      <c r="EE183" s="88"/>
      <c r="EF183" s="88"/>
      <c r="EG183" s="88"/>
      <c r="EH183" s="88"/>
      <c r="EI183" s="88"/>
      <c r="EJ183" s="88"/>
      <c r="EK183" s="88"/>
      <c r="EL183" s="88"/>
      <c r="EM183" s="88"/>
      <c r="EN183" s="88"/>
      <c r="EO183" s="88"/>
      <c r="EP183" s="88"/>
      <c r="EQ183" s="1"/>
      <c r="ER183" s="1"/>
      <c r="ES183" s="90"/>
      <c r="ET183" s="3"/>
      <c r="EU183" s="3"/>
      <c r="EV183" s="3"/>
      <c r="EW183" s="3"/>
      <c r="EX183" s="3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88"/>
      <c r="FS183" s="88"/>
      <c r="FT183" s="88"/>
      <c r="FU183" s="88"/>
      <c r="FV183" s="88"/>
      <c r="FW183" s="88"/>
      <c r="FX183" s="88"/>
      <c r="FY183" s="88"/>
      <c r="FZ183" s="88"/>
      <c r="GA183" s="88"/>
      <c r="GB183" s="88"/>
      <c r="GC183" s="88"/>
      <c r="GD183" s="88"/>
      <c r="GE183" s="1"/>
      <c r="GF183" s="1"/>
    </row>
    <row r="184" spans="10:188" ht="6.95" customHeight="1" x14ac:dyDescent="0.15">
      <c r="AD184" s="56"/>
      <c r="AE184" s="3"/>
      <c r="AF184" s="3"/>
      <c r="AG184" s="3"/>
      <c r="AH184" s="3"/>
      <c r="AI184" s="4"/>
      <c r="AJ184" s="194"/>
      <c r="AK184" s="194"/>
      <c r="AL184" s="194"/>
      <c r="AM184" s="2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95">
        <f>CHOOSE(SUM((AD138&gt;={700,750,800,850,900,950})*1), 290,360,430,500,570,640)</f>
        <v>430</v>
      </c>
      <c r="BC184" s="195"/>
      <c r="BD184" s="195"/>
      <c r="BE184" s="88"/>
      <c r="BF184" s="88"/>
      <c r="BG184" s="88"/>
      <c r="BH184" s="196" t="s">
        <v>42</v>
      </c>
      <c r="BI184" s="196"/>
      <c r="BJ184" s="196"/>
      <c r="BK184" s="196">
        <v>2</v>
      </c>
      <c r="BL184" s="196"/>
      <c r="BM184" s="196" t="s">
        <v>43</v>
      </c>
      <c r="BN184" s="196"/>
      <c r="BO184" s="196"/>
      <c r="BP184" s="99"/>
      <c r="BR184" s="56"/>
      <c r="BS184" s="3"/>
      <c r="BT184" s="3"/>
      <c r="BU184" s="3"/>
      <c r="BV184" s="3"/>
      <c r="BW184" s="4"/>
      <c r="BX184" s="194"/>
      <c r="BY184" s="194"/>
      <c r="BZ184" s="194"/>
      <c r="CA184" s="2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195">
        <f>CHOOSE(SUM((BR138&gt;={700,750,800,850,900,950})*1), 290,360,430,500,570,640)</f>
        <v>500</v>
      </c>
      <c r="CQ184" s="195"/>
      <c r="CR184" s="195"/>
      <c r="CS184" s="88"/>
      <c r="CT184" s="88"/>
      <c r="CU184" s="88"/>
      <c r="CV184" s="196" t="s">
        <v>42</v>
      </c>
      <c r="CW184" s="196"/>
      <c r="CX184" s="196"/>
      <c r="CY184" s="196">
        <v>2</v>
      </c>
      <c r="CZ184" s="196"/>
      <c r="DA184" s="196" t="s">
        <v>43</v>
      </c>
      <c r="DB184" s="196"/>
      <c r="DC184" s="196"/>
      <c r="DD184" s="99"/>
      <c r="DF184" s="3"/>
      <c r="DG184" s="96"/>
      <c r="DH184" s="96"/>
      <c r="DI184" s="96"/>
      <c r="DJ184" s="4"/>
      <c r="DK184" s="96"/>
      <c r="DL184" s="96"/>
      <c r="DM184" s="96"/>
      <c r="DN184" s="96"/>
      <c r="DO184" s="96"/>
      <c r="DP184" s="96"/>
      <c r="DQ184" s="4"/>
      <c r="DR184" s="88"/>
      <c r="DS184" s="88"/>
      <c r="DT184" s="88"/>
      <c r="DU184" s="88"/>
      <c r="DV184" s="88"/>
      <c r="DW184" s="88"/>
      <c r="DX184" s="88"/>
      <c r="DY184" s="4"/>
      <c r="DZ184" s="4"/>
      <c r="EA184" s="4"/>
      <c r="EB184" s="4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88"/>
      <c r="EN184" s="88"/>
      <c r="EO184" s="88"/>
      <c r="EP184" s="1"/>
      <c r="EQ184" s="1"/>
      <c r="ER184" s="1"/>
      <c r="ES184" s="90"/>
      <c r="ET184" s="3"/>
      <c r="EU184" s="3"/>
      <c r="EV184" s="96"/>
      <c r="EW184" s="96"/>
      <c r="EX184" s="96"/>
      <c r="EY184" s="4"/>
      <c r="EZ184" s="96"/>
      <c r="FA184" s="96"/>
      <c r="FB184" s="96"/>
      <c r="FC184" s="96"/>
      <c r="FD184" s="96"/>
      <c r="FE184" s="96"/>
      <c r="FF184" s="4"/>
      <c r="FG184" s="88"/>
      <c r="FH184" s="88"/>
      <c r="FI184" s="88"/>
      <c r="FJ184" s="88"/>
      <c r="FK184" s="88"/>
      <c r="FL184" s="88"/>
      <c r="FM184" s="88"/>
      <c r="FN184" s="4"/>
      <c r="FO184" s="4"/>
      <c r="FP184" s="4"/>
      <c r="FQ184" s="4"/>
      <c r="FR184" s="88"/>
      <c r="FS184" s="88"/>
      <c r="FT184" s="88"/>
      <c r="FU184" s="88"/>
      <c r="FV184" s="88"/>
      <c r="FW184" s="88"/>
      <c r="FX184" s="88"/>
      <c r="FY184" s="88"/>
      <c r="FZ184" s="88"/>
      <c r="GA184" s="88"/>
      <c r="GB184" s="88"/>
      <c r="GC184" s="88"/>
      <c r="GD184" s="1"/>
      <c r="GE184" s="1"/>
      <c r="GF184" s="1"/>
    </row>
    <row r="185" spans="10:188" ht="6.95" customHeight="1" x14ac:dyDescent="0.15">
      <c r="AD185" s="115"/>
      <c r="AE185" s="116"/>
      <c r="AF185" s="3"/>
      <c r="AG185" s="3"/>
      <c r="AH185" s="3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95"/>
      <c r="BC185" s="195"/>
      <c r="BD185" s="195"/>
      <c r="BE185" s="88"/>
      <c r="BF185" s="88"/>
      <c r="BG185" s="88"/>
      <c r="BH185" s="196"/>
      <c r="BI185" s="196"/>
      <c r="BJ185" s="196"/>
      <c r="BK185" s="196"/>
      <c r="BL185" s="196"/>
      <c r="BM185" s="196"/>
      <c r="BN185" s="196"/>
      <c r="BO185" s="196"/>
      <c r="BP185" s="99"/>
      <c r="BR185" s="115"/>
      <c r="BS185" s="116"/>
      <c r="BT185" s="3"/>
      <c r="BU185" s="3"/>
      <c r="BV185" s="3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195"/>
      <c r="CQ185" s="195"/>
      <c r="CR185" s="195"/>
      <c r="CS185" s="88"/>
      <c r="CT185" s="88"/>
      <c r="CU185" s="88"/>
      <c r="CV185" s="196"/>
      <c r="CW185" s="196"/>
      <c r="CX185" s="196"/>
      <c r="CY185" s="196"/>
      <c r="CZ185" s="196"/>
      <c r="DA185" s="196"/>
      <c r="DB185" s="196"/>
      <c r="DC185" s="196"/>
      <c r="DD185" s="99"/>
      <c r="DF185" s="3"/>
      <c r="DG185" s="96"/>
      <c r="DH185" s="96"/>
      <c r="DI185" s="96"/>
      <c r="DJ185" s="4"/>
      <c r="DK185" s="96"/>
      <c r="DL185" s="96"/>
      <c r="DM185" s="96"/>
      <c r="DN185" s="96"/>
      <c r="DO185" s="96"/>
      <c r="DP185" s="96"/>
      <c r="DQ185" s="4"/>
      <c r="DR185" s="88"/>
      <c r="DS185" s="88"/>
      <c r="DT185" s="88"/>
      <c r="DU185" s="88"/>
      <c r="DV185" s="88"/>
      <c r="DW185" s="88"/>
      <c r="DX185" s="88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90"/>
      <c r="ET185" s="3"/>
      <c r="EU185" s="3"/>
      <c r="EV185" s="96"/>
      <c r="EW185" s="96"/>
      <c r="EX185" s="96"/>
      <c r="EY185" s="4"/>
      <c r="EZ185" s="96"/>
      <c r="FA185" s="96"/>
      <c r="FB185" s="96"/>
      <c r="FC185" s="96"/>
      <c r="FD185" s="96"/>
      <c r="FE185" s="96"/>
      <c r="FF185" s="4"/>
      <c r="FG185" s="88"/>
      <c r="FH185" s="88"/>
      <c r="FI185" s="88"/>
      <c r="FJ185" s="88"/>
      <c r="FK185" s="88"/>
      <c r="FL185" s="88"/>
      <c r="FM185" s="88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1"/>
      <c r="FY185" s="1"/>
      <c r="FZ185" s="1"/>
      <c r="GA185" s="1"/>
      <c r="GB185" s="1"/>
      <c r="GC185" s="1"/>
      <c r="GD185" s="1"/>
      <c r="GE185" s="1"/>
      <c r="GF185" s="1"/>
    </row>
    <row r="186" spans="10:188" ht="6.95" customHeight="1" thickBot="1" x14ac:dyDescent="0.2">
      <c r="AD186" s="114"/>
      <c r="AE186" s="117"/>
      <c r="AF186" s="51"/>
      <c r="AG186" s="51"/>
      <c r="AH186" s="51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100"/>
      <c r="BI186" s="100"/>
      <c r="BJ186" s="100"/>
      <c r="BK186" s="100"/>
      <c r="BL186" s="100"/>
      <c r="BM186" s="100"/>
      <c r="BN186" s="100"/>
      <c r="BO186" s="100"/>
      <c r="BP186" s="101"/>
      <c r="BR186" s="114"/>
      <c r="BS186" s="117"/>
      <c r="BT186" s="51"/>
      <c r="BU186" s="51"/>
      <c r="BV186" s="51"/>
      <c r="BW186" s="55"/>
      <c r="BX186" s="55"/>
      <c r="BY186" s="55"/>
      <c r="BZ186" s="55"/>
      <c r="CA186" s="55"/>
      <c r="CB186" s="55"/>
      <c r="CC186" s="55"/>
      <c r="CD186" s="55"/>
      <c r="CE186" s="55"/>
      <c r="CF186" s="55"/>
      <c r="CG186" s="55"/>
      <c r="CH186" s="55"/>
      <c r="CI186" s="55"/>
      <c r="CJ186" s="55"/>
      <c r="CK186" s="55"/>
      <c r="CL186" s="55"/>
      <c r="CM186" s="55"/>
      <c r="CN186" s="55"/>
      <c r="CO186" s="55"/>
      <c r="CP186" s="55"/>
      <c r="CQ186" s="55"/>
      <c r="CR186" s="55"/>
      <c r="CS186" s="55"/>
      <c r="CT186" s="55"/>
      <c r="CU186" s="55"/>
      <c r="CV186" s="100"/>
      <c r="CW186" s="100"/>
      <c r="CX186" s="100"/>
      <c r="CY186" s="100"/>
      <c r="CZ186" s="100"/>
      <c r="DA186" s="100"/>
      <c r="DB186" s="100"/>
      <c r="DC186" s="100"/>
      <c r="DD186" s="101"/>
      <c r="DF186" s="3"/>
      <c r="DG186" s="3"/>
      <c r="DH186" s="3"/>
      <c r="DI186" s="3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90"/>
      <c r="ET186" s="3"/>
      <c r="EU186" s="3"/>
      <c r="EV186" s="3"/>
      <c r="EW186" s="3"/>
      <c r="EX186" s="3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1"/>
      <c r="FY186" s="1"/>
      <c r="FZ186" s="1"/>
      <c r="GA186" s="1"/>
      <c r="GB186" s="1"/>
      <c r="GC186" s="1"/>
      <c r="GD186" s="1"/>
      <c r="GE186" s="1"/>
      <c r="GF186" s="1"/>
    </row>
    <row r="188" spans="10:188" ht="10.5" customHeight="1" thickBot="1" x14ac:dyDescent="0.2">
      <c r="J188" s="162"/>
      <c r="K188" s="162"/>
      <c r="L188" s="162"/>
      <c r="M188" s="162"/>
      <c r="N188" s="163"/>
      <c r="O188" s="163"/>
      <c r="P188" s="163"/>
      <c r="Q188" s="163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4"/>
      <c r="AD188" s="216">
        <v>800</v>
      </c>
      <c r="AE188" s="216"/>
      <c r="AF188" s="216"/>
      <c r="BR188" s="201">
        <v>800</v>
      </c>
      <c r="BS188" s="201"/>
      <c r="BT188" s="201"/>
    </row>
    <row r="189" spans="10:188" ht="6.75" customHeight="1" x14ac:dyDescent="0.15">
      <c r="J189" s="162"/>
      <c r="K189" s="82"/>
      <c r="L189" s="197" t="s">
        <v>30</v>
      </c>
      <c r="M189" s="197"/>
      <c r="N189" s="197"/>
      <c r="O189" s="197"/>
      <c r="P189" s="82"/>
      <c r="Q189" s="82"/>
      <c r="R189" s="82"/>
      <c r="S189" s="82"/>
      <c r="T189" s="82"/>
      <c r="U189" s="2"/>
      <c r="V189" s="2"/>
      <c r="W189" s="82"/>
      <c r="X189" s="82"/>
      <c r="Y189" s="82"/>
      <c r="Z189" s="82"/>
      <c r="AA189" s="82"/>
      <c r="AB189" s="82"/>
      <c r="AC189" s="165"/>
      <c r="AD189" s="108" t="s">
        <v>25</v>
      </c>
      <c r="AE189" s="109"/>
      <c r="AF189" s="109"/>
      <c r="AG189" s="109"/>
      <c r="AH189" s="109"/>
      <c r="AI189" s="202" t="s">
        <v>40</v>
      </c>
      <c r="AJ189" s="202"/>
      <c r="AK189" s="202">
        <v>2</v>
      </c>
      <c r="AL189" s="202"/>
      <c r="AM189" s="202" t="s">
        <v>41</v>
      </c>
      <c r="AN189" s="202"/>
      <c r="AO189" s="202"/>
      <c r="AP189" s="202"/>
      <c r="AQ189" s="202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6">
        <f>SUM(AR207,BK207,AR215,BK215,BK234,AW229,AW227)*AK189</f>
        <v>58</v>
      </c>
      <c r="BN189" s="206"/>
      <c r="BO189" s="206"/>
      <c r="BP189" s="208"/>
      <c r="BR189" s="108" t="s">
        <v>25</v>
      </c>
      <c r="BS189" s="109"/>
      <c r="BT189" s="109"/>
      <c r="BU189" s="109"/>
      <c r="BV189" s="109"/>
      <c r="BW189" s="202" t="s">
        <v>40</v>
      </c>
      <c r="BX189" s="202"/>
      <c r="BY189" s="202">
        <v>2</v>
      </c>
      <c r="BZ189" s="202"/>
      <c r="CA189" s="202" t="s">
        <v>41</v>
      </c>
      <c r="CB189" s="202"/>
      <c r="CC189" s="202"/>
      <c r="CD189" s="202"/>
      <c r="CE189" s="202"/>
      <c r="CF189" s="204"/>
      <c r="CG189" s="204"/>
      <c r="CH189" s="204"/>
      <c r="CI189" s="204"/>
      <c r="CJ189" s="204"/>
      <c r="CK189" s="204"/>
      <c r="CL189" s="204"/>
      <c r="CM189" s="204"/>
      <c r="CN189" s="204"/>
      <c r="CO189" s="204"/>
      <c r="CP189" s="204"/>
      <c r="CQ189" s="204"/>
      <c r="CR189" s="204"/>
      <c r="CS189" s="204"/>
      <c r="CT189" s="204"/>
      <c r="CU189" s="204"/>
      <c r="CV189" s="204"/>
      <c r="CW189" s="204"/>
      <c r="CX189" s="204"/>
      <c r="CY189" s="204"/>
      <c r="CZ189" s="204"/>
      <c r="DA189" s="206">
        <f>SUM(CF207,CY207,CF215,CY215,CY234,CK227)*BY189</f>
        <v>32</v>
      </c>
      <c r="DB189" s="206"/>
      <c r="DC189" s="206"/>
      <c r="DD189" s="208"/>
      <c r="DF189" s="138"/>
      <c r="DG189" s="120"/>
      <c r="DH189" s="120"/>
      <c r="DI189" s="120"/>
      <c r="DJ189" s="120"/>
      <c r="DK189" s="120"/>
      <c r="DL189" s="120"/>
      <c r="DM189" s="120"/>
      <c r="DN189" s="120"/>
      <c r="DO189" s="120"/>
      <c r="DP189" s="120"/>
      <c r="DQ189" s="120"/>
      <c r="DR189" s="120"/>
      <c r="DS189" s="120"/>
      <c r="DT189" s="120"/>
      <c r="DU189" s="120"/>
      <c r="DV189" s="120"/>
      <c r="DW189" s="120"/>
      <c r="DX189" s="120"/>
      <c r="DY189" s="120"/>
      <c r="DZ189" s="120"/>
      <c r="EA189" s="120"/>
      <c r="EB189" s="120"/>
      <c r="EC189" s="120"/>
      <c r="ED189" s="120"/>
      <c r="EE189" s="120"/>
      <c r="EF189" s="120"/>
      <c r="EG189" s="120"/>
      <c r="EH189" s="120"/>
      <c r="EI189" s="121"/>
      <c r="EJ189" s="58"/>
      <c r="EK189" s="58"/>
      <c r="EL189" s="58"/>
      <c r="EM189" s="58"/>
      <c r="EN189" s="58"/>
      <c r="EO189" s="58"/>
      <c r="EP189" s="58"/>
      <c r="EQ189" s="58"/>
      <c r="ER189" s="58"/>
    </row>
    <row r="190" spans="10:188" ht="6.95" customHeight="1" thickBot="1" x14ac:dyDescent="0.2">
      <c r="J190" s="162"/>
      <c r="K190" s="82"/>
      <c r="L190" s="197"/>
      <c r="M190" s="197"/>
      <c r="N190" s="197"/>
      <c r="O190" s="197"/>
      <c r="P190" s="82"/>
      <c r="Q190" s="106"/>
      <c r="R190" s="106"/>
      <c r="S190" s="106"/>
      <c r="T190" s="106"/>
      <c r="U190" s="2"/>
      <c r="V190" s="2"/>
      <c r="W190" s="82"/>
      <c r="X190" s="82"/>
      <c r="Y190" s="82"/>
      <c r="Z190" s="82"/>
      <c r="AA190" s="82"/>
      <c r="AB190" s="82"/>
      <c r="AC190" s="165"/>
      <c r="AD190" s="80"/>
      <c r="AE190" s="81"/>
      <c r="AF190" s="81"/>
      <c r="AG190" s="81"/>
      <c r="AH190" s="81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5"/>
      <c r="BJ190" s="205"/>
      <c r="BK190" s="205"/>
      <c r="BL190" s="205"/>
      <c r="BM190" s="207"/>
      <c r="BN190" s="207"/>
      <c r="BO190" s="207"/>
      <c r="BP190" s="209"/>
      <c r="BR190" s="80"/>
      <c r="BS190" s="81"/>
      <c r="BT190" s="81"/>
      <c r="BU190" s="81"/>
      <c r="BV190" s="81"/>
      <c r="BW190" s="203"/>
      <c r="BX190" s="203"/>
      <c r="BY190" s="203"/>
      <c r="BZ190" s="203"/>
      <c r="CA190" s="203"/>
      <c r="CB190" s="203"/>
      <c r="CC190" s="203"/>
      <c r="CD190" s="203"/>
      <c r="CE190" s="203"/>
      <c r="CF190" s="205"/>
      <c r="CG190" s="205"/>
      <c r="CH190" s="205"/>
      <c r="CI190" s="205"/>
      <c r="CJ190" s="205"/>
      <c r="CK190" s="205"/>
      <c r="CL190" s="205"/>
      <c r="CM190" s="205"/>
      <c r="CN190" s="205"/>
      <c r="CO190" s="205"/>
      <c r="CP190" s="205"/>
      <c r="CQ190" s="205"/>
      <c r="CR190" s="205"/>
      <c r="CS190" s="205"/>
      <c r="CT190" s="205"/>
      <c r="CU190" s="205"/>
      <c r="CV190" s="205"/>
      <c r="CW190" s="205"/>
      <c r="CX190" s="205"/>
      <c r="CY190" s="205"/>
      <c r="CZ190" s="205"/>
      <c r="DA190" s="207"/>
      <c r="DB190" s="207"/>
      <c r="DC190" s="207"/>
      <c r="DD190" s="209"/>
      <c r="DF190" s="122"/>
      <c r="DG190" s="58"/>
      <c r="DH190" s="58"/>
      <c r="DI190" s="58"/>
      <c r="DJ190" s="58"/>
      <c r="DK190" s="58"/>
      <c r="DL190" s="58"/>
      <c r="DM190" s="58"/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8"/>
      <c r="DY190" s="58"/>
      <c r="DZ190" s="58"/>
      <c r="EA190" s="58"/>
      <c r="EB190" s="58"/>
      <c r="EC190" s="58"/>
      <c r="ED190" s="58"/>
      <c r="EE190" s="58"/>
      <c r="EF190" s="58"/>
      <c r="EG190" s="58"/>
      <c r="EH190" s="58"/>
      <c r="EI190" s="123"/>
      <c r="EJ190" s="58"/>
      <c r="EK190" s="58"/>
      <c r="EL190" s="58"/>
      <c r="EM190" s="58"/>
      <c r="EN190" s="58"/>
      <c r="EO190" s="58"/>
      <c r="EP190" s="58"/>
      <c r="EQ190" s="58"/>
      <c r="ER190" s="58"/>
    </row>
    <row r="191" spans="10:188" ht="6.95" customHeight="1" x14ac:dyDescent="0.15">
      <c r="J191" s="162"/>
      <c r="K191" s="82"/>
      <c r="L191" s="85"/>
      <c r="M191" s="85"/>
      <c r="N191" s="85"/>
      <c r="O191" s="85"/>
      <c r="P191" s="85"/>
      <c r="Q191" s="106"/>
      <c r="R191" s="106"/>
      <c r="S191" s="106"/>
      <c r="T191" s="106"/>
      <c r="U191" s="85"/>
      <c r="V191" s="85"/>
      <c r="W191" s="85"/>
      <c r="X191" s="85"/>
      <c r="Y191" s="85"/>
      <c r="Z191" s="85"/>
      <c r="AA191" s="85"/>
      <c r="AB191" s="85"/>
      <c r="AC191" s="165"/>
      <c r="AD191" s="5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1"/>
      <c r="BI191" s="1"/>
      <c r="BJ191" s="1"/>
      <c r="BK191" s="1"/>
      <c r="BL191" s="1"/>
      <c r="BM191" s="1"/>
      <c r="BN191" s="92"/>
      <c r="BO191" s="92"/>
      <c r="BP191" s="98"/>
      <c r="BR191" s="52"/>
      <c r="BS191" s="181"/>
      <c r="BT191" s="181"/>
      <c r="BU191" s="181"/>
      <c r="BV191" s="181"/>
      <c r="BW191" s="181"/>
      <c r="BX191" s="181"/>
      <c r="BY191" s="181"/>
      <c r="BZ191" s="181"/>
      <c r="CA191" s="181"/>
      <c r="CB191" s="181"/>
      <c r="CC191" s="181"/>
      <c r="CD191" s="181"/>
      <c r="CE191" s="181"/>
      <c r="CF191" s="181"/>
      <c r="CG191" s="181"/>
      <c r="CH191" s="181"/>
      <c r="CI191" s="181"/>
      <c r="CJ191" s="181"/>
      <c r="CK191" s="181"/>
      <c r="CL191" s="181"/>
      <c r="CM191" s="181"/>
      <c r="CN191" s="181"/>
      <c r="CO191" s="181"/>
      <c r="CP191" s="181"/>
      <c r="CQ191" s="181"/>
      <c r="CR191" s="181"/>
      <c r="CS191" s="181"/>
      <c r="CT191" s="181"/>
      <c r="CU191" s="181"/>
      <c r="CV191" s="1"/>
      <c r="CW191" s="1"/>
      <c r="CX191" s="1"/>
      <c r="CY191" s="1"/>
      <c r="CZ191" s="1"/>
      <c r="DA191" s="1"/>
      <c r="DB191" s="92"/>
      <c r="DC191" s="92"/>
      <c r="DD191" s="98"/>
      <c r="DF191" s="124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125"/>
      <c r="EJ191" s="1"/>
      <c r="EK191" s="1"/>
      <c r="EL191" s="1"/>
      <c r="EM191" s="1"/>
      <c r="EN191" s="1"/>
      <c r="EO191" s="1"/>
      <c r="EP191" s="1"/>
      <c r="EQ191" s="1"/>
      <c r="ER191" s="1"/>
    </row>
    <row r="192" spans="10:188" ht="6.95" customHeight="1" x14ac:dyDescent="0.15">
      <c r="J192" s="162"/>
      <c r="K192" s="215">
        <v>565</v>
      </c>
      <c r="L192" s="215"/>
      <c r="M192" s="215"/>
      <c r="N192" s="215"/>
      <c r="O192" s="3"/>
      <c r="P192" s="3"/>
      <c r="Q192" s="2"/>
      <c r="R192" s="2"/>
      <c r="S192" s="85"/>
      <c r="T192" s="85"/>
      <c r="U192" s="118"/>
      <c r="V192" s="118"/>
      <c r="W192" s="118"/>
      <c r="X192" s="118"/>
      <c r="Y192" s="3"/>
      <c r="Z192" s="3"/>
      <c r="AA192" s="3"/>
      <c r="AB192" s="3"/>
      <c r="AC192" s="165"/>
      <c r="AD192" s="5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1"/>
      <c r="BI192" s="1"/>
      <c r="BJ192" s="1"/>
      <c r="BK192" s="1"/>
      <c r="BL192" s="1"/>
      <c r="BM192" s="1"/>
      <c r="BN192" s="1"/>
      <c r="BO192" s="1"/>
      <c r="BP192" s="99"/>
      <c r="BR192" s="52"/>
      <c r="BS192" s="181"/>
      <c r="BT192" s="181"/>
      <c r="BU192" s="181"/>
      <c r="BV192" s="181"/>
      <c r="BW192" s="181"/>
      <c r="BX192" s="181"/>
      <c r="BY192" s="181"/>
      <c r="BZ192" s="181"/>
      <c r="CA192" s="181"/>
      <c r="CB192" s="181"/>
      <c r="CC192" s="181"/>
      <c r="CD192" s="181"/>
      <c r="CE192" s="181"/>
      <c r="CF192" s="181"/>
      <c r="CG192" s="181"/>
      <c r="CH192" s="181"/>
      <c r="CI192" s="181"/>
      <c r="CJ192" s="181"/>
      <c r="CK192" s="181"/>
      <c r="CL192" s="181"/>
      <c r="CM192" s="181"/>
      <c r="CN192" s="181"/>
      <c r="CO192" s="181"/>
      <c r="CP192" s="181"/>
      <c r="CQ192" s="181"/>
      <c r="CR192" s="181"/>
      <c r="CS192" s="181"/>
      <c r="CT192" s="181"/>
      <c r="CU192" s="181"/>
      <c r="CV192" s="1"/>
      <c r="CW192" s="1"/>
      <c r="CX192" s="1"/>
      <c r="CY192" s="1"/>
      <c r="CZ192" s="1"/>
      <c r="DA192" s="1"/>
      <c r="DB192" s="1"/>
      <c r="DC192" s="1"/>
      <c r="DD192" s="99"/>
      <c r="DF192" s="124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125"/>
      <c r="EJ192" s="1"/>
      <c r="EK192" s="1"/>
      <c r="EL192" s="1"/>
      <c r="EM192" s="1"/>
      <c r="EN192" s="1"/>
      <c r="EO192" s="1"/>
      <c r="EP192" s="1"/>
      <c r="EQ192" s="1"/>
      <c r="ER192" s="1"/>
    </row>
    <row r="193" spans="10:148" ht="6.95" customHeight="1" x14ac:dyDescent="0.15">
      <c r="J193" s="162"/>
      <c r="K193" s="215"/>
      <c r="L193" s="215"/>
      <c r="M193" s="215"/>
      <c r="N193" s="215"/>
      <c r="O193" s="3"/>
      <c r="P193" s="3"/>
      <c r="Q193" s="4"/>
      <c r="R193" s="4"/>
      <c r="S193" s="85"/>
      <c r="T193" s="85"/>
      <c r="U193" s="118"/>
      <c r="V193" s="118"/>
      <c r="W193" s="118"/>
      <c r="X193" s="118"/>
      <c r="Y193" s="3"/>
      <c r="Z193" s="3"/>
      <c r="AA193" s="3"/>
      <c r="AB193" s="3"/>
      <c r="AC193" s="165"/>
      <c r="AD193" s="5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1"/>
      <c r="BI193" s="1"/>
      <c r="BJ193" s="1"/>
      <c r="BK193" s="1"/>
      <c r="BL193" s="1"/>
      <c r="BM193" s="1"/>
      <c r="BN193" s="1"/>
      <c r="BO193" s="1"/>
      <c r="BP193" s="99"/>
      <c r="BR193" s="52"/>
      <c r="BS193" s="181"/>
      <c r="BT193" s="181"/>
      <c r="BU193" s="181"/>
      <c r="BV193" s="181"/>
      <c r="BW193" s="181"/>
      <c r="BX193" s="181"/>
      <c r="BY193" s="181"/>
      <c r="BZ193" s="181"/>
      <c r="CA193" s="181"/>
      <c r="CB193" s="181"/>
      <c r="CC193" s="181"/>
      <c r="CD193" s="181"/>
      <c r="CE193" s="181"/>
      <c r="CF193" s="181"/>
      <c r="CG193" s="181"/>
      <c r="CH193" s="181"/>
      <c r="CI193" s="181"/>
      <c r="CJ193" s="181"/>
      <c r="CK193" s="181"/>
      <c r="CL193" s="181"/>
      <c r="CM193" s="181"/>
      <c r="CN193" s="181"/>
      <c r="CO193" s="181"/>
      <c r="CP193" s="181"/>
      <c r="CQ193" s="181"/>
      <c r="CR193" s="181"/>
      <c r="CS193" s="181"/>
      <c r="CT193" s="181"/>
      <c r="CU193" s="181"/>
      <c r="CV193" s="1"/>
      <c r="CW193" s="1"/>
      <c r="CX193" s="1"/>
      <c r="CY193" s="1"/>
      <c r="CZ193" s="1"/>
      <c r="DA193" s="1"/>
      <c r="DB193" s="1"/>
      <c r="DC193" s="1"/>
      <c r="DD193" s="99"/>
      <c r="DF193" s="124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125"/>
      <c r="EJ193" s="1"/>
      <c r="EK193" s="1"/>
      <c r="EL193" s="1"/>
      <c r="EM193" s="1"/>
      <c r="EN193" s="1"/>
      <c r="EO193" s="1"/>
      <c r="EP193" s="1"/>
      <c r="EQ193" s="1"/>
      <c r="ER193" s="1"/>
    </row>
    <row r="194" spans="10:148" ht="6.95" customHeight="1" x14ac:dyDescent="0.15">
      <c r="J194" s="162"/>
      <c r="K194" s="200" t="s">
        <v>29</v>
      </c>
      <c r="L194" s="200"/>
      <c r="M194" s="200"/>
      <c r="N194" s="200"/>
      <c r="O194" s="3"/>
      <c r="P194" s="3"/>
      <c r="Q194" s="4"/>
      <c r="R194" s="4"/>
      <c r="S194" s="84"/>
      <c r="T194" s="84"/>
      <c r="U194" s="107"/>
      <c r="V194" s="107"/>
      <c r="W194" s="107"/>
      <c r="X194" s="107"/>
      <c r="Y194" s="3"/>
      <c r="Z194" s="3"/>
      <c r="AA194" s="3"/>
      <c r="AB194" s="3"/>
      <c r="AC194" s="165"/>
      <c r="AD194" s="5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1"/>
      <c r="BI194" s="1"/>
      <c r="BJ194" s="1"/>
      <c r="BK194" s="1"/>
      <c r="BL194" s="1"/>
      <c r="BM194" s="1"/>
      <c r="BN194" s="1"/>
      <c r="BO194" s="1"/>
      <c r="BP194" s="99"/>
      <c r="BR194" s="52"/>
      <c r="BS194" s="181"/>
      <c r="BT194" s="181"/>
      <c r="BU194" s="181"/>
      <c r="BV194" s="181"/>
      <c r="BW194" s="181"/>
      <c r="BX194" s="181"/>
      <c r="BY194" s="181"/>
      <c r="BZ194" s="181"/>
      <c r="CA194" s="181"/>
      <c r="CB194" s="181"/>
      <c r="CC194" s="181"/>
      <c r="CD194" s="181"/>
      <c r="CE194" s="181"/>
      <c r="CF194" s="181"/>
      <c r="CG194" s="181"/>
      <c r="CH194" s="181"/>
      <c r="CI194" s="181"/>
      <c r="CJ194" s="181"/>
      <c r="CK194" s="181"/>
      <c r="CL194" s="181"/>
      <c r="CM194" s="181"/>
      <c r="CN194" s="181"/>
      <c r="CO194" s="181"/>
      <c r="CP194" s="181"/>
      <c r="CQ194" s="181"/>
      <c r="CR194" s="181"/>
      <c r="CS194" s="181"/>
      <c r="CT194" s="181"/>
      <c r="CU194" s="181"/>
      <c r="CV194" s="1"/>
      <c r="CW194" s="1"/>
      <c r="CX194" s="1"/>
      <c r="CY194" s="1"/>
      <c r="CZ194" s="1"/>
      <c r="DA194" s="1"/>
      <c r="DB194" s="1"/>
      <c r="DC194" s="1"/>
      <c r="DD194" s="99"/>
      <c r="DF194" s="124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125"/>
      <c r="EJ194" s="1"/>
      <c r="EK194" s="1"/>
      <c r="EL194" s="1"/>
      <c r="EM194" s="1"/>
      <c r="EN194" s="1"/>
      <c r="EO194" s="1"/>
      <c r="EP194" s="1"/>
      <c r="EQ194" s="1"/>
      <c r="ER194" s="1"/>
    </row>
    <row r="195" spans="10:148" ht="6.95" customHeight="1" x14ac:dyDescent="0.15">
      <c r="J195" s="162"/>
      <c r="K195" s="200"/>
      <c r="L195" s="200"/>
      <c r="M195" s="200"/>
      <c r="N195" s="200"/>
      <c r="O195" s="3"/>
      <c r="P195" s="84"/>
      <c r="Q195" s="107"/>
      <c r="R195" s="107"/>
      <c r="S195" s="107"/>
      <c r="T195" s="107"/>
      <c r="U195" s="107"/>
      <c r="V195" s="107"/>
      <c r="W195" s="107"/>
      <c r="X195" s="107"/>
      <c r="Y195" s="84"/>
      <c r="Z195" s="84"/>
      <c r="AA195" s="3"/>
      <c r="AB195" s="84"/>
      <c r="AC195" s="165"/>
      <c r="AD195" s="5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1"/>
      <c r="BI195" s="1"/>
      <c r="BJ195" s="1"/>
      <c r="BK195" s="1"/>
      <c r="BL195" s="1"/>
      <c r="BM195" s="1"/>
      <c r="BN195" s="1"/>
      <c r="BO195" s="1"/>
      <c r="BP195" s="99"/>
      <c r="BR195" s="52"/>
      <c r="BS195" s="181"/>
      <c r="BT195" s="181"/>
      <c r="BU195" s="181"/>
      <c r="BV195" s="181"/>
      <c r="BW195" s="181"/>
      <c r="BX195" s="181"/>
      <c r="BY195" s="181"/>
      <c r="BZ195" s="181"/>
      <c r="CA195" s="181"/>
      <c r="CB195" s="181"/>
      <c r="CC195" s="181"/>
      <c r="CD195" s="181"/>
      <c r="CE195" s="181"/>
      <c r="CF195" s="181"/>
      <c r="CG195" s="181"/>
      <c r="CH195" s="181"/>
      <c r="CI195" s="181"/>
      <c r="CJ195" s="181"/>
      <c r="CK195" s="181"/>
      <c r="CL195" s="181"/>
      <c r="CM195" s="181"/>
      <c r="CN195" s="181"/>
      <c r="CO195" s="181"/>
      <c r="CP195" s="181"/>
      <c r="CQ195" s="181"/>
      <c r="CR195" s="181"/>
      <c r="CS195" s="181"/>
      <c r="CT195" s="181"/>
      <c r="CU195" s="181"/>
      <c r="CV195" s="1"/>
      <c r="CW195" s="1"/>
      <c r="CX195" s="1"/>
      <c r="CY195" s="1"/>
      <c r="CZ195" s="1"/>
      <c r="DA195" s="1"/>
      <c r="DB195" s="1"/>
      <c r="DC195" s="1"/>
      <c r="DD195" s="99"/>
      <c r="DF195" s="124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125"/>
      <c r="EJ195" s="1"/>
      <c r="EK195" s="1"/>
      <c r="EL195" s="1"/>
      <c r="EM195" s="1"/>
      <c r="EN195" s="1"/>
      <c r="EO195" s="1"/>
      <c r="EP195" s="1"/>
      <c r="EQ195" s="1"/>
      <c r="ER195" s="1"/>
    </row>
    <row r="196" spans="10:148" ht="6.95" customHeight="1" x14ac:dyDescent="0.15">
      <c r="J196" s="162"/>
      <c r="K196" s="84"/>
      <c r="L196" s="3"/>
      <c r="M196" s="3"/>
      <c r="N196" s="3"/>
      <c r="O196" s="3"/>
      <c r="P196" s="84"/>
      <c r="Q196" s="107"/>
      <c r="R196" s="107"/>
      <c r="S196" s="107"/>
      <c r="T196" s="107"/>
      <c r="U196" s="196" t="s">
        <v>42</v>
      </c>
      <c r="V196" s="196"/>
      <c r="W196" s="196"/>
      <c r="X196" s="196">
        <v>1</v>
      </c>
      <c r="Y196" s="196"/>
      <c r="Z196" s="196" t="s">
        <v>43</v>
      </c>
      <c r="AA196" s="196"/>
      <c r="AB196" s="196"/>
      <c r="AC196" s="165"/>
      <c r="AD196" s="5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1"/>
      <c r="BI196" s="1"/>
      <c r="BJ196" s="1"/>
      <c r="BK196" s="1"/>
      <c r="BL196" s="1"/>
      <c r="BM196" s="1"/>
      <c r="BN196" s="1"/>
      <c r="BO196" s="1"/>
      <c r="BP196" s="99"/>
      <c r="BR196" s="52"/>
      <c r="BS196" s="181"/>
      <c r="BT196" s="181"/>
      <c r="BU196" s="181"/>
      <c r="BV196" s="181"/>
      <c r="BW196" s="181"/>
      <c r="BX196" s="181"/>
      <c r="BY196" s="181"/>
      <c r="BZ196" s="181"/>
      <c r="CA196" s="181"/>
      <c r="CB196" s="181"/>
      <c r="CC196" s="181"/>
      <c r="CD196" s="181"/>
      <c r="CE196" s="181"/>
      <c r="CF196" s="181"/>
      <c r="CG196" s="181"/>
      <c r="CH196" s="181"/>
      <c r="CI196" s="181"/>
      <c r="CJ196" s="181"/>
      <c r="CK196" s="181"/>
      <c r="CL196" s="181"/>
      <c r="CM196" s="181"/>
      <c r="CN196" s="181"/>
      <c r="CO196" s="181"/>
      <c r="CP196" s="181"/>
      <c r="CQ196" s="181"/>
      <c r="CR196" s="181"/>
      <c r="CS196" s="181"/>
      <c r="CT196" s="181"/>
      <c r="CU196" s="181"/>
      <c r="CV196" s="1"/>
      <c r="CW196" s="1"/>
      <c r="CX196" s="1"/>
      <c r="CY196" s="1"/>
      <c r="CZ196" s="1"/>
      <c r="DA196" s="1"/>
      <c r="DB196" s="1"/>
      <c r="DC196" s="1"/>
      <c r="DD196" s="99"/>
      <c r="DF196" s="124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125"/>
      <c r="EJ196" s="1"/>
      <c r="EK196" s="1"/>
      <c r="EL196" s="1"/>
      <c r="EM196" s="1"/>
      <c r="EN196" s="1"/>
      <c r="EO196" s="1"/>
      <c r="EP196" s="1"/>
      <c r="EQ196" s="1"/>
      <c r="ER196" s="1"/>
    </row>
    <row r="197" spans="10:148" ht="6.95" customHeight="1" x14ac:dyDescent="0.15">
      <c r="J197" s="162"/>
      <c r="K197" s="88"/>
      <c r="L197" s="2"/>
      <c r="M197" s="2"/>
      <c r="N197" s="2"/>
      <c r="O197" s="2"/>
      <c r="P197" s="2"/>
      <c r="Q197" s="2"/>
      <c r="R197" s="88"/>
      <c r="S197" s="88"/>
      <c r="T197" s="88"/>
      <c r="U197" s="196"/>
      <c r="V197" s="196"/>
      <c r="W197" s="196"/>
      <c r="X197" s="196"/>
      <c r="Y197" s="196"/>
      <c r="Z197" s="196"/>
      <c r="AA197" s="196"/>
      <c r="AB197" s="196"/>
      <c r="AC197" s="165"/>
      <c r="AD197" s="5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1"/>
      <c r="BI197" s="1"/>
      <c r="BJ197" s="1"/>
      <c r="BK197" s="1"/>
      <c r="BL197" s="1"/>
      <c r="BM197" s="1"/>
      <c r="BN197" s="1"/>
      <c r="BO197" s="1"/>
      <c r="BP197" s="99"/>
      <c r="BR197" s="52"/>
      <c r="BS197" s="181"/>
      <c r="BT197" s="181"/>
      <c r="BU197" s="181"/>
      <c r="BV197" s="181"/>
      <c r="BW197" s="181"/>
      <c r="BX197" s="181"/>
      <c r="BY197" s="181"/>
      <c r="BZ197" s="181"/>
      <c r="CA197" s="181"/>
      <c r="CB197" s="181"/>
      <c r="CC197" s="181"/>
      <c r="CD197" s="181"/>
      <c r="CE197" s="181"/>
      <c r="CF197" s="181"/>
      <c r="CG197" s="181"/>
      <c r="CH197" s="181"/>
      <c r="CI197" s="181"/>
      <c r="CJ197" s="181"/>
      <c r="CK197" s="181"/>
      <c r="CL197" s="181"/>
      <c r="CM197" s="181"/>
      <c r="CN197" s="181"/>
      <c r="CO197" s="181"/>
      <c r="CP197" s="181"/>
      <c r="CQ197" s="181"/>
      <c r="CR197" s="181"/>
      <c r="CS197" s="181"/>
      <c r="CT197" s="181"/>
      <c r="CU197" s="181"/>
      <c r="CV197" s="1"/>
      <c r="CW197" s="1"/>
      <c r="CX197" s="1"/>
      <c r="CY197" s="1"/>
      <c r="CZ197" s="1"/>
      <c r="DA197" s="1"/>
      <c r="DB197" s="1"/>
      <c r="DC197" s="1"/>
      <c r="DD197" s="99"/>
      <c r="DF197" s="124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125"/>
      <c r="EJ197" s="1"/>
      <c r="EK197" s="1"/>
      <c r="EL197" s="1"/>
      <c r="EM197" s="1"/>
      <c r="EN197" s="1"/>
      <c r="EO197" s="1"/>
      <c r="EP197" s="1"/>
      <c r="EQ197" s="1"/>
      <c r="ER197" s="1"/>
    </row>
    <row r="198" spans="10:148" ht="6.95" customHeight="1" x14ac:dyDescent="0.15"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5"/>
      <c r="AD198" s="210">
        <v>4</v>
      </c>
      <c r="AE198" s="211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1"/>
      <c r="BI198" s="1"/>
      <c r="BJ198" s="1"/>
      <c r="BK198" s="1"/>
      <c r="BL198" s="1"/>
      <c r="BM198" s="1"/>
      <c r="BN198" s="1"/>
      <c r="BO198" s="1"/>
      <c r="BP198" s="99"/>
      <c r="BR198" s="210">
        <v>5</v>
      </c>
      <c r="BS198" s="211"/>
      <c r="BT198" s="181"/>
      <c r="BU198" s="181"/>
      <c r="BV198" s="181"/>
      <c r="BW198" s="181"/>
      <c r="BX198" s="181"/>
      <c r="BY198" s="181"/>
      <c r="BZ198" s="181"/>
      <c r="CA198" s="181"/>
      <c r="CB198" s="181"/>
      <c r="CC198" s="181"/>
      <c r="CD198" s="181"/>
      <c r="CE198" s="181"/>
      <c r="CF198" s="181"/>
      <c r="CG198" s="181"/>
      <c r="CH198" s="181"/>
      <c r="CI198" s="181"/>
      <c r="CJ198" s="181"/>
      <c r="CK198" s="181"/>
      <c r="CL198" s="181"/>
      <c r="CM198" s="181"/>
      <c r="CN198" s="181"/>
      <c r="CO198" s="181"/>
      <c r="CP198" s="181"/>
      <c r="CQ198" s="181"/>
      <c r="CR198" s="181"/>
      <c r="CS198" s="181"/>
      <c r="CT198" s="181"/>
      <c r="CU198" s="181"/>
      <c r="CV198" s="1"/>
      <c r="CW198" s="1"/>
      <c r="CX198" s="1"/>
      <c r="CY198" s="1"/>
      <c r="CZ198" s="1"/>
      <c r="DA198" s="1"/>
      <c r="DB198" s="1"/>
      <c r="DC198" s="1"/>
      <c r="DD198" s="99"/>
      <c r="DF198" s="124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125"/>
      <c r="EJ198" s="1"/>
      <c r="EK198" s="1"/>
      <c r="EL198" s="1"/>
      <c r="EM198" s="1"/>
      <c r="EN198" s="1"/>
      <c r="EO198" s="1"/>
      <c r="EP198" s="1"/>
      <c r="EQ198" s="1"/>
      <c r="ER198" s="1"/>
    </row>
    <row r="199" spans="10:148" ht="6.95" customHeight="1" thickBot="1" x14ac:dyDescent="0.2">
      <c r="J199" s="162"/>
      <c r="K199" s="162"/>
      <c r="L199" s="162"/>
      <c r="M199" s="162"/>
      <c r="N199" s="162"/>
      <c r="O199" s="162"/>
      <c r="P199" s="166"/>
      <c r="Q199" s="166"/>
      <c r="R199" s="166"/>
      <c r="S199" s="166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5"/>
      <c r="AD199" s="212"/>
      <c r="AE199" s="21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100"/>
      <c r="BI199" s="100"/>
      <c r="BJ199" s="100"/>
      <c r="BK199" s="100"/>
      <c r="BL199" s="100"/>
      <c r="BM199" s="100"/>
      <c r="BN199" s="100"/>
      <c r="BO199" s="100"/>
      <c r="BP199" s="101"/>
      <c r="BR199" s="212"/>
      <c r="BS199" s="21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  <c r="CG199" s="53"/>
      <c r="CH199" s="53"/>
      <c r="CI199" s="53"/>
      <c r="CJ199" s="53"/>
      <c r="CK199" s="53"/>
      <c r="CL199" s="53"/>
      <c r="CM199" s="53"/>
      <c r="CN199" s="53"/>
      <c r="CO199" s="53"/>
      <c r="CP199" s="53"/>
      <c r="CQ199" s="53"/>
      <c r="CR199" s="53"/>
      <c r="CS199" s="53"/>
      <c r="CT199" s="53"/>
      <c r="CU199" s="53"/>
      <c r="CV199" s="100"/>
      <c r="CW199" s="100"/>
      <c r="CX199" s="100"/>
      <c r="CY199" s="100"/>
      <c r="CZ199" s="100"/>
      <c r="DA199" s="100"/>
      <c r="DB199" s="100"/>
      <c r="DC199" s="100"/>
      <c r="DD199" s="101"/>
      <c r="DF199" s="124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125"/>
      <c r="EJ199" s="1"/>
      <c r="EK199" s="1"/>
      <c r="EL199" s="1"/>
      <c r="EM199" s="1"/>
      <c r="EN199" s="1"/>
      <c r="EO199" s="1"/>
      <c r="EP199" s="1"/>
      <c r="EQ199" s="1"/>
      <c r="ER199" s="1"/>
    </row>
    <row r="200" spans="10:148" ht="6.95" customHeight="1" x14ac:dyDescent="0.15">
      <c r="J200" s="162"/>
      <c r="K200" s="162"/>
      <c r="L200" s="162"/>
      <c r="M200" s="162"/>
      <c r="N200" s="162"/>
      <c r="O200" s="162"/>
      <c r="P200" s="166"/>
      <c r="Q200" s="166"/>
      <c r="R200" s="166"/>
      <c r="S200" s="166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5"/>
      <c r="AD200" s="52"/>
      <c r="AE200" s="188"/>
      <c r="AF200" s="214" t="s">
        <v>28</v>
      </c>
      <c r="AG200" s="214"/>
      <c r="AH200" s="214"/>
      <c r="AI200" s="214"/>
      <c r="AJ200" s="82"/>
      <c r="AK200" s="82"/>
      <c r="AL200" s="82"/>
      <c r="AM200" s="82"/>
      <c r="AN200" s="82"/>
      <c r="AO200" s="188"/>
      <c r="AP200" s="188"/>
      <c r="AQ200" s="82"/>
      <c r="AR200" s="82"/>
      <c r="AS200" s="82"/>
      <c r="AT200" s="82"/>
      <c r="AU200" s="82"/>
      <c r="AV200" s="82"/>
      <c r="AW200" s="82"/>
      <c r="AX200" s="82"/>
      <c r="AY200" s="197"/>
      <c r="AZ200" s="197"/>
      <c r="BA200" s="197"/>
      <c r="BB200" s="197"/>
      <c r="BC200" s="82"/>
      <c r="BD200" s="82"/>
      <c r="BE200" s="82"/>
      <c r="BF200" s="82"/>
      <c r="BG200" s="82"/>
      <c r="BH200" s="2"/>
      <c r="BI200" s="2"/>
      <c r="BJ200" s="82"/>
      <c r="BK200" s="82"/>
      <c r="BL200" s="82"/>
      <c r="BM200" s="82"/>
      <c r="BN200" s="82"/>
      <c r="BO200" s="82"/>
      <c r="BP200" s="99"/>
      <c r="BR200" s="52"/>
      <c r="BS200" s="181"/>
      <c r="BT200" s="214" t="s">
        <v>28</v>
      </c>
      <c r="BU200" s="214"/>
      <c r="BV200" s="214"/>
      <c r="BW200" s="214"/>
      <c r="BX200" s="82"/>
      <c r="BY200" s="82"/>
      <c r="BZ200" s="82"/>
      <c r="CA200" s="82"/>
      <c r="CB200" s="82"/>
      <c r="CC200" s="181"/>
      <c r="CD200" s="181"/>
      <c r="CE200" s="82"/>
      <c r="CF200" s="82"/>
      <c r="CG200" s="82"/>
      <c r="CH200" s="82"/>
      <c r="CI200" s="82"/>
      <c r="CJ200" s="82"/>
      <c r="CK200" s="82"/>
      <c r="CL200" s="82"/>
      <c r="CM200" s="214"/>
      <c r="CN200" s="214"/>
      <c r="CO200" s="214"/>
      <c r="CP200" s="214"/>
      <c r="CQ200" s="82"/>
      <c r="CR200" s="82"/>
      <c r="CS200" s="82"/>
      <c r="CT200" s="82"/>
      <c r="CU200" s="82"/>
      <c r="CV200" s="181"/>
      <c r="CW200" s="181"/>
      <c r="CX200" s="82"/>
      <c r="CY200" s="82"/>
      <c r="CZ200" s="82"/>
      <c r="DA200" s="82"/>
      <c r="DB200" s="82"/>
      <c r="DC200" s="82"/>
      <c r="DD200" s="99"/>
      <c r="DF200" s="124"/>
      <c r="DG200" s="82"/>
      <c r="DH200" s="82"/>
      <c r="DI200" s="82"/>
      <c r="DJ200" s="82"/>
      <c r="DK200" s="82"/>
      <c r="DL200" s="82"/>
      <c r="DM200" s="82"/>
      <c r="DN200" s="82"/>
      <c r="DO200" s="82"/>
      <c r="DP200" s="2"/>
      <c r="DQ200" s="2"/>
      <c r="DR200" s="82"/>
      <c r="DS200" s="82"/>
      <c r="DT200" s="82"/>
      <c r="DU200" s="82"/>
      <c r="DV200" s="82"/>
      <c r="DW200" s="82"/>
      <c r="DX200" s="82"/>
      <c r="DY200" s="82"/>
      <c r="DZ200" s="82"/>
      <c r="EA200" s="82"/>
      <c r="EB200" s="82"/>
      <c r="EC200" s="82"/>
      <c r="ED200" s="82"/>
      <c r="EE200" s="82"/>
      <c r="EF200" s="82"/>
      <c r="EG200" s="82"/>
      <c r="EH200" s="82"/>
      <c r="EI200" s="126"/>
      <c r="EJ200" s="82"/>
      <c r="EK200" s="82"/>
      <c r="EL200" s="82"/>
      <c r="EM200" s="2"/>
      <c r="EN200" s="2"/>
      <c r="EO200" s="82"/>
      <c r="EP200" s="82"/>
      <c r="EQ200" s="82"/>
      <c r="ER200" s="1"/>
    </row>
    <row r="201" spans="10:148" ht="6.95" customHeight="1" x14ac:dyDescent="0.15">
      <c r="J201" s="162"/>
      <c r="L201" s="197" t="s">
        <v>30</v>
      </c>
      <c r="M201" s="197"/>
      <c r="N201" s="197"/>
      <c r="O201" s="197"/>
      <c r="P201" s="82"/>
      <c r="Q201" s="82"/>
      <c r="R201" s="82"/>
      <c r="S201" s="82"/>
      <c r="T201" s="82"/>
      <c r="U201" s="2"/>
      <c r="V201" s="2"/>
      <c r="W201" s="82"/>
      <c r="X201" s="82"/>
      <c r="Y201" s="82"/>
      <c r="Z201" s="82"/>
      <c r="AA201" s="82"/>
      <c r="AB201" s="82"/>
      <c r="AC201" s="165"/>
      <c r="AD201" s="56"/>
      <c r="AE201" s="3"/>
      <c r="AF201" s="197"/>
      <c r="AG201" s="197"/>
      <c r="AH201" s="197"/>
      <c r="AI201" s="197"/>
      <c r="AJ201" s="82"/>
      <c r="AK201" s="197"/>
      <c r="AL201" s="197"/>
      <c r="AM201" s="197"/>
      <c r="AN201" s="197"/>
      <c r="AO201" s="188"/>
      <c r="AP201" s="188"/>
      <c r="AQ201" s="82"/>
      <c r="AR201" s="82"/>
      <c r="AS201" s="82"/>
      <c r="AT201" s="82"/>
      <c r="AU201" s="82"/>
      <c r="AV201" s="82"/>
      <c r="AW201" s="82"/>
      <c r="AX201" s="82"/>
      <c r="AY201" s="197"/>
      <c r="AZ201" s="197"/>
      <c r="BA201" s="197"/>
      <c r="BB201" s="197"/>
      <c r="BC201" s="82"/>
      <c r="BD201" s="106"/>
      <c r="BE201" s="106"/>
      <c r="BF201" s="106"/>
      <c r="BG201" s="106"/>
      <c r="BH201" s="2"/>
      <c r="BI201" s="2"/>
      <c r="BJ201" s="82"/>
      <c r="BK201" s="82"/>
      <c r="BL201" s="82"/>
      <c r="BM201" s="82"/>
      <c r="BN201" s="82"/>
      <c r="BO201" s="82"/>
      <c r="BP201" s="99"/>
      <c r="BR201" s="56"/>
      <c r="BS201" s="3"/>
      <c r="BT201" s="197"/>
      <c r="BU201" s="197"/>
      <c r="BV201" s="197"/>
      <c r="BW201" s="197"/>
      <c r="BX201" s="82"/>
      <c r="BY201" s="197"/>
      <c r="BZ201" s="197"/>
      <c r="CA201" s="197"/>
      <c r="CB201" s="197"/>
      <c r="CC201" s="181"/>
      <c r="CD201" s="181"/>
      <c r="CE201" s="82"/>
      <c r="CF201" s="82"/>
      <c r="CG201" s="82"/>
      <c r="CH201" s="82"/>
      <c r="CI201" s="82"/>
      <c r="CJ201" s="82"/>
      <c r="CK201" s="82"/>
      <c r="CL201" s="82"/>
      <c r="CM201" s="197"/>
      <c r="CN201" s="197"/>
      <c r="CO201" s="197"/>
      <c r="CP201" s="197"/>
      <c r="CQ201" s="82"/>
      <c r="CR201" s="197"/>
      <c r="CS201" s="197"/>
      <c r="CT201" s="197"/>
      <c r="CU201" s="197"/>
      <c r="CV201" s="181"/>
      <c r="CW201" s="181"/>
      <c r="CX201" s="82"/>
      <c r="CY201" s="82"/>
      <c r="CZ201" s="82"/>
      <c r="DA201" s="82"/>
      <c r="DB201" s="82"/>
      <c r="DC201" s="82"/>
      <c r="DD201" s="99"/>
      <c r="DF201" s="127"/>
      <c r="DG201" s="82"/>
      <c r="DH201" s="82"/>
      <c r="DI201" s="82"/>
      <c r="DJ201" s="82"/>
      <c r="DK201" s="82"/>
      <c r="DL201" s="82"/>
      <c r="DM201" s="82"/>
      <c r="DN201" s="82"/>
      <c r="DO201" s="82"/>
      <c r="DP201" s="2"/>
      <c r="DQ201" s="2"/>
      <c r="DR201" s="82"/>
      <c r="DS201" s="82"/>
      <c r="DT201" s="82"/>
      <c r="DU201" s="82"/>
      <c r="DV201" s="82"/>
      <c r="DW201" s="82"/>
      <c r="DX201" s="82"/>
      <c r="DY201" s="82"/>
      <c r="DZ201" s="82"/>
      <c r="EA201" s="82"/>
      <c r="EB201" s="82"/>
      <c r="EC201" s="82"/>
      <c r="ED201" s="82"/>
      <c r="EE201" s="82"/>
      <c r="EF201" s="82"/>
      <c r="EG201" s="82"/>
      <c r="EH201" s="82"/>
      <c r="EI201" s="126"/>
      <c r="EJ201" s="82"/>
      <c r="EK201" s="82"/>
      <c r="EL201" s="82"/>
      <c r="EM201" s="2"/>
      <c r="EN201" s="2"/>
      <c r="EO201" s="82"/>
      <c r="EP201" s="82"/>
      <c r="EQ201" s="82"/>
      <c r="ER201" s="1"/>
    </row>
    <row r="202" spans="10:148" ht="6.95" customHeight="1" x14ac:dyDescent="0.15">
      <c r="J202" s="162"/>
      <c r="L202" s="197"/>
      <c r="M202" s="197"/>
      <c r="N202" s="197"/>
      <c r="O202" s="197"/>
      <c r="P202" s="82"/>
      <c r="Q202" s="106"/>
      <c r="R202" s="106"/>
      <c r="S202" s="106"/>
      <c r="T202" s="106"/>
      <c r="U202" s="2"/>
      <c r="V202" s="2"/>
      <c r="W202" s="82"/>
      <c r="X202" s="82"/>
      <c r="Y202" s="82"/>
      <c r="Z202" s="82"/>
      <c r="AA202" s="82"/>
      <c r="AB202" s="82"/>
      <c r="AC202" s="165"/>
      <c r="AD202" s="56"/>
      <c r="AE202" s="3"/>
      <c r="AF202" s="85"/>
      <c r="AG202" s="85"/>
      <c r="AH202" s="85"/>
      <c r="AI202" s="85"/>
      <c r="AJ202" s="85"/>
      <c r="AK202" s="197"/>
      <c r="AL202" s="197"/>
      <c r="AM202" s="197"/>
      <c r="AN202" s="197"/>
      <c r="AO202" s="85"/>
      <c r="AP202" s="85"/>
      <c r="AQ202" s="85"/>
      <c r="AR202" s="85"/>
      <c r="AS202" s="85"/>
      <c r="AT202" s="85"/>
      <c r="AU202" s="82"/>
      <c r="AV202" s="82"/>
      <c r="AW202" s="82"/>
      <c r="AX202" s="82"/>
      <c r="AY202" s="85"/>
      <c r="AZ202" s="85"/>
      <c r="BA202" s="85"/>
      <c r="BB202" s="85"/>
      <c r="BC202" s="85"/>
      <c r="BD202" s="106"/>
      <c r="BE202" s="106"/>
      <c r="BF202" s="106"/>
      <c r="BG202" s="106"/>
      <c r="BH202" s="85"/>
      <c r="BI202" s="85"/>
      <c r="BJ202" s="85"/>
      <c r="BK202" s="85"/>
      <c r="BL202" s="85"/>
      <c r="BM202" s="85"/>
      <c r="BN202" s="85"/>
      <c r="BO202" s="85"/>
      <c r="BP202" s="99"/>
      <c r="BR202" s="56"/>
      <c r="BS202" s="3"/>
      <c r="BT202" s="85"/>
      <c r="BU202" s="85"/>
      <c r="BV202" s="85"/>
      <c r="BW202" s="85"/>
      <c r="BX202" s="85"/>
      <c r="BY202" s="197"/>
      <c r="BZ202" s="197"/>
      <c r="CA202" s="197"/>
      <c r="CB202" s="197"/>
      <c r="CC202" s="85"/>
      <c r="CD202" s="85"/>
      <c r="CE202" s="85"/>
      <c r="CF202" s="85"/>
      <c r="CG202" s="85"/>
      <c r="CH202" s="85"/>
      <c r="CI202" s="82"/>
      <c r="CJ202" s="82"/>
      <c r="CK202" s="82"/>
      <c r="CL202" s="82"/>
      <c r="CM202" s="85"/>
      <c r="CN202" s="85"/>
      <c r="CO202" s="85"/>
      <c r="CP202" s="85"/>
      <c r="CQ202" s="85"/>
      <c r="CR202" s="197"/>
      <c r="CS202" s="197"/>
      <c r="CT202" s="197"/>
      <c r="CU202" s="197"/>
      <c r="CV202" s="85"/>
      <c r="CW202" s="85"/>
      <c r="CX202" s="85"/>
      <c r="CY202" s="85"/>
      <c r="CZ202" s="85"/>
      <c r="DA202" s="85"/>
      <c r="DB202" s="85"/>
      <c r="DC202" s="85"/>
      <c r="DD202" s="99"/>
      <c r="DF202" s="127"/>
      <c r="DG202" s="85"/>
      <c r="DH202" s="85"/>
      <c r="DI202" s="85"/>
      <c r="DJ202" s="85"/>
      <c r="DK202" s="85"/>
      <c r="DL202" s="82"/>
      <c r="DM202" s="82"/>
      <c r="DN202" s="82"/>
      <c r="DO202" s="82"/>
      <c r="DP202" s="85"/>
      <c r="DQ202" s="85"/>
      <c r="DR202" s="85"/>
      <c r="DS202" s="85"/>
      <c r="DT202" s="85"/>
      <c r="DU202" s="85"/>
      <c r="DV202" s="82"/>
      <c r="DW202" s="82"/>
      <c r="DX202" s="82"/>
      <c r="DY202" s="82"/>
      <c r="DZ202" s="85"/>
      <c r="EA202" s="85"/>
      <c r="EB202" s="85"/>
      <c r="EC202" s="85"/>
      <c r="ED202" s="85"/>
      <c r="EE202" s="82"/>
      <c r="EF202" s="82"/>
      <c r="EG202" s="82"/>
      <c r="EH202" s="82"/>
      <c r="EI202" s="128"/>
      <c r="EJ202" s="82"/>
      <c r="EK202" s="82"/>
      <c r="EL202" s="82"/>
      <c r="EM202" s="85"/>
      <c r="EN202" s="85"/>
      <c r="EO202" s="85"/>
      <c r="EP202" s="85"/>
      <c r="EQ202" s="85"/>
      <c r="ER202" s="1"/>
    </row>
    <row r="203" spans="10:148" ht="6.95" customHeight="1" x14ac:dyDescent="0.15">
      <c r="J203" s="162"/>
      <c r="L203" s="85"/>
      <c r="M203" s="85"/>
      <c r="N203" s="85"/>
      <c r="O203" s="85"/>
      <c r="P203" s="85"/>
      <c r="Q203" s="106"/>
      <c r="R203" s="106"/>
      <c r="S203" s="106"/>
      <c r="T203" s="106"/>
      <c r="U203" s="85"/>
      <c r="V203" s="85"/>
      <c r="W203" s="85"/>
      <c r="X203" s="85"/>
      <c r="Y203" s="85"/>
      <c r="Z203" s="85"/>
      <c r="AA203" s="85"/>
      <c r="AB203" s="85"/>
      <c r="AC203" s="165"/>
      <c r="AD203" s="56"/>
      <c r="AE203" s="3"/>
      <c r="AF203" s="199">
        <f>CHOOSE(SUM((AD188&gt;={700,750,800,850,900,950})*1), 565,615,665,715,765,815)</f>
        <v>665</v>
      </c>
      <c r="AG203" s="199"/>
      <c r="AH203" s="199"/>
      <c r="AI203" s="199"/>
      <c r="AJ203" s="3"/>
      <c r="AK203" s="188"/>
      <c r="AL203" s="188"/>
      <c r="AM203" s="85"/>
      <c r="AN203" s="85"/>
      <c r="AO203" s="215"/>
      <c r="AP203" s="215"/>
      <c r="AQ203" s="215"/>
      <c r="AR203" s="215"/>
      <c r="AS203" s="3"/>
      <c r="AT203" s="3"/>
      <c r="AU203" s="188"/>
      <c r="AV203" s="188"/>
      <c r="AW203" s="85"/>
      <c r="AX203" s="215"/>
      <c r="AY203" s="215"/>
      <c r="AZ203" s="215"/>
      <c r="BA203" s="215"/>
      <c r="BB203" s="3"/>
      <c r="BC203" s="3"/>
      <c r="BD203" s="2"/>
      <c r="BE203" s="2"/>
      <c r="BF203" s="85"/>
      <c r="BG203" s="85"/>
      <c r="BH203" s="118"/>
      <c r="BI203" s="118"/>
      <c r="BJ203" s="118"/>
      <c r="BK203" s="118"/>
      <c r="BL203" s="3"/>
      <c r="BM203" s="3"/>
      <c r="BN203" s="3"/>
      <c r="BO203" s="3"/>
      <c r="BP203" s="99"/>
      <c r="BR203" s="56"/>
      <c r="BS203" s="3"/>
      <c r="BT203" s="199">
        <f>CHOOSE(SUM((BR188&gt;={700,750,800,850,900,950})*1), 565,615,665,715,765,815)</f>
        <v>665</v>
      </c>
      <c r="BU203" s="199"/>
      <c r="BV203" s="199"/>
      <c r="BW203" s="199"/>
      <c r="BX203" s="3"/>
      <c r="BY203" s="181"/>
      <c r="BZ203" s="181"/>
      <c r="CA203" s="85"/>
      <c r="CB203" s="85"/>
      <c r="CC203" s="215"/>
      <c r="CD203" s="215"/>
      <c r="CE203" s="215"/>
      <c r="CF203" s="215"/>
      <c r="CG203" s="3"/>
      <c r="CH203" s="3"/>
      <c r="CI203" s="181"/>
      <c r="CJ203" s="181"/>
      <c r="CK203" s="85"/>
      <c r="CL203" s="85"/>
      <c r="CM203" s="3"/>
      <c r="CN203" s="3"/>
      <c r="CO203" s="3"/>
      <c r="CP203" s="3"/>
      <c r="CQ203" s="3"/>
      <c r="CR203" s="181"/>
      <c r="CS203" s="181"/>
      <c r="CT203" s="85"/>
      <c r="CU203" s="85"/>
      <c r="CV203" s="215"/>
      <c r="CW203" s="215"/>
      <c r="CX203" s="215"/>
      <c r="CY203" s="215"/>
      <c r="CZ203" s="3"/>
      <c r="DA203" s="3"/>
      <c r="DB203" s="3"/>
      <c r="DC203" s="3"/>
      <c r="DD203" s="99"/>
      <c r="DF203" s="127"/>
      <c r="DG203" s="3"/>
      <c r="DH203" s="3"/>
      <c r="DI203" s="3"/>
      <c r="DJ203" s="3"/>
      <c r="DK203" s="3"/>
      <c r="DL203" s="2"/>
      <c r="DM203" s="2"/>
      <c r="DN203" s="85"/>
      <c r="DO203" s="85"/>
      <c r="DP203" s="85"/>
      <c r="DQ203" s="85"/>
      <c r="DR203" s="85"/>
      <c r="DS203" s="3"/>
      <c r="DT203" s="3"/>
      <c r="DU203" s="3"/>
      <c r="DV203" s="2"/>
      <c r="DW203" s="2"/>
      <c r="DX203" s="85"/>
      <c r="DY203" s="85"/>
      <c r="DZ203" s="3"/>
      <c r="EA203" s="3"/>
      <c r="EB203" s="3"/>
      <c r="EC203" s="3"/>
      <c r="ED203" s="3"/>
      <c r="EE203" s="2"/>
      <c r="EF203" s="2"/>
      <c r="EG203" s="85"/>
      <c r="EH203" s="85"/>
      <c r="EI203" s="128"/>
      <c r="EJ203" s="2"/>
      <c r="EK203" s="85"/>
      <c r="EL203" s="85"/>
      <c r="EM203" s="85"/>
      <c r="EN203" s="85"/>
      <c r="EO203" s="85"/>
      <c r="EP203" s="3"/>
      <c r="EQ203" s="3"/>
      <c r="ER203" s="1"/>
    </row>
    <row r="204" spans="10:148" ht="6.95" customHeight="1" x14ac:dyDescent="0.15">
      <c r="J204" s="162"/>
      <c r="L204" s="118"/>
      <c r="M204" s="118"/>
      <c r="N204" s="118"/>
      <c r="O204" s="3"/>
      <c r="P204" s="3"/>
      <c r="Q204" s="2"/>
      <c r="R204" s="2"/>
      <c r="S204" s="85"/>
      <c r="T204" s="215">
        <v>565</v>
      </c>
      <c r="U204" s="215"/>
      <c r="V204" s="215"/>
      <c r="W204" s="215"/>
      <c r="X204" s="118"/>
      <c r="Y204" s="3"/>
      <c r="Z204" s="3"/>
      <c r="AA204" s="3"/>
      <c r="AB204" s="3"/>
      <c r="AC204" s="165"/>
      <c r="AD204" s="56"/>
      <c r="AE204" s="3"/>
      <c r="AF204" s="199"/>
      <c r="AG204" s="199"/>
      <c r="AH204" s="199"/>
      <c r="AI204" s="199"/>
      <c r="AJ204" s="3"/>
      <c r="AK204" s="4"/>
      <c r="AL204" s="4"/>
      <c r="AM204" s="85"/>
      <c r="AN204" s="85"/>
      <c r="AO204" s="215"/>
      <c r="AP204" s="215"/>
      <c r="AQ204" s="215"/>
      <c r="AR204" s="215"/>
      <c r="AS204" s="3"/>
      <c r="AT204" s="3"/>
      <c r="AU204" s="4"/>
      <c r="AV204" s="4"/>
      <c r="AW204" s="85"/>
      <c r="AX204" s="215"/>
      <c r="AY204" s="215"/>
      <c r="AZ204" s="215"/>
      <c r="BA204" s="215"/>
      <c r="BB204" s="3"/>
      <c r="BC204" s="3"/>
      <c r="BD204" s="4"/>
      <c r="BE204" s="4"/>
      <c r="BF204" s="85"/>
      <c r="BG204" s="85"/>
      <c r="BH204" s="118"/>
      <c r="BI204" s="118"/>
      <c r="BJ204" s="118"/>
      <c r="BK204" s="118"/>
      <c r="BL204" s="3"/>
      <c r="BM204" s="3"/>
      <c r="BN204" s="3"/>
      <c r="BO204" s="3"/>
      <c r="BP204" s="99"/>
      <c r="BR204" s="56"/>
      <c r="BS204" s="3"/>
      <c r="BT204" s="199"/>
      <c r="BU204" s="199"/>
      <c r="BV204" s="199"/>
      <c r="BW204" s="199"/>
      <c r="BX204" s="3"/>
      <c r="BY204" s="4"/>
      <c r="BZ204" s="4"/>
      <c r="CA204" s="85"/>
      <c r="CB204" s="85"/>
      <c r="CC204" s="215"/>
      <c r="CD204" s="215"/>
      <c r="CE204" s="215"/>
      <c r="CF204" s="215"/>
      <c r="CG204" s="3"/>
      <c r="CH204" s="3"/>
      <c r="CI204" s="4"/>
      <c r="CJ204" s="4"/>
      <c r="CK204" s="85"/>
      <c r="CL204" s="85"/>
      <c r="CM204" s="3"/>
      <c r="CN204" s="3"/>
      <c r="CO204" s="3"/>
      <c r="CP204" s="3"/>
      <c r="CQ204" s="3"/>
      <c r="CR204" s="4"/>
      <c r="CS204" s="4"/>
      <c r="CT204" s="85"/>
      <c r="CU204" s="85"/>
      <c r="CV204" s="215"/>
      <c r="CW204" s="215"/>
      <c r="CX204" s="215"/>
      <c r="CY204" s="215"/>
      <c r="CZ204" s="3"/>
      <c r="DA204" s="3"/>
      <c r="DB204" s="3"/>
      <c r="DC204" s="3"/>
      <c r="DD204" s="99"/>
      <c r="DF204" s="127"/>
      <c r="DG204" s="3"/>
      <c r="DH204" s="3"/>
      <c r="DI204" s="3"/>
      <c r="DJ204" s="3"/>
      <c r="DK204" s="3"/>
      <c r="DL204" s="4"/>
      <c r="DM204" s="4"/>
      <c r="DN204" s="85"/>
      <c r="DO204" s="85"/>
      <c r="DP204" s="85"/>
      <c r="DQ204" s="85"/>
      <c r="DR204" s="85"/>
      <c r="DS204" s="3"/>
      <c r="DT204" s="3"/>
      <c r="DU204" s="3"/>
      <c r="DV204" s="4"/>
      <c r="DW204" s="4"/>
      <c r="DX204" s="85"/>
      <c r="DY204" s="85"/>
      <c r="DZ204" s="3"/>
      <c r="EA204" s="3"/>
      <c r="EB204" s="3"/>
      <c r="EC204" s="3"/>
      <c r="ED204" s="3"/>
      <c r="EE204" s="4"/>
      <c r="EF204" s="4"/>
      <c r="EG204" s="85"/>
      <c r="EH204" s="85"/>
      <c r="EI204" s="128"/>
      <c r="EJ204" s="4"/>
      <c r="EK204" s="85"/>
      <c r="EL204" s="85"/>
      <c r="EM204" s="85"/>
      <c r="EN204" s="85"/>
      <c r="EO204" s="85"/>
      <c r="EP204" s="3"/>
      <c r="EQ204" s="3"/>
      <c r="ER204" s="1"/>
    </row>
    <row r="205" spans="10:148" ht="6.95" customHeight="1" x14ac:dyDescent="0.15">
      <c r="J205" s="162"/>
      <c r="L205" s="118"/>
      <c r="M205" s="118"/>
      <c r="N205" s="118"/>
      <c r="O205" s="3"/>
      <c r="P205" s="3"/>
      <c r="Q205" s="4"/>
      <c r="R205" s="4"/>
      <c r="S205" s="85"/>
      <c r="T205" s="215"/>
      <c r="U205" s="215"/>
      <c r="V205" s="215"/>
      <c r="W205" s="215"/>
      <c r="X205" s="118"/>
      <c r="Y205" s="3"/>
      <c r="Z205" s="3"/>
      <c r="AA205" s="3"/>
      <c r="AB205" s="3"/>
      <c r="AC205" s="165"/>
      <c r="AD205" s="56"/>
      <c r="AE205" s="3"/>
      <c r="AF205" s="3"/>
      <c r="AG205" s="3"/>
      <c r="AH205" s="3"/>
      <c r="AI205" s="3"/>
      <c r="AJ205" s="3"/>
      <c r="AK205" s="4"/>
      <c r="AL205" s="4"/>
      <c r="AM205" s="84"/>
      <c r="AN205" s="84"/>
      <c r="AO205" s="200"/>
      <c r="AP205" s="200"/>
      <c r="AQ205" s="200"/>
      <c r="AR205" s="200"/>
      <c r="AS205" s="3"/>
      <c r="AT205" s="3"/>
      <c r="AU205" s="4"/>
      <c r="AV205" s="4"/>
      <c r="AW205" s="84"/>
      <c r="AX205" s="200"/>
      <c r="AY205" s="200"/>
      <c r="AZ205" s="200"/>
      <c r="BA205" s="200"/>
      <c r="BB205" s="3"/>
      <c r="BC205" s="3"/>
      <c r="BD205" s="4"/>
      <c r="BE205" s="4"/>
      <c r="BF205" s="84"/>
      <c r="BG205" s="84"/>
      <c r="BH205" s="107"/>
      <c r="BI205" s="107"/>
      <c r="BJ205" s="107"/>
      <c r="BK205" s="107"/>
      <c r="BL205" s="3"/>
      <c r="BM205" s="3"/>
      <c r="BN205" s="3"/>
      <c r="BO205" s="3"/>
      <c r="BP205" s="99"/>
      <c r="BR205" s="56"/>
      <c r="BS205" s="3"/>
      <c r="BT205" s="3"/>
      <c r="BU205" s="3"/>
      <c r="BV205" s="3"/>
      <c r="BW205" s="3"/>
      <c r="BX205" s="3"/>
      <c r="BY205" s="4"/>
      <c r="BZ205" s="4"/>
      <c r="CA205" s="84"/>
      <c r="CB205" s="84"/>
      <c r="CC205" s="200"/>
      <c r="CD205" s="200"/>
      <c r="CE205" s="200"/>
      <c r="CF205" s="200"/>
      <c r="CG205" s="3"/>
      <c r="CH205" s="3"/>
      <c r="CI205" s="4"/>
      <c r="CJ205" s="4"/>
      <c r="CK205" s="84"/>
      <c r="CL205" s="84"/>
      <c r="CM205" s="3"/>
      <c r="CN205" s="3"/>
      <c r="CO205" s="3"/>
      <c r="CP205" s="3"/>
      <c r="CQ205" s="3"/>
      <c r="CR205" s="4"/>
      <c r="CS205" s="4"/>
      <c r="CT205" s="84"/>
      <c r="CU205" s="84"/>
      <c r="CV205" s="200"/>
      <c r="CW205" s="200"/>
      <c r="CX205" s="200"/>
      <c r="CY205" s="200"/>
      <c r="CZ205" s="3"/>
      <c r="DA205" s="3"/>
      <c r="DB205" s="3"/>
      <c r="DC205" s="3"/>
      <c r="DD205" s="99"/>
      <c r="DF205" s="127"/>
      <c r="DG205" s="3"/>
      <c r="DH205" s="3"/>
      <c r="DI205" s="3"/>
      <c r="DJ205" s="3"/>
      <c r="DK205" s="3"/>
      <c r="DL205" s="4"/>
      <c r="DM205" s="4"/>
      <c r="DN205" s="84"/>
      <c r="DO205" s="84"/>
      <c r="DP205" s="84"/>
      <c r="DQ205" s="84"/>
      <c r="DR205" s="84"/>
      <c r="DS205" s="3"/>
      <c r="DT205" s="3"/>
      <c r="DU205" s="3"/>
      <c r="DV205" s="4"/>
      <c r="DW205" s="4"/>
      <c r="DX205" s="84"/>
      <c r="DY205" s="84"/>
      <c r="DZ205" s="3"/>
      <c r="EA205" s="3"/>
      <c r="EB205" s="3"/>
      <c r="EC205" s="3"/>
      <c r="ED205" s="3"/>
      <c r="EE205" s="4"/>
      <c r="EF205" s="4"/>
      <c r="EG205" s="84"/>
      <c r="EH205" s="84"/>
      <c r="EI205" s="129"/>
      <c r="EJ205" s="4"/>
      <c r="EK205" s="84"/>
      <c r="EL205" s="84"/>
      <c r="EM205" s="84"/>
      <c r="EN205" s="84"/>
      <c r="EO205" s="84"/>
      <c r="EP205" s="3"/>
      <c r="EQ205" s="3"/>
      <c r="ER205" s="1"/>
    </row>
    <row r="206" spans="10:148" ht="6.95" customHeight="1" x14ac:dyDescent="0.15">
      <c r="J206" s="162"/>
      <c r="L206" s="107"/>
      <c r="M206" s="107"/>
      <c r="N206" s="107"/>
      <c r="O206" s="3"/>
      <c r="P206" s="3"/>
      <c r="Q206" s="4"/>
      <c r="R206" s="4"/>
      <c r="S206" s="84"/>
      <c r="T206" s="200" t="s">
        <v>29</v>
      </c>
      <c r="U206" s="200"/>
      <c r="V206" s="200"/>
      <c r="W206" s="200"/>
      <c r="X206" s="107"/>
      <c r="Y206" s="3"/>
      <c r="Z206" s="3"/>
      <c r="AA206" s="3"/>
      <c r="AB206" s="3"/>
      <c r="AC206" s="165"/>
      <c r="AD206" s="56"/>
      <c r="AE206" s="3"/>
      <c r="AF206" s="3"/>
      <c r="AG206" s="3"/>
      <c r="AH206" s="3"/>
      <c r="AI206" s="3"/>
      <c r="AJ206" s="84"/>
      <c r="AK206" s="200"/>
      <c r="AL206" s="200"/>
      <c r="AM206" s="200"/>
      <c r="AN206" s="200"/>
      <c r="AO206" s="200"/>
      <c r="AP206" s="200"/>
      <c r="AQ206" s="200"/>
      <c r="AR206" s="200"/>
      <c r="AS206" s="84"/>
      <c r="AT206" s="84"/>
      <c r="AU206" s="84"/>
      <c r="AV206" s="84"/>
      <c r="AW206" s="84"/>
      <c r="AX206" s="200"/>
      <c r="AY206" s="200"/>
      <c r="AZ206" s="200"/>
      <c r="BA206" s="200"/>
      <c r="BB206" s="3"/>
      <c r="BC206" s="84"/>
      <c r="BD206" s="107"/>
      <c r="BE206" s="107"/>
      <c r="BF206" s="107"/>
      <c r="BG206" s="107"/>
      <c r="BH206" s="107"/>
      <c r="BI206" s="107"/>
      <c r="BJ206" s="107"/>
      <c r="BK206" s="107"/>
      <c r="BL206" s="84"/>
      <c r="BM206" s="84"/>
      <c r="BN206" s="3"/>
      <c r="BO206" s="84"/>
      <c r="BP206" s="99"/>
      <c r="BR206" s="56"/>
      <c r="BS206" s="3"/>
      <c r="BT206" s="3"/>
      <c r="BU206" s="3"/>
      <c r="BV206" s="3"/>
      <c r="BW206" s="3"/>
      <c r="BX206" s="84"/>
      <c r="BY206" s="200"/>
      <c r="BZ206" s="200"/>
      <c r="CA206" s="200"/>
      <c r="CB206" s="200"/>
      <c r="CC206" s="200"/>
      <c r="CD206" s="200"/>
      <c r="CE206" s="200"/>
      <c r="CF206" s="200"/>
      <c r="CG206" s="84"/>
      <c r="CH206" s="84"/>
      <c r="CI206" s="84"/>
      <c r="CJ206" s="84"/>
      <c r="CK206" s="84"/>
      <c r="CL206" s="84"/>
      <c r="CM206" s="3"/>
      <c r="CN206" s="3"/>
      <c r="CO206" s="3"/>
      <c r="CP206" s="3"/>
      <c r="CQ206" s="84"/>
      <c r="CR206" s="200"/>
      <c r="CS206" s="200"/>
      <c r="CT206" s="200"/>
      <c r="CU206" s="200"/>
      <c r="CV206" s="200"/>
      <c r="CW206" s="200"/>
      <c r="CX206" s="200"/>
      <c r="CY206" s="200"/>
      <c r="CZ206" s="84"/>
      <c r="DA206" s="84"/>
      <c r="DB206" s="3"/>
      <c r="DC206" s="84"/>
      <c r="DD206" s="99"/>
      <c r="DF206" s="127"/>
      <c r="DG206" s="3"/>
      <c r="DH206" s="3"/>
      <c r="DI206" s="3"/>
      <c r="DJ206" s="3"/>
      <c r="DK206" s="84"/>
      <c r="DL206" s="84"/>
      <c r="DM206" s="84"/>
      <c r="DN206" s="84"/>
      <c r="DO206" s="84"/>
      <c r="DP206" s="84"/>
      <c r="DQ206" s="84"/>
      <c r="DR206" s="84"/>
      <c r="DS206" s="3"/>
      <c r="DT206" s="84"/>
      <c r="DU206" s="84"/>
      <c r="DV206" s="84"/>
      <c r="DW206" s="84"/>
      <c r="DX206" s="84"/>
      <c r="DY206" s="84"/>
      <c r="DZ206" s="3"/>
      <c r="EA206" s="3"/>
      <c r="EB206" s="3"/>
      <c r="EC206" s="3"/>
      <c r="ED206" s="84"/>
      <c r="EE206" s="84"/>
      <c r="EF206" s="84"/>
      <c r="EG206" s="84"/>
      <c r="EH206" s="84"/>
      <c r="EI206" s="129"/>
      <c r="EJ206" s="84"/>
      <c r="EK206" s="84"/>
      <c r="EL206" s="84"/>
      <c r="EM206" s="84"/>
      <c r="EN206" s="84"/>
      <c r="EO206" s="84"/>
      <c r="EP206" s="3"/>
      <c r="EQ206" s="84"/>
      <c r="ER206" s="1"/>
    </row>
    <row r="207" spans="10:148" ht="6.95" customHeight="1" x14ac:dyDescent="0.15">
      <c r="J207" s="162"/>
      <c r="L207" s="107"/>
      <c r="M207" s="107"/>
      <c r="N207" s="107"/>
      <c r="O207" s="3"/>
      <c r="P207" s="84"/>
      <c r="Q207" s="107"/>
      <c r="R207" s="107"/>
      <c r="S207" s="107"/>
      <c r="T207" s="200"/>
      <c r="U207" s="200"/>
      <c r="V207" s="200"/>
      <c r="W207" s="200"/>
      <c r="X207" s="107"/>
      <c r="Y207" s="84"/>
      <c r="Z207" s="84"/>
      <c r="AA207" s="3"/>
      <c r="AB207" s="84"/>
      <c r="AC207" s="165"/>
      <c r="AD207" s="56"/>
      <c r="AE207" s="3"/>
      <c r="AF207" s="3"/>
      <c r="AG207" s="3"/>
      <c r="AH207" s="3"/>
      <c r="AI207" s="3"/>
      <c r="AJ207" s="84"/>
      <c r="AK207" s="200"/>
      <c r="AL207" s="200"/>
      <c r="AM207" s="200"/>
      <c r="AN207" s="200"/>
      <c r="AO207" s="196" t="s">
        <v>42</v>
      </c>
      <c r="AP207" s="196"/>
      <c r="AQ207" s="196"/>
      <c r="AR207" s="196">
        <v>4</v>
      </c>
      <c r="AS207" s="196"/>
      <c r="AT207" s="196" t="s">
        <v>43</v>
      </c>
      <c r="AU207" s="196"/>
      <c r="AV207" s="196"/>
      <c r="AW207" s="84"/>
      <c r="AX207" s="84"/>
      <c r="AY207" s="3"/>
      <c r="AZ207" s="3"/>
      <c r="BA207" s="3"/>
      <c r="BB207" s="3"/>
      <c r="BC207" s="84"/>
      <c r="BD207" s="107"/>
      <c r="BE207" s="107"/>
      <c r="BF207" s="107"/>
      <c r="BG207" s="107"/>
      <c r="BH207" s="196"/>
      <c r="BI207" s="196"/>
      <c r="BJ207" s="196"/>
      <c r="BK207" s="196"/>
      <c r="BL207" s="196"/>
      <c r="BM207" s="196"/>
      <c r="BN207" s="196"/>
      <c r="BO207" s="196"/>
      <c r="BP207" s="99"/>
      <c r="BR207" s="56"/>
      <c r="BS207" s="3"/>
      <c r="BT207" s="3"/>
      <c r="BU207" s="3"/>
      <c r="BV207" s="3"/>
      <c r="BW207" s="3"/>
      <c r="BX207" s="84"/>
      <c r="BY207" s="200"/>
      <c r="BZ207" s="200"/>
      <c r="CA207" s="200"/>
      <c r="CB207" s="200"/>
      <c r="CC207" s="196" t="s">
        <v>42</v>
      </c>
      <c r="CD207" s="196"/>
      <c r="CE207" s="196"/>
      <c r="CF207" s="196">
        <v>2</v>
      </c>
      <c r="CG207" s="196"/>
      <c r="CH207" s="196" t="s">
        <v>43</v>
      </c>
      <c r="CI207" s="196"/>
      <c r="CJ207" s="196"/>
      <c r="CK207" s="84"/>
      <c r="CL207" s="84"/>
      <c r="CM207" s="3"/>
      <c r="CN207" s="3"/>
      <c r="CO207" s="3"/>
      <c r="CP207" s="3"/>
      <c r="CQ207" s="84"/>
      <c r="CR207" s="200"/>
      <c r="CS207" s="200"/>
      <c r="CT207" s="200"/>
      <c r="CU207" s="200"/>
      <c r="CV207" s="196"/>
      <c r="CW207" s="196"/>
      <c r="CX207" s="196"/>
      <c r="CY207" s="196"/>
      <c r="CZ207" s="196"/>
      <c r="DA207" s="196"/>
      <c r="DB207" s="196"/>
      <c r="DC207" s="196"/>
      <c r="DD207" s="99"/>
      <c r="DF207" s="127"/>
      <c r="DG207" s="3"/>
      <c r="DH207" s="3"/>
      <c r="DI207" s="3"/>
      <c r="DJ207" s="3"/>
      <c r="DK207" s="84"/>
      <c r="DL207" s="84"/>
      <c r="DM207" s="84"/>
      <c r="DN207" s="84"/>
      <c r="DO207" s="84"/>
      <c r="DP207" s="88"/>
      <c r="DQ207" s="88"/>
      <c r="DR207" s="88"/>
      <c r="DS207" s="88"/>
      <c r="DT207" s="88"/>
      <c r="DU207" s="88"/>
      <c r="DV207" s="88"/>
      <c r="DW207" s="84"/>
      <c r="DX207" s="84"/>
      <c r="DY207" s="84"/>
      <c r="DZ207" s="3"/>
      <c r="EA207" s="3"/>
      <c r="EB207" s="3"/>
      <c r="EC207" s="3"/>
      <c r="ED207" s="84"/>
      <c r="EE207" s="84"/>
      <c r="EF207" s="84"/>
      <c r="EG207" s="84"/>
      <c r="EH207" s="84"/>
      <c r="EI207" s="130"/>
      <c r="EJ207" s="84"/>
      <c r="EK207" s="84"/>
      <c r="EL207" s="84"/>
      <c r="EM207" s="88"/>
      <c r="EN207" s="88"/>
      <c r="EO207" s="88"/>
      <c r="EP207" s="88"/>
      <c r="EQ207" s="88"/>
      <c r="ER207" s="1"/>
    </row>
    <row r="208" spans="10:148" ht="6.95" customHeight="1" x14ac:dyDescent="0.15">
      <c r="J208" s="162"/>
      <c r="L208" s="3"/>
      <c r="M208" s="3"/>
      <c r="N208" s="3"/>
      <c r="O208" s="3"/>
      <c r="P208" s="84"/>
      <c r="Q208" s="107"/>
      <c r="R208" s="107"/>
      <c r="S208" s="107"/>
      <c r="T208" s="107"/>
      <c r="U208" s="196" t="s">
        <v>42</v>
      </c>
      <c r="V208" s="196"/>
      <c r="W208" s="196"/>
      <c r="X208" s="196">
        <v>1</v>
      </c>
      <c r="Y208" s="196"/>
      <c r="Z208" s="196" t="s">
        <v>43</v>
      </c>
      <c r="AA208" s="196"/>
      <c r="AB208" s="196"/>
      <c r="AC208" s="165"/>
      <c r="AD208" s="52"/>
      <c r="AE208" s="188"/>
      <c r="AF208" s="188"/>
      <c r="AG208" s="188"/>
      <c r="AH208" s="188"/>
      <c r="AI208" s="188"/>
      <c r="AJ208" s="188"/>
      <c r="AK208" s="188"/>
      <c r="AL208" s="88"/>
      <c r="AM208" s="88"/>
      <c r="AN208" s="88"/>
      <c r="AO208" s="196"/>
      <c r="AP208" s="196"/>
      <c r="AQ208" s="196"/>
      <c r="AR208" s="196"/>
      <c r="AS208" s="196"/>
      <c r="AT208" s="196"/>
      <c r="AU208" s="196"/>
      <c r="AV208" s="196"/>
      <c r="AW208" s="88"/>
      <c r="AX208" s="88"/>
      <c r="AY208" s="2"/>
      <c r="AZ208" s="2"/>
      <c r="BA208" s="2"/>
      <c r="BB208" s="2"/>
      <c r="BC208" s="2"/>
      <c r="BD208" s="2"/>
      <c r="BE208" s="88"/>
      <c r="BF208" s="88"/>
      <c r="BG208" s="88"/>
      <c r="BH208" s="196"/>
      <c r="BI208" s="196"/>
      <c r="BJ208" s="196"/>
      <c r="BK208" s="196"/>
      <c r="BL208" s="196"/>
      <c r="BM208" s="196"/>
      <c r="BN208" s="196"/>
      <c r="BO208" s="196"/>
      <c r="BP208" s="99"/>
      <c r="BR208" s="52"/>
      <c r="BS208" s="181"/>
      <c r="BT208" s="181"/>
      <c r="BU208" s="181"/>
      <c r="BV208" s="181"/>
      <c r="BW208" s="181"/>
      <c r="BX208" s="181"/>
      <c r="BY208" s="181"/>
      <c r="BZ208" s="88"/>
      <c r="CA208" s="88"/>
      <c r="CB208" s="88"/>
      <c r="CC208" s="196"/>
      <c r="CD208" s="196"/>
      <c r="CE208" s="196"/>
      <c r="CF208" s="196"/>
      <c r="CG208" s="196"/>
      <c r="CH208" s="196"/>
      <c r="CI208" s="196"/>
      <c r="CJ208" s="196"/>
      <c r="CK208" s="88"/>
      <c r="CL208" s="88"/>
      <c r="CM208" s="181"/>
      <c r="CN208" s="181"/>
      <c r="CO208" s="181"/>
      <c r="CP208" s="181"/>
      <c r="CQ208" s="181"/>
      <c r="CR208" s="181"/>
      <c r="CS208" s="88"/>
      <c r="CT208" s="88"/>
      <c r="CU208" s="88"/>
      <c r="CV208" s="196"/>
      <c r="CW208" s="196"/>
      <c r="CX208" s="196"/>
      <c r="CY208" s="196"/>
      <c r="CZ208" s="196"/>
      <c r="DA208" s="196"/>
      <c r="DB208" s="196"/>
      <c r="DC208" s="196"/>
      <c r="DD208" s="99"/>
      <c r="DF208" s="124"/>
      <c r="DG208" s="2"/>
      <c r="DH208" s="2"/>
      <c r="DI208" s="2"/>
      <c r="DJ208" s="2"/>
      <c r="DK208" s="2"/>
      <c r="DL208" s="2"/>
      <c r="DM208" s="88"/>
      <c r="DN208" s="88"/>
      <c r="DO208" s="88"/>
      <c r="DP208" s="88"/>
      <c r="DQ208" s="88"/>
      <c r="DR208" s="88"/>
      <c r="DS208" s="88"/>
      <c r="DT208" s="88"/>
      <c r="DU208" s="88"/>
      <c r="DV208" s="88"/>
      <c r="DW208" s="88"/>
      <c r="DX208" s="88"/>
      <c r="DY208" s="88"/>
      <c r="DZ208" s="2"/>
      <c r="EA208" s="2"/>
      <c r="EB208" s="2"/>
      <c r="EC208" s="2"/>
      <c r="ED208" s="2"/>
      <c r="EE208" s="2"/>
      <c r="EF208" s="88"/>
      <c r="EG208" s="88"/>
      <c r="EH208" s="88"/>
      <c r="EI208" s="130"/>
      <c r="EJ208" s="88"/>
      <c r="EK208" s="88"/>
      <c r="EL208" s="88"/>
      <c r="EM208" s="88"/>
      <c r="EN208" s="88"/>
      <c r="EO208" s="88"/>
      <c r="EP208" s="88"/>
      <c r="EQ208" s="88"/>
      <c r="ER208" s="1"/>
    </row>
    <row r="209" spans="10:148" ht="6.95" customHeight="1" x14ac:dyDescent="0.15">
      <c r="J209" s="162"/>
      <c r="L209" s="2"/>
      <c r="M209" s="2"/>
      <c r="N209" s="2"/>
      <c r="O209" s="2"/>
      <c r="P209" s="2"/>
      <c r="Q209" s="2"/>
      <c r="R209" s="88"/>
      <c r="S209" s="88"/>
      <c r="T209" s="88"/>
      <c r="U209" s="196"/>
      <c r="V209" s="196"/>
      <c r="W209" s="196"/>
      <c r="X209" s="196"/>
      <c r="Y209" s="196"/>
      <c r="Z209" s="196"/>
      <c r="AA209" s="196"/>
      <c r="AB209" s="196"/>
      <c r="AC209" s="165"/>
      <c r="AD209" s="83"/>
      <c r="AE209" s="82"/>
      <c r="AF209" s="197" t="s">
        <v>28</v>
      </c>
      <c r="AG209" s="197"/>
      <c r="AH209" s="197"/>
      <c r="AI209" s="197"/>
      <c r="AJ209" s="82"/>
      <c r="AK209" s="82"/>
      <c r="AL209" s="82"/>
      <c r="AM209" s="2"/>
      <c r="AN209" s="2"/>
      <c r="AO209" s="2"/>
      <c r="AP209" s="2"/>
      <c r="AQ209" s="2"/>
      <c r="AR209" s="2"/>
      <c r="AS209" s="2"/>
      <c r="AT209" s="2"/>
      <c r="AU209" s="3"/>
      <c r="AV209" s="82"/>
      <c r="AW209" s="88"/>
      <c r="AX209" s="88"/>
      <c r="AY209" s="197" t="s">
        <v>27</v>
      </c>
      <c r="AZ209" s="197"/>
      <c r="BA209" s="197"/>
      <c r="BB209" s="197"/>
      <c r="BC209" s="82"/>
      <c r="BD209" s="82"/>
      <c r="BE209" s="3"/>
      <c r="BF209" s="3"/>
      <c r="BG209" s="3"/>
      <c r="BH209" s="3"/>
      <c r="BI209" s="198"/>
      <c r="BJ209" s="198"/>
      <c r="BK209" s="198"/>
      <c r="BL209" s="198"/>
      <c r="BM209" s="1"/>
      <c r="BN209" s="1"/>
      <c r="BO209" s="1"/>
      <c r="BP209" s="99"/>
      <c r="BR209" s="83"/>
      <c r="BS209" s="82"/>
      <c r="BT209" s="197" t="s">
        <v>28</v>
      </c>
      <c r="BU209" s="197"/>
      <c r="BV209" s="197"/>
      <c r="BW209" s="197"/>
      <c r="BX209" s="82"/>
      <c r="BY209" s="82"/>
      <c r="BZ209" s="82"/>
      <c r="CA209" s="181"/>
      <c r="CB209" s="181"/>
      <c r="CC209" s="181"/>
      <c r="CD209" s="181"/>
      <c r="CE209" s="181"/>
      <c r="CF209" s="181"/>
      <c r="CG209" s="181"/>
      <c r="CH209" s="181"/>
      <c r="CI209" s="3"/>
      <c r="CJ209" s="82"/>
      <c r="CK209" s="88"/>
      <c r="CL209" s="88"/>
      <c r="CM209" s="197" t="s">
        <v>27</v>
      </c>
      <c r="CN209" s="197"/>
      <c r="CO209" s="197"/>
      <c r="CP209" s="197"/>
      <c r="CQ209" s="82"/>
      <c r="CR209" s="82"/>
      <c r="CS209" s="3"/>
      <c r="CT209" s="3"/>
      <c r="CU209" s="3"/>
      <c r="CV209" s="3"/>
      <c r="CW209" s="198"/>
      <c r="CX209" s="198"/>
      <c r="CY209" s="198"/>
      <c r="CZ209" s="198"/>
      <c r="DA209" s="1"/>
      <c r="DB209" s="1"/>
      <c r="DC209" s="1"/>
      <c r="DD209" s="99"/>
      <c r="DF209" s="127"/>
      <c r="DG209" s="82"/>
      <c r="DH209" s="82"/>
      <c r="DI209" s="82"/>
      <c r="DJ209" s="2"/>
      <c r="DK209" s="82"/>
      <c r="DL209" s="82"/>
      <c r="DM209" s="82"/>
      <c r="DN209" s="2"/>
      <c r="DO209" s="2"/>
      <c r="DP209" s="2"/>
      <c r="DQ209" s="2"/>
      <c r="DR209" s="2"/>
      <c r="DS209" s="2"/>
      <c r="DT209" s="2"/>
      <c r="DU209" s="2"/>
      <c r="DV209" s="82"/>
      <c r="DW209" s="88"/>
      <c r="DX209" s="88"/>
      <c r="DY209" s="3"/>
      <c r="DZ209" s="82"/>
      <c r="EA209" s="82"/>
      <c r="EB209" s="82"/>
      <c r="EC209" s="82"/>
      <c r="ED209" s="82"/>
      <c r="EE209" s="82"/>
      <c r="EF209" s="3"/>
      <c r="EG209" s="3"/>
      <c r="EH209" s="3"/>
      <c r="EI209" s="131"/>
      <c r="EJ209" s="88"/>
      <c r="EK209" s="88"/>
      <c r="EL209" s="88"/>
      <c r="EM209" s="88"/>
      <c r="EN209" s="88"/>
      <c r="EO209" s="88"/>
      <c r="EP209" s="88"/>
      <c r="EQ209" s="88"/>
      <c r="ER209" s="1"/>
    </row>
    <row r="210" spans="10:148" ht="6.95" customHeight="1" x14ac:dyDescent="0.15"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7"/>
      <c r="Y210" s="167"/>
      <c r="Z210" s="167"/>
      <c r="AA210" s="167"/>
      <c r="AB210" s="165"/>
      <c r="AC210" s="165"/>
      <c r="AD210" s="56"/>
      <c r="AE210" s="3"/>
      <c r="AF210" s="197"/>
      <c r="AG210" s="197"/>
      <c r="AH210" s="197"/>
      <c r="AI210" s="197"/>
      <c r="AJ210" s="82"/>
      <c r="AK210" s="82"/>
      <c r="AL210" s="82"/>
      <c r="AM210" s="2"/>
      <c r="AN210" s="2"/>
      <c r="AO210" s="2"/>
      <c r="AP210" s="2"/>
      <c r="AQ210" s="2"/>
      <c r="AR210" s="2"/>
      <c r="AS210" s="2"/>
      <c r="AT210" s="2"/>
      <c r="AU210" s="3"/>
      <c r="AV210" s="82"/>
      <c r="AW210" s="82"/>
      <c r="AX210" s="3"/>
      <c r="AY210" s="197"/>
      <c r="AZ210" s="197"/>
      <c r="BA210" s="197"/>
      <c r="BB210" s="197"/>
      <c r="BC210" s="82"/>
      <c r="BD210" s="82"/>
      <c r="BE210" s="3"/>
      <c r="BF210" s="3"/>
      <c r="BG210" s="3"/>
      <c r="BH210" s="3"/>
      <c r="BI210" s="198"/>
      <c r="BJ210" s="198"/>
      <c r="BK210" s="198"/>
      <c r="BL210" s="198"/>
      <c r="BM210" s="1"/>
      <c r="BN210" s="1"/>
      <c r="BO210" s="1"/>
      <c r="BP210" s="99"/>
      <c r="BR210" s="56"/>
      <c r="BS210" s="3"/>
      <c r="BT210" s="197"/>
      <c r="BU210" s="197"/>
      <c r="BV210" s="197"/>
      <c r="BW210" s="197"/>
      <c r="BX210" s="82"/>
      <c r="BY210" s="82"/>
      <c r="BZ210" s="82"/>
      <c r="CA210" s="181"/>
      <c r="CB210" s="181"/>
      <c r="CC210" s="181"/>
      <c r="CD210" s="181"/>
      <c r="CE210" s="181"/>
      <c r="CF210" s="181"/>
      <c r="CG210" s="181"/>
      <c r="CH210" s="181"/>
      <c r="CI210" s="3"/>
      <c r="CJ210" s="82"/>
      <c r="CK210" s="82"/>
      <c r="CL210" s="3"/>
      <c r="CM210" s="197"/>
      <c r="CN210" s="197"/>
      <c r="CO210" s="197"/>
      <c r="CP210" s="197"/>
      <c r="CQ210" s="82"/>
      <c r="CR210" s="82"/>
      <c r="CS210" s="3"/>
      <c r="CT210" s="3"/>
      <c r="CU210" s="3"/>
      <c r="CV210" s="3"/>
      <c r="CW210" s="198"/>
      <c r="CX210" s="198"/>
      <c r="CY210" s="198"/>
      <c r="CZ210" s="198"/>
      <c r="DA210" s="1"/>
      <c r="DB210" s="1"/>
      <c r="DC210" s="1"/>
      <c r="DD210" s="99"/>
      <c r="DF210" s="127"/>
      <c r="DG210" s="82"/>
      <c r="DH210" s="82"/>
      <c r="DI210" s="82"/>
      <c r="DJ210" s="2"/>
      <c r="DK210" s="82"/>
      <c r="DL210" s="82"/>
      <c r="DM210" s="82"/>
      <c r="DN210" s="2"/>
      <c r="DO210" s="2"/>
      <c r="DP210" s="2"/>
      <c r="DQ210" s="2"/>
      <c r="DR210" s="2"/>
      <c r="DS210" s="2"/>
      <c r="DT210" s="2"/>
      <c r="DU210" s="2"/>
      <c r="DV210" s="3"/>
      <c r="DW210" s="82"/>
      <c r="DX210" s="82"/>
      <c r="DY210" s="3"/>
      <c r="DZ210" s="82"/>
      <c r="EA210" s="82"/>
      <c r="EB210" s="82"/>
      <c r="EC210" s="82"/>
      <c r="ED210" s="82"/>
      <c r="EE210" s="82"/>
      <c r="EF210" s="3"/>
      <c r="EG210" s="3"/>
      <c r="EH210" s="3"/>
      <c r="EI210" s="131"/>
      <c r="EJ210" s="1"/>
      <c r="EK210" s="1"/>
      <c r="EL210" s="1"/>
      <c r="EM210" s="1"/>
      <c r="EN210" s="1"/>
      <c r="EO210" s="1"/>
      <c r="EP210" s="1"/>
      <c r="EQ210" s="1"/>
      <c r="ER210" s="1"/>
    </row>
    <row r="211" spans="10:148" ht="6.95" customHeight="1" x14ac:dyDescent="0.15"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5"/>
      <c r="AA211" s="165"/>
      <c r="AB211" s="165"/>
      <c r="AC211" s="165"/>
      <c r="AD211" s="56"/>
      <c r="AE211" s="3"/>
      <c r="AF211" s="3"/>
      <c r="AG211" s="3"/>
      <c r="AH211" s="3"/>
      <c r="AI211" s="2"/>
      <c r="AJ211" s="2"/>
      <c r="AK211" s="2"/>
      <c r="AL211" s="2"/>
      <c r="AM211" s="2"/>
      <c r="AN211" s="82"/>
      <c r="AO211" s="82"/>
      <c r="AP211" s="82"/>
      <c r="AQ211" s="82"/>
      <c r="AR211" s="82"/>
      <c r="AS211" s="82"/>
      <c r="AT211" s="2"/>
      <c r="AU211" s="3"/>
      <c r="AV211" s="82"/>
      <c r="AW211" s="82"/>
      <c r="AX211" s="3"/>
      <c r="AY211" s="3"/>
      <c r="AZ211" s="2"/>
      <c r="BA211" s="3"/>
      <c r="BB211" s="82"/>
      <c r="BC211" s="82"/>
      <c r="BD211" s="3"/>
      <c r="BE211" s="3"/>
      <c r="BF211" s="3"/>
      <c r="BG211" s="3"/>
      <c r="BH211" s="3"/>
      <c r="BI211" s="3"/>
      <c r="BJ211" s="3"/>
      <c r="BK211" s="3"/>
      <c r="BL211" s="3"/>
      <c r="BM211" s="1"/>
      <c r="BN211" s="1"/>
      <c r="BO211" s="1"/>
      <c r="BP211" s="99"/>
      <c r="BR211" s="56"/>
      <c r="BS211" s="3"/>
      <c r="BT211" s="3"/>
      <c r="BU211" s="3"/>
      <c r="BV211" s="3"/>
      <c r="BW211" s="181"/>
      <c r="BX211" s="181"/>
      <c r="BY211" s="181"/>
      <c r="BZ211" s="181"/>
      <c r="CA211" s="181"/>
      <c r="CB211" s="82"/>
      <c r="CC211" s="82"/>
      <c r="CD211" s="82"/>
      <c r="CE211" s="82"/>
      <c r="CF211" s="82"/>
      <c r="CG211" s="82"/>
      <c r="CH211" s="181"/>
      <c r="CI211" s="3"/>
      <c r="CJ211" s="82"/>
      <c r="CK211" s="82"/>
      <c r="CL211" s="3"/>
      <c r="CM211" s="3"/>
      <c r="CN211" s="181"/>
      <c r="CO211" s="3"/>
      <c r="CP211" s="82"/>
      <c r="CQ211" s="82"/>
      <c r="CR211" s="3"/>
      <c r="CS211" s="3"/>
      <c r="CT211" s="3"/>
      <c r="CU211" s="3"/>
      <c r="CV211" s="3"/>
      <c r="CW211" s="3"/>
      <c r="CX211" s="3"/>
      <c r="CY211" s="3"/>
      <c r="CZ211" s="3"/>
      <c r="DA211" s="1"/>
      <c r="DB211" s="1"/>
      <c r="DC211" s="1"/>
      <c r="DD211" s="99"/>
      <c r="DF211" s="127"/>
      <c r="DG211" s="3"/>
      <c r="DH211" s="3"/>
      <c r="DI211" s="3"/>
      <c r="DJ211" s="2"/>
      <c r="DK211" s="2"/>
      <c r="DL211" s="2"/>
      <c r="DM211" s="2"/>
      <c r="DN211" s="2"/>
      <c r="DO211" s="82"/>
      <c r="DP211" s="82"/>
      <c r="DQ211" s="82"/>
      <c r="DR211" s="82"/>
      <c r="DS211" s="82"/>
      <c r="DT211" s="82"/>
      <c r="DU211" s="2"/>
      <c r="DV211" s="3"/>
      <c r="DW211" s="82"/>
      <c r="DX211" s="82"/>
      <c r="DY211" s="82"/>
      <c r="DZ211" s="3"/>
      <c r="EA211" s="2"/>
      <c r="EB211" s="3"/>
      <c r="EC211" s="82"/>
      <c r="ED211" s="82"/>
      <c r="EE211" s="3"/>
      <c r="EF211" s="3"/>
      <c r="EG211" s="3"/>
      <c r="EH211" s="3"/>
      <c r="EI211" s="131"/>
      <c r="EJ211" s="1"/>
      <c r="EK211" s="1"/>
      <c r="EL211" s="1"/>
      <c r="EM211" s="1"/>
      <c r="EN211" s="1"/>
      <c r="EO211" s="1"/>
      <c r="EP211" s="1"/>
      <c r="EQ211" s="1"/>
      <c r="ER211" s="1"/>
    </row>
    <row r="212" spans="10:148" ht="6.95" customHeight="1" x14ac:dyDescent="0.15">
      <c r="J212" s="162"/>
      <c r="K212" s="82"/>
      <c r="L212" s="197" t="s">
        <v>30</v>
      </c>
      <c r="M212" s="197"/>
      <c r="N212" s="197"/>
      <c r="O212" s="197"/>
      <c r="P212" s="82"/>
      <c r="Q212" s="82"/>
      <c r="R212" s="82"/>
      <c r="S212" s="82"/>
      <c r="T212" s="82"/>
      <c r="U212" s="2"/>
      <c r="V212" s="2"/>
      <c r="W212" s="82"/>
      <c r="X212" s="82"/>
      <c r="Y212" s="82"/>
      <c r="Z212" s="82"/>
      <c r="AA212" s="82"/>
      <c r="AB212" s="82"/>
      <c r="AC212" s="165"/>
      <c r="AD212" s="56"/>
      <c r="AE212" s="3"/>
      <c r="AF212" s="199">
        <f>CHOOSE(SUM((AD188&gt;={700,750,800,850,900,950})*1), 500,550,600,650,750,800)</f>
        <v>600</v>
      </c>
      <c r="AG212" s="199"/>
      <c r="AH212" s="199"/>
      <c r="AI212" s="199"/>
      <c r="AJ212" s="4"/>
      <c r="AK212" s="4"/>
      <c r="AL212" s="4"/>
      <c r="AM212" s="4"/>
      <c r="AN212" s="82"/>
      <c r="AO212" s="82"/>
      <c r="AP212" s="82"/>
      <c r="AQ212" s="82"/>
      <c r="AR212" s="82"/>
      <c r="AS212" s="82"/>
      <c r="AT212" s="4"/>
      <c r="AU212" s="3"/>
      <c r="AV212" s="3"/>
      <c r="AW212" s="82"/>
      <c r="AX212" s="3"/>
      <c r="AY212" s="3"/>
      <c r="AZ212" s="4"/>
      <c r="BA212" s="3"/>
      <c r="BB212" s="3"/>
      <c r="BC212" s="3"/>
      <c r="BD212" s="3"/>
      <c r="BE212" s="3"/>
      <c r="BF212" s="3"/>
      <c r="BG212" s="3"/>
      <c r="BH212" s="197">
        <f>CHOOSE(SUM(($AD$138&gt;={700,750})*1), 700,800)</f>
        <v>800</v>
      </c>
      <c r="BI212" s="197"/>
      <c r="BJ212" s="197"/>
      <c r="BK212" s="197"/>
      <c r="BL212" s="3"/>
      <c r="BM212" s="1"/>
      <c r="BN212" s="1"/>
      <c r="BO212" s="1"/>
      <c r="BP212" s="99"/>
      <c r="BR212" s="56"/>
      <c r="BS212" s="3"/>
      <c r="BT212" s="199">
        <f>CHOOSE(SUM((BR188&gt;={700,750,800,850,900,950})*1), 500,550,600,650,750,800)</f>
        <v>600</v>
      </c>
      <c r="BU212" s="199"/>
      <c r="BV212" s="199"/>
      <c r="BW212" s="199"/>
      <c r="BX212" s="4"/>
      <c r="BY212" s="4"/>
      <c r="BZ212" s="4"/>
      <c r="CA212" s="4"/>
      <c r="CB212" s="82"/>
      <c r="CC212" s="82"/>
      <c r="CD212" s="82"/>
      <c r="CE212" s="82"/>
      <c r="CF212" s="82"/>
      <c r="CG212" s="82"/>
      <c r="CH212" s="4"/>
      <c r="CI212" s="3"/>
      <c r="CJ212" s="3"/>
      <c r="CK212" s="82"/>
      <c r="CL212" s="3"/>
      <c r="CM212" s="3"/>
      <c r="CN212" s="4"/>
      <c r="CO212" s="3"/>
      <c r="CP212" s="3"/>
      <c r="CQ212" s="3"/>
      <c r="CR212" s="3"/>
      <c r="CS212" s="3"/>
      <c r="CT212" s="3"/>
      <c r="CU212" s="3"/>
      <c r="CV212" s="197">
        <f>CHOOSE(SUM(($BR$138&gt;={700,750})*1), 700,800)</f>
        <v>800</v>
      </c>
      <c r="CW212" s="197"/>
      <c r="CX212" s="197"/>
      <c r="CY212" s="197"/>
      <c r="CZ212" s="3"/>
      <c r="DA212" s="1"/>
      <c r="DB212" s="1"/>
      <c r="DC212" s="1"/>
      <c r="DD212" s="99"/>
      <c r="DF212" s="127"/>
      <c r="DG212" s="3"/>
      <c r="DH212" s="3"/>
      <c r="DI212" s="3"/>
      <c r="DJ212" s="4"/>
      <c r="DK212" s="4"/>
      <c r="DL212" s="4"/>
      <c r="DM212" s="4"/>
      <c r="DN212" s="4"/>
      <c r="DO212" s="82"/>
      <c r="DP212" s="82"/>
      <c r="DQ212" s="82"/>
      <c r="DR212" s="82"/>
      <c r="DS212" s="82"/>
      <c r="DT212" s="82"/>
      <c r="DU212" s="4"/>
      <c r="DV212" s="3"/>
      <c r="DW212" s="82"/>
      <c r="DX212" s="82"/>
      <c r="DY212" s="3"/>
      <c r="DZ212" s="3"/>
      <c r="EA212" s="2"/>
      <c r="EB212" s="3"/>
      <c r="EC212" s="3"/>
      <c r="ED212" s="3"/>
      <c r="EE212" s="3"/>
      <c r="EF212" s="3"/>
      <c r="EG212" s="3"/>
      <c r="EH212" s="3"/>
      <c r="EI212" s="132"/>
      <c r="EJ212" s="1"/>
      <c r="EK212" s="1"/>
      <c r="EL212" s="1"/>
      <c r="EM212" s="1"/>
      <c r="EN212" s="1"/>
      <c r="EO212" s="1"/>
      <c r="EP212" s="1"/>
      <c r="EQ212" s="1"/>
      <c r="ER212" s="1"/>
    </row>
    <row r="213" spans="10:148" ht="6.95" customHeight="1" x14ac:dyDescent="0.15">
      <c r="J213" s="162"/>
      <c r="K213" s="82"/>
      <c r="L213" s="197"/>
      <c r="M213" s="197"/>
      <c r="N213" s="197"/>
      <c r="O213" s="197"/>
      <c r="P213" s="82"/>
      <c r="Q213" s="106"/>
      <c r="R213" s="106"/>
      <c r="S213" s="106"/>
      <c r="T213" s="106"/>
      <c r="U213" s="2"/>
      <c r="V213" s="2"/>
      <c r="W213" s="82"/>
      <c r="X213" s="82"/>
      <c r="Y213" s="82"/>
      <c r="Z213" s="82"/>
      <c r="AA213" s="82"/>
      <c r="AB213" s="82"/>
      <c r="AC213" s="165"/>
      <c r="AD213" s="56"/>
      <c r="AE213" s="3"/>
      <c r="AF213" s="199"/>
      <c r="AG213" s="199"/>
      <c r="AH213" s="199"/>
      <c r="AI213" s="199"/>
      <c r="AJ213" s="4"/>
      <c r="AK213" s="4"/>
      <c r="AL213" s="4"/>
      <c r="AM213" s="4"/>
      <c r="AN213" s="82"/>
      <c r="AO213" s="82"/>
      <c r="AP213" s="82"/>
      <c r="AQ213" s="4"/>
      <c r="AR213" s="4"/>
      <c r="AS213" s="4"/>
      <c r="AT213" s="4"/>
      <c r="AU213" s="4"/>
      <c r="AV213" s="4"/>
      <c r="AW213" s="3"/>
      <c r="AX213" s="3"/>
      <c r="AY213" s="4"/>
      <c r="AZ213" s="4"/>
      <c r="BA213" s="4"/>
      <c r="BB213" s="4"/>
      <c r="BC213" s="4"/>
      <c r="BD213" s="4"/>
      <c r="BE213" s="4"/>
      <c r="BF213" s="4"/>
      <c r="BG213" s="4"/>
      <c r="BH213" s="197"/>
      <c r="BI213" s="197"/>
      <c r="BJ213" s="197"/>
      <c r="BK213" s="197"/>
      <c r="BL213" s="4"/>
      <c r="BM213" s="1"/>
      <c r="BN213" s="1"/>
      <c r="BO213" s="1"/>
      <c r="BP213" s="99"/>
      <c r="BR213" s="56"/>
      <c r="BS213" s="3"/>
      <c r="BT213" s="199"/>
      <c r="BU213" s="199"/>
      <c r="BV213" s="199"/>
      <c r="BW213" s="199"/>
      <c r="BX213" s="4"/>
      <c r="BY213" s="4"/>
      <c r="BZ213" s="4"/>
      <c r="CA213" s="4"/>
      <c r="CB213" s="82"/>
      <c r="CC213" s="82"/>
      <c r="CD213" s="82"/>
      <c r="CE213" s="4"/>
      <c r="CF213" s="4"/>
      <c r="CG213" s="4"/>
      <c r="CH213" s="4"/>
      <c r="CI213" s="4"/>
      <c r="CJ213" s="4"/>
      <c r="CK213" s="3"/>
      <c r="CL213" s="3"/>
      <c r="CM213" s="4"/>
      <c r="CN213" s="4"/>
      <c r="CO213" s="4"/>
      <c r="CP213" s="4"/>
      <c r="CQ213" s="4"/>
      <c r="CR213" s="4"/>
      <c r="CS213" s="4"/>
      <c r="CT213" s="4"/>
      <c r="CU213" s="4"/>
      <c r="CV213" s="197"/>
      <c r="CW213" s="197"/>
      <c r="CX213" s="197"/>
      <c r="CY213" s="197"/>
      <c r="CZ213" s="4"/>
      <c r="DA213" s="1"/>
      <c r="DB213" s="1"/>
      <c r="DC213" s="1"/>
      <c r="DD213" s="99"/>
      <c r="DF213" s="127"/>
      <c r="DG213" s="3"/>
      <c r="DH213" s="3"/>
      <c r="DI213" s="3"/>
      <c r="DJ213" s="4"/>
      <c r="DK213" s="4"/>
      <c r="DL213" s="4"/>
      <c r="DM213" s="4"/>
      <c r="DN213" s="4"/>
      <c r="DO213" s="82"/>
      <c r="DP213" s="82"/>
      <c r="DQ213" s="82"/>
      <c r="DR213" s="4"/>
      <c r="DS213" s="4"/>
      <c r="DT213" s="4"/>
      <c r="DU213" s="4"/>
      <c r="DV213" s="3"/>
      <c r="DW213" s="3"/>
      <c r="DX213" s="3"/>
      <c r="DY213" s="3"/>
      <c r="DZ213" s="3"/>
      <c r="EA213" s="4"/>
      <c r="EB213" s="4"/>
      <c r="EC213" s="4"/>
      <c r="ED213" s="4"/>
      <c r="EE213" s="4"/>
      <c r="EF213" s="4"/>
      <c r="EG213" s="4"/>
      <c r="EH213" s="4"/>
      <c r="EI213" s="132"/>
      <c r="EJ213" s="1"/>
      <c r="EK213" s="1"/>
      <c r="EL213" s="1"/>
      <c r="EM213" s="1"/>
      <c r="EN213" s="1"/>
      <c r="EO213" s="1"/>
      <c r="EP213" s="1"/>
      <c r="EQ213" s="1"/>
      <c r="ER213" s="1"/>
    </row>
    <row r="214" spans="10:148" ht="6.95" customHeight="1" x14ac:dyDescent="0.15">
      <c r="J214" s="162"/>
      <c r="K214" s="82"/>
      <c r="L214" s="85"/>
      <c r="M214" s="85"/>
      <c r="N214" s="85"/>
      <c r="O214" s="85"/>
      <c r="P214" s="85"/>
      <c r="Q214" s="106"/>
      <c r="R214" s="106"/>
      <c r="S214" s="106"/>
      <c r="T214" s="106"/>
      <c r="U214" s="85"/>
      <c r="V214" s="85"/>
      <c r="W214" s="85"/>
      <c r="X214" s="85"/>
      <c r="Y214" s="85"/>
      <c r="Z214" s="85"/>
      <c r="AA214" s="85"/>
      <c r="AB214" s="85"/>
      <c r="AC214" s="165"/>
      <c r="AD214" s="56"/>
      <c r="AE214" s="3"/>
      <c r="AF214" s="3"/>
      <c r="AG214" s="3"/>
      <c r="AH214" s="3"/>
      <c r="AI214" s="4"/>
      <c r="AJ214" s="4"/>
      <c r="AK214" s="4"/>
      <c r="AL214" s="4"/>
      <c r="AM214" s="88"/>
      <c r="AN214" s="88"/>
      <c r="AO214" s="88"/>
      <c r="AP214" s="88"/>
      <c r="AQ214" s="88"/>
      <c r="AR214" s="88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1"/>
      <c r="BN214" s="1"/>
      <c r="BO214" s="1"/>
      <c r="BP214" s="99"/>
      <c r="BR214" s="56"/>
      <c r="BS214" s="3"/>
      <c r="BT214" s="3"/>
      <c r="BU214" s="3"/>
      <c r="BV214" s="3"/>
      <c r="BW214" s="4"/>
      <c r="BX214" s="4"/>
      <c r="BY214" s="4"/>
      <c r="BZ214" s="4"/>
      <c r="CA214" s="88"/>
      <c r="CB214" s="88"/>
      <c r="CC214" s="88"/>
      <c r="CD214" s="88"/>
      <c r="CE214" s="88"/>
      <c r="CF214" s="8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1"/>
      <c r="DB214" s="1"/>
      <c r="DC214" s="1"/>
      <c r="DD214" s="99"/>
      <c r="DF214" s="127"/>
      <c r="DG214" s="3"/>
      <c r="DH214" s="3"/>
      <c r="DI214" s="3"/>
      <c r="DJ214" s="4"/>
      <c r="DK214" s="4"/>
      <c r="DL214" s="4"/>
      <c r="DM214" s="4"/>
      <c r="DN214" s="88"/>
      <c r="DO214" s="88"/>
      <c r="DP214" s="88"/>
      <c r="DQ214" s="88"/>
      <c r="DR214" s="88"/>
      <c r="DS214" s="88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133"/>
      <c r="EJ214" s="1"/>
      <c r="EK214" s="1"/>
      <c r="EL214" s="1"/>
      <c r="EM214" s="1"/>
      <c r="EN214" s="1"/>
      <c r="EO214" s="1"/>
      <c r="EP214" s="1"/>
      <c r="EQ214" s="1"/>
      <c r="ER214" s="1"/>
    </row>
    <row r="215" spans="10:148" ht="6.95" customHeight="1" x14ac:dyDescent="0.15">
      <c r="J215" s="162"/>
      <c r="K215" s="215">
        <v>565</v>
      </c>
      <c r="L215" s="215"/>
      <c r="M215" s="215"/>
      <c r="N215" s="215"/>
      <c r="O215" s="3"/>
      <c r="P215" s="3"/>
      <c r="Q215" s="2"/>
      <c r="R215" s="2"/>
      <c r="S215" s="85"/>
      <c r="T215" s="85"/>
      <c r="U215" s="118"/>
      <c r="V215" s="118"/>
      <c r="W215" s="118"/>
      <c r="X215" s="118"/>
      <c r="Y215" s="3"/>
      <c r="Z215" s="3"/>
      <c r="AA215" s="3"/>
      <c r="AB215" s="3"/>
      <c r="AC215" s="165"/>
      <c r="AD215" s="56"/>
      <c r="AE215" s="3"/>
      <c r="AF215" s="3"/>
      <c r="AG215" s="3"/>
      <c r="AH215" s="3"/>
      <c r="AI215" s="4"/>
      <c r="AJ215" s="4"/>
      <c r="AK215" s="84"/>
      <c r="AL215" s="84"/>
      <c r="AM215" s="88"/>
      <c r="AN215" s="88"/>
      <c r="AO215" s="196" t="s">
        <v>42</v>
      </c>
      <c r="AP215" s="196"/>
      <c r="AQ215" s="196"/>
      <c r="AR215" s="196">
        <v>17</v>
      </c>
      <c r="AS215" s="196"/>
      <c r="AT215" s="196" t="s">
        <v>43</v>
      </c>
      <c r="AU215" s="196"/>
      <c r="AV215" s="196"/>
      <c r="AW215" s="4"/>
      <c r="AX215" s="4"/>
      <c r="AY215" s="4"/>
      <c r="AZ215" s="88"/>
      <c r="BA215" s="4"/>
      <c r="BB215" s="200">
        <f>CHOOSE(SUM(($AD$138&gt;={700,750})*1), 300,200)</f>
        <v>200</v>
      </c>
      <c r="BC215" s="200"/>
      <c r="BD215" s="200"/>
      <c r="BE215" s="200"/>
      <c r="BF215" s="4"/>
      <c r="BG215" s="88"/>
      <c r="BH215" s="196" t="s">
        <v>42</v>
      </c>
      <c r="BI215" s="196"/>
      <c r="BJ215" s="196"/>
      <c r="BK215" s="196">
        <v>4</v>
      </c>
      <c r="BL215" s="196"/>
      <c r="BM215" s="196" t="s">
        <v>43</v>
      </c>
      <c r="BN215" s="196"/>
      <c r="BO215" s="196"/>
      <c r="BP215" s="99"/>
      <c r="BR215" s="56"/>
      <c r="BS215" s="3"/>
      <c r="BT215" s="3"/>
      <c r="BU215" s="3"/>
      <c r="BV215" s="3"/>
      <c r="BW215" s="4"/>
      <c r="BX215" s="4"/>
      <c r="BY215" s="84"/>
      <c r="BZ215" s="84"/>
      <c r="CA215" s="88"/>
      <c r="CB215" s="88"/>
      <c r="CC215" s="196" t="s">
        <v>42</v>
      </c>
      <c r="CD215" s="196"/>
      <c r="CE215" s="196"/>
      <c r="CF215" s="196">
        <v>8</v>
      </c>
      <c r="CG215" s="196"/>
      <c r="CH215" s="196" t="s">
        <v>43</v>
      </c>
      <c r="CI215" s="196"/>
      <c r="CJ215" s="196"/>
      <c r="CK215" s="4"/>
      <c r="CL215" s="4"/>
      <c r="CM215" s="4"/>
      <c r="CN215" s="88"/>
      <c r="CO215" s="4"/>
      <c r="CP215" s="200">
        <f>CHOOSE(SUM(($BR$138&gt;={700,750})*1), 300,200)</f>
        <v>200</v>
      </c>
      <c r="CQ215" s="200"/>
      <c r="CR215" s="200"/>
      <c r="CS215" s="200"/>
      <c r="CT215" s="4"/>
      <c r="CU215" s="88"/>
      <c r="CV215" s="196" t="s">
        <v>42</v>
      </c>
      <c r="CW215" s="196"/>
      <c r="CX215" s="196"/>
      <c r="CY215" s="196">
        <v>2</v>
      </c>
      <c r="CZ215" s="196"/>
      <c r="DA215" s="196" t="s">
        <v>43</v>
      </c>
      <c r="DB215" s="196"/>
      <c r="DC215" s="196"/>
      <c r="DD215" s="99"/>
      <c r="DF215" s="127"/>
      <c r="DG215" s="3"/>
      <c r="DH215" s="3"/>
      <c r="DI215" s="3"/>
      <c r="DJ215" s="4"/>
      <c r="DK215" s="4"/>
      <c r="DL215" s="84"/>
      <c r="DM215" s="84"/>
      <c r="DN215" s="88"/>
      <c r="DO215" s="88"/>
      <c r="DP215" s="88"/>
      <c r="DQ215" s="88"/>
      <c r="DR215" s="88"/>
      <c r="DS215" s="88"/>
      <c r="DT215" s="88"/>
      <c r="DU215" s="88"/>
      <c r="DV215" s="88"/>
      <c r="DW215" s="4"/>
      <c r="DX215" s="4"/>
      <c r="DY215" s="4"/>
      <c r="DZ215" s="4"/>
      <c r="EA215" s="4"/>
      <c r="EB215" s="4"/>
      <c r="EC215" s="84"/>
      <c r="ED215" s="84"/>
      <c r="EE215" s="84"/>
      <c r="EF215" s="4"/>
      <c r="EG215" s="4"/>
      <c r="EH215" s="88"/>
      <c r="EI215" s="130"/>
      <c r="EJ215" s="1"/>
      <c r="EK215" s="1"/>
      <c r="EL215" s="1"/>
      <c r="EM215" s="1"/>
      <c r="EN215" s="1"/>
      <c r="EO215" s="1"/>
      <c r="EP215" s="1"/>
      <c r="EQ215" s="1"/>
      <c r="ER215" s="1"/>
    </row>
    <row r="216" spans="10:148" ht="6.95" customHeight="1" x14ac:dyDescent="0.15">
      <c r="J216" s="162"/>
      <c r="K216" s="215"/>
      <c r="L216" s="215"/>
      <c r="M216" s="215"/>
      <c r="N216" s="215"/>
      <c r="O216" s="3"/>
      <c r="P216" s="3"/>
      <c r="Q216" s="4"/>
      <c r="R216" s="4"/>
      <c r="S216" s="85"/>
      <c r="T216" s="85"/>
      <c r="U216" s="118"/>
      <c r="V216" s="118"/>
      <c r="W216" s="118"/>
      <c r="X216" s="118"/>
      <c r="Y216" s="3"/>
      <c r="Z216" s="3"/>
      <c r="AA216" s="3"/>
      <c r="AB216" s="3"/>
      <c r="AC216" s="165"/>
      <c r="AD216" s="56"/>
      <c r="AE216" s="3"/>
      <c r="AF216" s="2"/>
      <c r="AG216" s="2"/>
      <c r="AH216" s="2"/>
      <c r="AI216" s="2"/>
      <c r="AJ216" s="2"/>
      <c r="AK216" s="84"/>
      <c r="AL216" s="84"/>
      <c r="AM216" s="88"/>
      <c r="AN216" s="88"/>
      <c r="AO216" s="196"/>
      <c r="AP216" s="196"/>
      <c r="AQ216" s="196"/>
      <c r="AR216" s="196"/>
      <c r="AS216" s="196"/>
      <c r="AT216" s="196"/>
      <c r="AU216" s="196"/>
      <c r="AV216" s="196"/>
      <c r="AW216" s="84"/>
      <c r="AX216" s="84"/>
      <c r="AY216" s="4"/>
      <c r="AZ216" s="88"/>
      <c r="BA216" s="4"/>
      <c r="BB216" s="200"/>
      <c r="BC216" s="200"/>
      <c r="BD216" s="200"/>
      <c r="BE216" s="200"/>
      <c r="BF216" s="4"/>
      <c r="BG216" s="88"/>
      <c r="BH216" s="196"/>
      <c r="BI216" s="196"/>
      <c r="BJ216" s="196"/>
      <c r="BK216" s="196"/>
      <c r="BL216" s="196"/>
      <c r="BM216" s="196"/>
      <c r="BN216" s="196"/>
      <c r="BO216" s="196"/>
      <c r="BP216" s="99"/>
      <c r="BR216" s="56"/>
      <c r="BS216" s="3"/>
      <c r="BT216" s="181"/>
      <c r="BU216" s="181"/>
      <c r="BV216" s="181"/>
      <c r="BW216" s="181"/>
      <c r="BX216" s="181"/>
      <c r="BY216" s="84"/>
      <c r="BZ216" s="84"/>
      <c r="CA216" s="88"/>
      <c r="CB216" s="88"/>
      <c r="CC216" s="196"/>
      <c r="CD216" s="196"/>
      <c r="CE216" s="196"/>
      <c r="CF216" s="196"/>
      <c r="CG216" s="196"/>
      <c r="CH216" s="196"/>
      <c r="CI216" s="196"/>
      <c r="CJ216" s="196"/>
      <c r="CK216" s="84"/>
      <c r="CL216" s="84"/>
      <c r="CM216" s="4"/>
      <c r="CN216" s="88"/>
      <c r="CO216" s="4"/>
      <c r="CP216" s="200"/>
      <c r="CQ216" s="200"/>
      <c r="CR216" s="200"/>
      <c r="CS216" s="200"/>
      <c r="CT216" s="4"/>
      <c r="CU216" s="88"/>
      <c r="CV216" s="196"/>
      <c r="CW216" s="196"/>
      <c r="CX216" s="196"/>
      <c r="CY216" s="196"/>
      <c r="CZ216" s="196"/>
      <c r="DA216" s="196"/>
      <c r="DB216" s="196"/>
      <c r="DC216" s="196"/>
      <c r="DD216" s="99"/>
      <c r="DF216" s="124"/>
      <c r="DG216" s="2"/>
      <c r="DH216" s="2"/>
      <c r="DI216" s="2"/>
      <c r="DJ216" s="2"/>
      <c r="DK216" s="2"/>
      <c r="DL216" s="84"/>
      <c r="DM216" s="84"/>
      <c r="DN216" s="88"/>
      <c r="DO216" s="88"/>
      <c r="DP216" s="88"/>
      <c r="DQ216" s="88"/>
      <c r="DR216" s="88"/>
      <c r="DS216" s="88"/>
      <c r="DT216" s="88"/>
      <c r="DU216" s="88"/>
      <c r="DV216" s="88"/>
      <c r="DW216" s="84"/>
      <c r="DX216" s="84"/>
      <c r="DY216" s="84"/>
      <c r="DZ216" s="4"/>
      <c r="EA216" s="88"/>
      <c r="EB216" s="4"/>
      <c r="EC216" s="84"/>
      <c r="ED216" s="84"/>
      <c r="EE216" s="84"/>
      <c r="EF216" s="4"/>
      <c r="EG216" s="4"/>
      <c r="EH216" s="88"/>
      <c r="EI216" s="130"/>
      <c r="EJ216" s="1"/>
      <c r="EK216" s="1"/>
      <c r="EL216" s="1"/>
      <c r="EM216" s="1"/>
      <c r="EN216" s="1"/>
      <c r="EO216" s="1"/>
      <c r="EP216" s="1"/>
      <c r="EQ216" s="1"/>
      <c r="ER216" s="1"/>
    </row>
    <row r="217" spans="10:148" ht="6.95" customHeight="1" x14ac:dyDescent="0.15">
      <c r="J217" s="162"/>
      <c r="K217" s="200" t="s">
        <v>29</v>
      </c>
      <c r="L217" s="200"/>
      <c r="M217" s="200"/>
      <c r="N217" s="200"/>
      <c r="O217" s="3"/>
      <c r="P217" s="3"/>
      <c r="Q217" s="4"/>
      <c r="R217" s="4"/>
      <c r="S217" s="84"/>
      <c r="T217" s="84"/>
      <c r="U217" s="107"/>
      <c r="V217" s="107"/>
      <c r="W217" s="107"/>
      <c r="X217" s="107"/>
      <c r="Y217" s="3"/>
      <c r="Z217" s="3"/>
      <c r="AA217" s="3"/>
      <c r="AB217" s="3"/>
      <c r="AC217" s="165"/>
      <c r="AD217" s="52"/>
      <c r="AE217" s="2"/>
      <c r="AF217" s="2"/>
      <c r="AG217" s="2"/>
      <c r="AH217" s="2"/>
      <c r="AI217" s="2"/>
      <c r="AJ217" s="2"/>
      <c r="AK217" s="84"/>
      <c r="AL217" s="84"/>
      <c r="AM217" s="88"/>
      <c r="AN217" s="88"/>
      <c r="AO217" s="103"/>
      <c r="AP217" s="103"/>
      <c r="AQ217" s="103"/>
      <c r="AR217" s="103"/>
      <c r="AS217" s="103"/>
      <c r="AT217" s="103"/>
      <c r="AU217" s="103"/>
      <c r="AV217" s="103"/>
      <c r="AW217" s="84"/>
      <c r="AX217" s="84"/>
      <c r="BP217" s="99"/>
      <c r="BR217" s="52"/>
      <c r="BS217" s="181"/>
      <c r="BT217" s="181"/>
      <c r="BU217" s="181"/>
      <c r="BV217" s="181"/>
      <c r="BW217" s="181"/>
      <c r="BX217" s="181"/>
      <c r="BY217" s="84"/>
      <c r="BZ217" s="84"/>
      <c r="CA217" s="88"/>
      <c r="CB217" s="88"/>
      <c r="CC217" s="103"/>
      <c r="CD217" s="103"/>
      <c r="CE217" s="103"/>
      <c r="CF217" s="103"/>
      <c r="CG217" s="103"/>
      <c r="CH217" s="103"/>
      <c r="CI217" s="103"/>
      <c r="CJ217" s="103"/>
      <c r="CK217" s="84"/>
      <c r="CL217" s="84"/>
      <c r="CM217" s="4"/>
      <c r="CN217" s="4"/>
      <c r="CO217" s="4"/>
      <c r="CP217" s="4"/>
      <c r="CQ217" s="4"/>
      <c r="CR217" s="4"/>
      <c r="CS217" s="4"/>
      <c r="CT217" s="4"/>
      <c r="CU217" s="4"/>
      <c r="CV217" s="1"/>
      <c r="CW217" s="1"/>
      <c r="CX217" s="1"/>
      <c r="CY217" s="1"/>
      <c r="CZ217" s="1"/>
      <c r="DA217" s="1"/>
      <c r="DB217" s="1"/>
      <c r="DC217" s="1"/>
      <c r="DD217" s="99"/>
      <c r="DF217" s="124"/>
      <c r="DG217" s="2"/>
      <c r="DH217" s="2"/>
      <c r="DI217" s="2"/>
      <c r="DJ217" s="2"/>
      <c r="DK217" s="2"/>
      <c r="DL217" s="84"/>
      <c r="DM217" s="84"/>
      <c r="DN217" s="88"/>
      <c r="DO217" s="88"/>
      <c r="DP217" s="88"/>
      <c r="DQ217" s="88"/>
      <c r="DR217" s="88"/>
      <c r="DS217" s="88"/>
      <c r="DT217" s="88"/>
      <c r="DU217" s="88"/>
      <c r="DV217" s="4"/>
      <c r="DW217" s="84"/>
      <c r="DX217" s="84"/>
      <c r="DY217" s="84"/>
      <c r="DZ217" s="4"/>
      <c r="EA217" s="88"/>
      <c r="EB217" s="4"/>
      <c r="EC217" s="84"/>
      <c r="ED217" s="84"/>
      <c r="EE217" s="84"/>
      <c r="EF217" s="4"/>
      <c r="EG217" s="4"/>
      <c r="EH217" s="88"/>
      <c r="EI217" s="130"/>
      <c r="EJ217" s="1"/>
      <c r="EK217" s="1"/>
      <c r="EL217" s="1"/>
      <c r="EM217" s="1"/>
      <c r="EN217" s="1"/>
      <c r="EO217" s="1"/>
      <c r="EP217" s="1"/>
      <c r="EQ217" s="1"/>
      <c r="ER217" s="1"/>
    </row>
    <row r="218" spans="10:148" ht="6.95" customHeight="1" x14ac:dyDescent="0.15">
      <c r="J218" s="162"/>
      <c r="K218" s="200"/>
      <c r="L218" s="200"/>
      <c r="M218" s="200"/>
      <c r="N218" s="200"/>
      <c r="O218" s="3"/>
      <c r="P218" s="84"/>
      <c r="Q218" s="107"/>
      <c r="R218" s="107"/>
      <c r="S218" s="107"/>
      <c r="T218" s="107"/>
      <c r="U218" s="107"/>
      <c r="V218" s="107"/>
      <c r="W218" s="107"/>
      <c r="X218" s="107"/>
      <c r="Y218" s="84"/>
      <c r="Z218" s="84"/>
      <c r="AA218" s="3"/>
      <c r="AB218" s="84"/>
      <c r="AC218" s="165"/>
      <c r="AD218" s="56"/>
      <c r="AE218" s="3"/>
      <c r="AF218" s="3"/>
      <c r="AG218" s="3"/>
      <c r="AH218" s="3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1"/>
      <c r="BI218" s="1"/>
      <c r="BJ218" s="1"/>
      <c r="BK218" s="1"/>
      <c r="BL218" s="1"/>
      <c r="BM218" s="1"/>
      <c r="BN218" s="1"/>
      <c r="BO218" s="1"/>
      <c r="BP218" s="99"/>
      <c r="BR218" s="56"/>
      <c r="BS218" s="3"/>
      <c r="BT218" s="181"/>
      <c r="BU218" s="181"/>
      <c r="BV218" s="181"/>
      <c r="BW218" s="181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1"/>
      <c r="CW218" s="1"/>
      <c r="CX218" s="1"/>
      <c r="CY218" s="1"/>
      <c r="CZ218" s="1"/>
      <c r="DA218" s="1"/>
      <c r="DB218" s="1"/>
      <c r="DC218" s="1"/>
      <c r="DD218" s="99"/>
      <c r="DF218" s="127"/>
      <c r="DG218" s="96"/>
      <c r="DH218" s="96"/>
      <c r="DI218" s="96"/>
      <c r="DJ218" s="86"/>
      <c r="DK218" s="96"/>
      <c r="DL218" s="96"/>
      <c r="DM218" s="96"/>
      <c r="DN218" s="96"/>
      <c r="DO218" s="87"/>
      <c r="DP218" s="88"/>
      <c r="DQ218" s="88"/>
      <c r="DR218" s="88"/>
      <c r="DS218" s="88"/>
      <c r="DT218" s="88"/>
      <c r="DU218" s="88"/>
      <c r="DV218" s="88"/>
      <c r="DW218" s="88"/>
      <c r="DX218" s="88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125"/>
      <c r="EJ218" s="1"/>
      <c r="EK218" s="1"/>
      <c r="EL218" s="1"/>
      <c r="EM218" s="1"/>
      <c r="EN218" s="1"/>
      <c r="EO218" s="1"/>
      <c r="EP218" s="1"/>
      <c r="EQ218" s="1"/>
      <c r="ER218" s="1"/>
    </row>
    <row r="219" spans="10:148" ht="6.95" customHeight="1" x14ac:dyDescent="0.15">
      <c r="J219" s="162"/>
      <c r="K219" s="84"/>
      <c r="L219" s="3"/>
      <c r="M219" s="3"/>
      <c r="N219" s="3"/>
      <c r="O219" s="3"/>
      <c r="P219" s="84"/>
      <c r="Q219" s="107"/>
      <c r="R219" s="107"/>
      <c r="S219" s="107"/>
      <c r="T219" s="107"/>
      <c r="U219" s="196" t="s">
        <v>42</v>
      </c>
      <c r="V219" s="196"/>
      <c r="W219" s="196"/>
      <c r="X219" s="196">
        <v>2</v>
      </c>
      <c r="Y219" s="196"/>
      <c r="Z219" s="196" t="s">
        <v>43</v>
      </c>
      <c r="AA219" s="196"/>
      <c r="AB219" s="196"/>
      <c r="AC219" s="165"/>
      <c r="AD219" s="56"/>
      <c r="AE219" s="3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3"/>
      <c r="AQ219" s="103"/>
      <c r="AR219" s="103"/>
      <c r="AS219" s="103"/>
      <c r="AT219" s="103"/>
      <c r="AU219" s="103"/>
      <c r="AV219" s="103"/>
      <c r="AW219" s="103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1"/>
      <c r="BI219" s="1"/>
      <c r="BJ219" s="1"/>
      <c r="BK219" s="1"/>
      <c r="BL219" s="1"/>
      <c r="BM219" s="1"/>
      <c r="BN219" s="1"/>
      <c r="BO219" s="1"/>
      <c r="BP219" s="99"/>
      <c r="BR219" s="56"/>
      <c r="BS219" s="3"/>
      <c r="BT219" s="181"/>
      <c r="BU219" s="181"/>
      <c r="BV219" s="181"/>
      <c r="BW219" s="181"/>
      <c r="BX219" s="106"/>
      <c r="BY219" s="106"/>
      <c r="BZ219" s="106"/>
      <c r="CA219" s="106"/>
      <c r="CB219" s="106"/>
      <c r="CC219" s="106"/>
      <c r="CD219" s="103"/>
      <c r="CE219" s="103"/>
      <c r="CF219" s="103"/>
      <c r="CG219" s="103"/>
      <c r="CH219" s="103"/>
      <c r="CI219" s="103"/>
      <c r="CJ219" s="103"/>
      <c r="CK219" s="103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1"/>
      <c r="CW219" s="1"/>
      <c r="CX219" s="1"/>
      <c r="CY219" s="1"/>
      <c r="CZ219" s="1"/>
      <c r="DA219" s="1"/>
      <c r="DB219" s="1"/>
      <c r="DC219" s="1"/>
      <c r="DD219" s="147"/>
      <c r="DF219" s="127"/>
      <c r="DG219" s="96"/>
      <c r="DH219" s="96"/>
      <c r="DI219" s="96"/>
      <c r="DJ219" s="86"/>
      <c r="DK219" s="96"/>
      <c r="DL219" s="96"/>
      <c r="DM219" s="96"/>
      <c r="DN219" s="96"/>
      <c r="DO219" s="87"/>
      <c r="DP219" s="88"/>
      <c r="DQ219" s="88"/>
      <c r="DR219" s="88"/>
      <c r="DS219" s="88"/>
      <c r="DT219" s="88"/>
      <c r="DU219" s="88"/>
      <c r="DV219" s="88"/>
      <c r="DW219" s="88"/>
      <c r="DX219" s="88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125"/>
      <c r="EJ219" s="1"/>
      <c r="EK219" s="1"/>
      <c r="EL219" s="1"/>
      <c r="EM219" s="1"/>
      <c r="EN219" s="1"/>
      <c r="EO219" s="1"/>
      <c r="EP219" s="1"/>
      <c r="EQ219" s="1"/>
      <c r="ER219" s="1"/>
    </row>
    <row r="220" spans="10:148" ht="6.95" customHeight="1" x14ac:dyDescent="0.15">
      <c r="J220" s="162"/>
      <c r="K220" s="88"/>
      <c r="L220" s="2"/>
      <c r="M220" s="2"/>
      <c r="N220" s="2"/>
      <c r="O220" s="2"/>
      <c r="P220" s="2"/>
      <c r="Q220" s="2"/>
      <c r="R220" s="88"/>
      <c r="S220" s="88"/>
      <c r="T220" s="88"/>
      <c r="U220" s="196"/>
      <c r="V220" s="196"/>
      <c r="W220" s="196"/>
      <c r="X220" s="196"/>
      <c r="Y220" s="196"/>
      <c r="Z220" s="196"/>
      <c r="AA220" s="196"/>
      <c r="AB220" s="196"/>
      <c r="AC220" s="165"/>
      <c r="AD220" s="56"/>
      <c r="AE220" s="3"/>
      <c r="AF220" s="200" t="s">
        <v>26</v>
      </c>
      <c r="AG220" s="200"/>
      <c r="AH220" s="200"/>
      <c r="AI220" s="200"/>
      <c r="AJ220" s="106"/>
      <c r="AK220" s="106"/>
      <c r="AL220" s="106"/>
      <c r="AM220" s="106"/>
      <c r="AN220" s="106"/>
      <c r="AO220" s="106"/>
      <c r="AP220" s="103"/>
      <c r="AQ220" s="103"/>
      <c r="AR220" s="103"/>
      <c r="AS220" s="103"/>
      <c r="AT220" s="103"/>
      <c r="AU220" s="103"/>
      <c r="AV220" s="103"/>
      <c r="AW220" s="103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1"/>
      <c r="BI220" s="1"/>
      <c r="BJ220" s="1"/>
      <c r="BK220" s="1"/>
      <c r="BL220" s="1"/>
      <c r="BM220" s="1"/>
      <c r="BN220" s="1"/>
      <c r="BO220" s="1"/>
      <c r="BP220" s="99"/>
      <c r="BR220" s="56"/>
      <c r="BS220" s="3"/>
      <c r="BT220" s="181"/>
      <c r="BU220" s="181"/>
      <c r="BV220" s="181"/>
      <c r="BW220" s="181"/>
      <c r="BX220" s="106"/>
      <c r="BY220" s="106"/>
      <c r="BZ220" s="106"/>
      <c r="CA220" s="106"/>
      <c r="CB220" s="106"/>
      <c r="CC220" s="106"/>
      <c r="CD220" s="103"/>
      <c r="CE220" s="103"/>
      <c r="CF220" s="103"/>
      <c r="CG220" s="103"/>
      <c r="CH220" s="103"/>
      <c r="CI220" s="103"/>
      <c r="CJ220" s="103"/>
      <c r="CK220" s="103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1"/>
      <c r="CW220" s="1"/>
      <c r="CX220" s="1"/>
      <c r="CY220" s="1"/>
      <c r="CZ220" s="1"/>
      <c r="DA220" s="1"/>
      <c r="DB220" s="1"/>
      <c r="DC220" s="1"/>
      <c r="DD220" s="147"/>
      <c r="DF220" s="127"/>
      <c r="DG220" s="96"/>
      <c r="DH220" s="96"/>
      <c r="DI220" s="96"/>
      <c r="DJ220" s="86"/>
      <c r="DK220" s="96"/>
      <c r="DL220" s="96"/>
      <c r="DM220" s="96"/>
      <c r="DN220" s="96"/>
      <c r="DO220" s="96"/>
      <c r="DP220" s="96"/>
      <c r="DQ220" s="4"/>
      <c r="DR220" s="88"/>
      <c r="DS220" s="88"/>
      <c r="DT220" s="88"/>
      <c r="DU220" s="88"/>
      <c r="DV220" s="88"/>
      <c r="DW220" s="88"/>
      <c r="DX220" s="88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125"/>
      <c r="EJ220" s="1"/>
      <c r="EK220" s="1"/>
      <c r="EL220" s="1"/>
      <c r="EM220" s="1"/>
      <c r="EN220" s="1"/>
      <c r="EO220" s="1"/>
      <c r="EP220" s="1"/>
      <c r="EQ220" s="1"/>
      <c r="ER220" s="1"/>
    </row>
    <row r="221" spans="10:148" ht="6.95" customHeight="1" x14ac:dyDescent="0.15"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5"/>
      <c r="AD221" s="56"/>
      <c r="AE221" s="3"/>
      <c r="AF221" s="200"/>
      <c r="AG221" s="200"/>
      <c r="AH221" s="200"/>
      <c r="AI221" s="200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1"/>
      <c r="BI221" s="1"/>
      <c r="BJ221" s="199">
        <f>CHOOSE(SUM((AD188&gt;={700,750,800,850,900,950})*1), 140,190,240,290,340,390)</f>
        <v>240</v>
      </c>
      <c r="BK221" s="199"/>
      <c r="BL221" s="199"/>
      <c r="BM221" s="199"/>
      <c r="BN221" s="1"/>
      <c r="BO221" s="1"/>
      <c r="BP221" s="99"/>
      <c r="BR221" s="56"/>
      <c r="BS221" s="3"/>
      <c r="BT221" s="193" t="s">
        <v>44</v>
      </c>
      <c r="BU221" s="193"/>
      <c r="BV221" s="193"/>
      <c r="BW221" s="193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1"/>
      <c r="CW221" s="1"/>
      <c r="CX221" s="199">
        <f>CHOOSE(SUM((BR188&gt;={700,750,800,850,900,950})*1), 140,190,240,290,340,390)</f>
        <v>240</v>
      </c>
      <c r="CY221" s="199"/>
      <c r="CZ221" s="199"/>
      <c r="DA221" s="199"/>
      <c r="DB221" s="1"/>
      <c r="DC221" s="1"/>
      <c r="DD221" s="147"/>
      <c r="DF221" s="127"/>
      <c r="DG221" s="96"/>
      <c r="DH221" s="96"/>
      <c r="DI221" s="96"/>
      <c r="DJ221" s="86"/>
      <c r="DK221" s="96"/>
      <c r="DL221" s="96"/>
      <c r="DM221" s="96"/>
      <c r="DN221" s="96"/>
      <c r="DO221" s="96"/>
      <c r="DP221" s="96"/>
      <c r="DQ221" s="4"/>
      <c r="DR221" s="88"/>
      <c r="DS221" s="88"/>
      <c r="DT221" s="88"/>
      <c r="DU221" s="88"/>
      <c r="DV221" s="88"/>
      <c r="DW221" s="88"/>
      <c r="DX221" s="88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125"/>
      <c r="EJ221" s="1"/>
      <c r="EK221" s="1"/>
      <c r="EL221" s="1"/>
      <c r="EM221" s="1"/>
      <c r="EN221" s="1"/>
      <c r="EO221" s="1"/>
      <c r="EP221" s="1"/>
      <c r="EQ221" s="1"/>
      <c r="ER221" s="1"/>
    </row>
    <row r="222" spans="10:148" ht="6.95" customHeight="1" x14ac:dyDescent="0.15"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5"/>
      <c r="AD222" s="56"/>
      <c r="AE222" s="3"/>
      <c r="AF222" s="106"/>
      <c r="AG222" s="106"/>
      <c r="AH222" s="106"/>
      <c r="AI222" s="106"/>
      <c r="AJ222" s="104"/>
      <c r="AK222" s="105"/>
      <c r="AL222" s="105"/>
      <c r="AM222" s="105"/>
      <c r="AN222" s="105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1"/>
      <c r="BI222" s="1"/>
      <c r="BJ222" s="199"/>
      <c r="BK222" s="199"/>
      <c r="BL222" s="199"/>
      <c r="BM222" s="199"/>
      <c r="BN222" s="1"/>
      <c r="BO222" s="1"/>
      <c r="BP222" s="99"/>
      <c r="BR222" s="56"/>
      <c r="BS222" s="3"/>
      <c r="BT222" s="193"/>
      <c r="BU222" s="193"/>
      <c r="BV222" s="193"/>
      <c r="BW222" s="193"/>
      <c r="BX222" s="104"/>
      <c r="BY222" s="105"/>
      <c r="BZ222" s="105"/>
      <c r="CA222" s="105"/>
      <c r="CB222" s="105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1"/>
      <c r="CW222" s="1"/>
      <c r="CX222" s="199"/>
      <c r="CY222" s="199"/>
      <c r="CZ222" s="199"/>
      <c r="DA222" s="199"/>
      <c r="DB222" s="1"/>
      <c r="DC222" s="1"/>
      <c r="DD222" s="147"/>
      <c r="DF222" s="127"/>
      <c r="DG222" s="96"/>
      <c r="DH222" s="96"/>
      <c r="DI222" s="96"/>
      <c r="DJ222" s="4"/>
      <c r="DK222" s="96"/>
      <c r="DL222" s="96"/>
      <c r="DM222" s="96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125"/>
      <c r="EJ222" s="1"/>
      <c r="EK222" s="1"/>
      <c r="EL222" s="1"/>
      <c r="EM222" s="1"/>
      <c r="EN222" s="1"/>
      <c r="EO222" s="1"/>
      <c r="EP222" s="1"/>
      <c r="EQ222" s="1"/>
      <c r="ER222" s="1"/>
    </row>
    <row r="223" spans="10:148" ht="6.95" customHeight="1" x14ac:dyDescent="0.15">
      <c r="J223" s="162"/>
      <c r="L223" s="197" t="s">
        <v>30</v>
      </c>
      <c r="M223" s="197"/>
      <c r="N223" s="197"/>
      <c r="O223" s="197"/>
      <c r="P223" s="82"/>
      <c r="Q223" s="82"/>
      <c r="R223" s="82"/>
      <c r="S223" s="82"/>
      <c r="T223" s="82"/>
      <c r="U223" s="2"/>
      <c r="V223" s="2"/>
      <c r="W223" s="82"/>
      <c r="X223" s="82"/>
      <c r="Y223" s="82"/>
      <c r="Z223" s="82"/>
      <c r="AA223" s="82"/>
      <c r="AB223" s="82"/>
      <c r="AC223" s="165"/>
      <c r="AD223" s="56"/>
      <c r="AE223" s="3"/>
      <c r="AF223" s="197" t="str">
        <f>AF220</f>
        <v>D16</v>
      </c>
      <c r="AG223" s="197"/>
      <c r="AH223" s="197"/>
      <c r="AI223" s="197"/>
      <c r="AJ223" s="104"/>
      <c r="AK223" s="105"/>
      <c r="AL223" s="105"/>
      <c r="AM223" s="105"/>
      <c r="AN223" s="105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1"/>
      <c r="BI223" s="1"/>
      <c r="BJ223" s="96"/>
      <c r="BK223" s="96"/>
      <c r="BL223" s="96"/>
      <c r="BM223" s="96"/>
      <c r="BN223" s="110"/>
      <c r="BO223" s="1"/>
      <c r="BP223" s="99"/>
      <c r="BR223" s="56"/>
      <c r="BS223" s="3"/>
      <c r="BT223" s="181"/>
      <c r="BU223" s="181"/>
      <c r="BV223" s="181"/>
      <c r="BW223" s="181"/>
      <c r="BX223" s="104"/>
      <c r="BY223" s="105"/>
      <c r="BZ223" s="105"/>
      <c r="CA223" s="105"/>
      <c r="CB223" s="105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1"/>
      <c r="CW223" s="1"/>
      <c r="CX223" s="96"/>
      <c r="CY223" s="96"/>
      <c r="CZ223" s="96"/>
      <c r="DA223" s="96"/>
      <c r="DB223" s="110"/>
      <c r="DC223" s="1"/>
      <c r="DD223" s="147"/>
      <c r="DF223" s="127"/>
      <c r="DG223" s="96"/>
      <c r="DH223" s="96"/>
      <c r="DI223" s="96"/>
      <c r="DJ223" s="4"/>
      <c r="DK223" s="96"/>
      <c r="DL223" s="96"/>
      <c r="DM223" s="96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125"/>
      <c r="EJ223" s="1"/>
      <c r="EK223" s="1"/>
      <c r="EL223" s="1"/>
      <c r="EM223" s="1"/>
      <c r="EN223" s="1"/>
      <c r="EO223" s="1"/>
      <c r="EP223" s="1"/>
      <c r="EQ223" s="1"/>
      <c r="ER223" s="1"/>
    </row>
    <row r="224" spans="10:148" ht="6.95" customHeight="1" x14ac:dyDescent="0.15">
      <c r="J224" s="162"/>
      <c r="L224" s="197"/>
      <c r="M224" s="197"/>
      <c r="N224" s="197"/>
      <c r="O224" s="197"/>
      <c r="P224" s="82"/>
      <c r="Q224" s="106"/>
      <c r="R224" s="106"/>
      <c r="S224" s="106"/>
      <c r="T224" s="106"/>
      <c r="U224" s="2"/>
      <c r="V224" s="2"/>
      <c r="W224" s="82"/>
      <c r="X224" s="82"/>
      <c r="Y224" s="82"/>
      <c r="Z224" s="82"/>
      <c r="AA224" s="82"/>
      <c r="AB224" s="82"/>
      <c r="AC224" s="165"/>
      <c r="AD224" s="56"/>
      <c r="AE224" s="3"/>
      <c r="AF224" s="197"/>
      <c r="AG224" s="197"/>
      <c r="AH224" s="197"/>
      <c r="AI224" s="197"/>
      <c r="AJ224" s="4"/>
      <c r="AK224" s="4"/>
      <c r="AL224" s="105"/>
      <c r="AM224" s="105"/>
      <c r="AN224" s="105"/>
      <c r="AO224" s="105"/>
      <c r="AP224" s="105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1"/>
      <c r="BI224" s="1"/>
      <c r="BJ224" s="1"/>
      <c r="BK224" s="1"/>
      <c r="BL224" s="110"/>
      <c r="BM224" s="110"/>
      <c r="BN224" s="110"/>
      <c r="BO224" s="1"/>
      <c r="BP224" s="99"/>
      <c r="BR224" s="56"/>
      <c r="BS224" s="3"/>
      <c r="BT224" s="181"/>
      <c r="BU224" s="181"/>
      <c r="BV224" s="181"/>
      <c r="BW224" s="181"/>
      <c r="BX224" s="4"/>
      <c r="BY224" s="4"/>
      <c r="BZ224" s="105"/>
      <c r="CA224" s="105"/>
      <c r="CB224" s="105"/>
      <c r="CC224" s="105"/>
      <c r="CD224" s="105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1"/>
      <c r="CW224" s="1"/>
      <c r="CX224" s="1"/>
      <c r="CY224" s="1"/>
      <c r="CZ224" s="110"/>
      <c r="DA224" s="110"/>
      <c r="DB224" s="110"/>
      <c r="DC224" s="1"/>
      <c r="DD224" s="147"/>
      <c r="DF224" s="127"/>
      <c r="DG224" s="3"/>
      <c r="DH224" s="3"/>
      <c r="DI224" s="3"/>
      <c r="DJ224" s="4"/>
      <c r="DK224" s="4"/>
      <c r="DL224" s="4"/>
      <c r="DM224" s="96"/>
      <c r="DN224" s="96"/>
      <c r="DO224" s="96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125"/>
      <c r="EJ224" s="1"/>
      <c r="EK224" s="1"/>
      <c r="EL224" s="1"/>
      <c r="EM224" s="1"/>
      <c r="EN224" s="1"/>
      <c r="EO224" s="1"/>
      <c r="EP224" s="1"/>
      <c r="EQ224" s="1"/>
      <c r="ER224" s="1"/>
    </row>
    <row r="225" spans="10:148" ht="6.95" customHeight="1" x14ac:dyDescent="0.15">
      <c r="J225" s="162"/>
      <c r="L225" s="85"/>
      <c r="M225" s="85"/>
      <c r="N225" s="85"/>
      <c r="O225" s="85"/>
      <c r="P225" s="85"/>
      <c r="Q225" s="106"/>
      <c r="R225" s="106"/>
      <c r="S225" s="106"/>
      <c r="T225" s="106"/>
      <c r="U225" s="85"/>
      <c r="V225" s="85"/>
      <c r="W225" s="85"/>
      <c r="X225" s="85"/>
      <c r="Y225" s="85"/>
      <c r="Z225" s="85"/>
      <c r="AA225" s="85"/>
      <c r="AB225" s="85"/>
      <c r="AC225" s="165"/>
      <c r="AD225" s="56"/>
      <c r="AE225" s="3"/>
      <c r="AF225" s="106"/>
      <c r="AG225" s="106"/>
      <c r="AH225" s="106"/>
      <c r="AI225" s="106"/>
      <c r="AJ225" s="4"/>
      <c r="AK225" s="4"/>
      <c r="AL225" s="105"/>
      <c r="AM225" s="105"/>
      <c r="AN225" s="105"/>
      <c r="AO225" s="105"/>
      <c r="AP225" s="105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196" t="s">
        <v>42</v>
      </c>
      <c r="BI225" s="196"/>
      <c r="BJ225" s="196"/>
      <c r="BK225" s="196">
        <v>2</v>
      </c>
      <c r="BL225" s="196"/>
      <c r="BM225" s="196" t="s">
        <v>43</v>
      </c>
      <c r="BN225" s="196"/>
      <c r="BO225" s="196"/>
      <c r="BP225" s="99"/>
      <c r="BR225" s="56"/>
      <c r="BS225" s="3"/>
      <c r="BT225" s="193" t="s">
        <v>44</v>
      </c>
      <c r="BU225" s="193"/>
      <c r="BV225" s="193"/>
      <c r="BW225" s="193"/>
      <c r="BX225" s="4"/>
      <c r="BY225" s="4"/>
      <c r="BZ225" s="105"/>
      <c r="CA225" s="105"/>
      <c r="CB225" s="105"/>
      <c r="CC225" s="105"/>
      <c r="CD225" s="105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196" t="s">
        <v>42</v>
      </c>
      <c r="CW225" s="196"/>
      <c r="CX225" s="196"/>
      <c r="CY225" s="196">
        <v>1</v>
      </c>
      <c r="CZ225" s="196"/>
      <c r="DA225" s="196" t="s">
        <v>43</v>
      </c>
      <c r="DB225" s="196"/>
      <c r="DC225" s="196"/>
      <c r="DD225" s="147"/>
      <c r="DF225" s="127"/>
      <c r="DG225" s="3"/>
      <c r="DH225" s="3"/>
      <c r="DI225" s="3"/>
      <c r="DJ225" s="4"/>
      <c r="DK225" s="4"/>
      <c r="DL225" s="4"/>
      <c r="DM225" s="96"/>
      <c r="DN225" s="96"/>
      <c r="DO225" s="96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125"/>
      <c r="EJ225" s="1"/>
      <c r="EK225" s="1"/>
      <c r="EL225" s="1"/>
      <c r="EM225" s="1"/>
      <c r="EN225" s="1"/>
      <c r="EO225" s="1"/>
      <c r="EP225" s="1"/>
      <c r="EQ225" s="1"/>
      <c r="ER225" s="1"/>
    </row>
    <row r="226" spans="10:148" ht="6.95" customHeight="1" x14ac:dyDescent="0.15">
      <c r="J226" s="162"/>
      <c r="L226" s="118"/>
      <c r="M226" s="118"/>
      <c r="N226" s="118"/>
      <c r="O226" s="3"/>
      <c r="P226" s="3"/>
      <c r="Q226" s="2"/>
      <c r="R226" s="2"/>
      <c r="S226" s="85"/>
      <c r="T226" s="118"/>
      <c r="U226" s="215">
        <v>565</v>
      </c>
      <c r="V226" s="215"/>
      <c r="W226" s="215"/>
      <c r="X226" s="215"/>
      <c r="Y226" s="3"/>
      <c r="Z226" s="3"/>
      <c r="AA226" s="3"/>
      <c r="AB226" s="3"/>
      <c r="AC226" s="165"/>
      <c r="AD226" s="56"/>
      <c r="AE226" s="3"/>
      <c r="AF226" s="3"/>
      <c r="AG226" s="3"/>
      <c r="AH226" s="105"/>
      <c r="AI226" s="105"/>
      <c r="AJ226" s="105"/>
      <c r="AK226" s="105"/>
      <c r="AL226" s="4"/>
      <c r="AM226" s="4"/>
      <c r="AN226" s="4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196"/>
      <c r="BI226" s="196"/>
      <c r="BJ226" s="196"/>
      <c r="BK226" s="196"/>
      <c r="BL226" s="196"/>
      <c r="BM226" s="196"/>
      <c r="BN226" s="196"/>
      <c r="BO226" s="196"/>
      <c r="BP226" s="99"/>
      <c r="BR226" s="56"/>
      <c r="BS226" s="3"/>
      <c r="BT226" s="193"/>
      <c r="BU226" s="193"/>
      <c r="BV226" s="193"/>
      <c r="BW226" s="193"/>
      <c r="BX226" s="105"/>
      <c r="BY226" s="105"/>
      <c r="BZ226" s="4"/>
      <c r="CA226" s="4"/>
      <c r="CB226" s="4"/>
      <c r="CC226" s="103"/>
      <c r="CD226" s="103"/>
      <c r="CE226" s="103"/>
      <c r="CF226" s="103"/>
      <c r="CG226" s="103"/>
      <c r="CH226" s="103"/>
      <c r="CI226" s="103"/>
      <c r="CJ226" s="103"/>
      <c r="CK226" s="103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196"/>
      <c r="CW226" s="196"/>
      <c r="CX226" s="196"/>
      <c r="CY226" s="196"/>
      <c r="CZ226" s="196"/>
      <c r="DA226" s="196"/>
      <c r="DB226" s="196"/>
      <c r="DC226" s="196"/>
      <c r="DD226" s="147"/>
      <c r="DF226" s="127"/>
      <c r="DG226" s="3"/>
      <c r="DH226" s="3"/>
      <c r="DI226" s="96"/>
      <c r="DJ226" s="96"/>
      <c r="DK226" s="96"/>
      <c r="DL226" s="4"/>
      <c r="DM226" s="4"/>
      <c r="DN226" s="4"/>
      <c r="DO226" s="4"/>
      <c r="DP226" s="88"/>
      <c r="DQ226" s="88"/>
      <c r="DR226" s="88"/>
      <c r="DS226" s="88"/>
      <c r="DT226" s="88"/>
      <c r="DU226" s="88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125"/>
      <c r="EJ226" s="1"/>
      <c r="EK226" s="1"/>
      <c r="EL226" s="1"/>
      <c r="EM226" s="1"/>
      <c r="EN226" s="1"/>
      <c r="EO226" s="1"/>
      <c r="EP226" s="1"/>
      <c r="EQ226" s="1"/>
      <c r="ER226" s="1"/>
    </row>
    <row r="227" spans="10:148" ht="6.95" customHeight="1" x14ac:dyDescent="0.15">
      <c r="J227" s="162"/>
      <c r="L227" s="118"/>
      <c r="M227" s="118"/>
      <c r="N227" s="118"/>
      <c r="O227" s="3"/>
      <c r="P227" s="3"/>
      <c r="Q227" s="4"/>
      <c r="R227" s="4"/>
      <c r="S227" s="85"/>
      <c r="T227" s="118"/>
      <c r="U227" s="215"/>
      <c r="V227" s="215"/>
      <c r="W227" s="215"/>
      <c r="X227" s="215"/>
      <c r="Y227" s="3"/>
      <c r="Z227" s="3"/>
      <c r="AA227" s="3"/>
      <c r="AB227" s="3"/>
      <c r="AC227" s="165"/>
      <c r="AD227" s="56"/>
      <c r="AE227" s="3"/>
      <c r="AF227" s="198" t="s">
        <v>44</v>
      </c>
      <c r="AG227" s="198"/>
      <c r="AH227" s="198"/>
      <c r="AI227" s="198"/>
      <c r="AJ227" s="105"/>
      <c r="AK227" s="105"/>
      <c r="AL227" s="218">
        <v>2000</v>
      </c>
      <c r="AM227" s="218"/>
      <c r="AN227" s="218"/>
      <c r="AO227" s="218"/>
      <c r="AP227" s="218"/>
      <c r="AQ227" s="218"/>
      <c r="AR227" s="218"/>
      <c r="AS227" s="103"/>
      <c r="AT227" s="196" t="s">
        <v>42</v>
      </c>
      <c r="AU227" s="196"/>
      <c r="AV227" s="196"/>
      <c r="AW227" s="196">
        <v>2</v>
      </c>
      <c r="AX227" s="196"/>
      <c r="AY227" s="196" t="s">
        <v>43</v>
      </c>
      <c r="AZ227" s="196"/>
      <c r="BA227" s="196"/>
      <c r="BB227" s="4"/>
      <c r="BC227" s="4"/>
      <c r="BD227" s="4"/>
      <c r="BE227" s="4"/>
      <c r="BF227" s="4"/>
      <c r="BG227" s="4"/>
      <c r="BH227" s="103"/>
      <c r="BI227" s="103"/>
      <c r="BJ227" s="103"/>
      <c r="BK227" s="103"/>
      <c r="BL227" s="103"/>
      <c r="BM227" s="103"/>
      <c r="BN227" s="103"/>
      <c r="BO227" s="103"/>
      <c r="BP227" s="99"/>
      <c r="BR227" s="56"/>
      <c r="BS227" s="3"/>
      <c r="BT227" s="193" t="s">
        <v>26</v>
      </c>
      <c r="BU227" s="193"/>
      <c r="BV227" s="193"/>
      <c r="BW227" s="193"/>
      <c r="BX227" s="4"/>
      <c r="BY227" s="193" t="s">
        <v>63</v>
      </c>
      <c r="BZ227" s="193"/>
      <c r="CA227" s="193"/>
      <c r="CB227" s="193"/>
      <c r="CC227" s="193"/>
      <c r="CD227" s="193"/>
      <c r="CE227" s="193"/>
      <c r="CF227" s="193"/>
      <c r="CG227" s="103"/>
      <c r="CH227" s="196" t="s">
        <v>42</v>
      </c>
      <c r="CI227" s="196"/>
      <c r="CJ227" s="196"/>
      <c r="CK227" s="196">
        <v>2</v>
      </c>
      <c r="CL227" s="196"/>
      <c r="CM227" s="196" t="s">
        <v>43</v>
      </c>
      <c r="CN227" s="196"/>
      <c r="CO227" s="196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147"/>
      <c r="DF227" s="127"/>
      <c r="DG227" s="3"/>
      <c r="DH227" s="3"/>
      <c r="DI227" s="96"/>
      <c r="DJ227" s="96"/>
      <c r="DK227" s="96"/>
      <c r="DL227" s="4"/>
      <c r="DM227" s="4"/>
      <c r="DN227" s="4"/>
      <c r="DO227" s="4"/>
      <c r="DP227" s="88"/>
      <c r="DQ227" s="88"/>
      <c r="DR227" s="88"/>
      <c r="DS227" s="88"/>
      <c r="DT227" s="88"/>
      <c r="DU227" s="88"/>
      <c r="DV227" s="88"/>
      <c r="DW227" s="88"/>
      <c r="DX227" s="88"/>
      <c r="DY227" s="88"/>
      <c r="DZ227" s="4"/>
      <c r="EA227" s="4"/>
      <c r="EB227" s="4"/>
      <c r="EC227" s="4"/>
      <c r="ED227" s="4"/>
      <c r="EE227" s="4"/>
      <c r="EF227" s="4"/>
      <c r="EG227" s="4"/>
      <c r="EH227" s="4"/>
      <c r="EI227" s="125"/>
      <c r="EJ227" s="1"/>
      <c r="EK227" s="1"/>
      <c r="EL227" s="1"/>
      <c r="EM227" s="1"/>
      <c r="EN227" s="1"/>
      <c r="EO227" s="1"/>
      <c r="EP227" s="1"/>
      <c r="EQ227" s="1"/>
      <c r="ER227" s="1"/>
    </row>
    <row r="228" spans="10:148" ht="6.95" customHeight="1" x14ac:dyDescent="0.15">
      <c r="J228" s="162"/>
      <c r="L228" s="107"/>
      <c r="M228" s="107"/>
      <c r="N228" s="107"/>
      <c r="O228" s="3"/>
      <c r="P228" s="3"/>
      <c r="Q228" s="4"/>
      <c r="R228" s="4"/>
      <c r="S228" s="84"/>
      <c r="T228" s="107"/>
      <c r="U228" s="200" t="s">
        <v>29</v>
      </c>
      <c r="V228" s="200"/>
      <c r="W228" s="200"/>
      <c r="X228" s="200"/>
      <c r="Y228" s="3"/>
      <c r="Z228" s="3"/>
      <c r="AA228" s="3"/>
      <c r="AB228" s="3"/>
      <c r="AC228" s="165"/>
      <c r="AD228" s="56"/>
      <c r="AE228" s="3"/>
      <c r="AF228" s="198"/>
      <c r="AG228" s="198"/>
      <c r="AH228" s="198"/>
      <c r="AI228" s="198"/>
      <c r="AJ228" s="4"/>
      <c r="AK228" s="4"/>
      <c r="AL228" s="218"/>
      <c r="AM228" s="218"/>
      <c r="AN228" s="218"/>
      <c r="AO228" s="218"/>
      <c r="AP228" s="218"/>
      <c r="AQ228" s="218"/>
      <c r="AR228" s="218"/>
      <c r="AS228" s="103"/>
      <c r="AT228" s="196"/>
      <c r="AU228" s="196"/>
      <c r="AV228" s="196"/>
      <c r="AW228" s="196"/>
      <c r="AX228" s="196"/>
      <c r="AY228" s="196"/>
      <c r="AZ228" s="196"/>
      <c r="BA228" s="196"/>
      <c r="BB228" s="4"/>
      <c r="BC228" s="4"/>
      <c r="BD228" s="4"/>
      <c r="BE228" s="4"/>
      <c r="BF228" s="4"/>
      <c r="BG228" s="4"/>
      <c r="BH228" s="1"/>
      <c r="BI228" s="1"/>
      <c r="BJ228" s="1"/>
      <c r="BK228" s="1"/>
      <c r="BL228" s="1"/>
      <c r="BM228" s="1"/>
      <c r="BN228" s="1"/>
      <c r="BO228" s="1"/>
      <c r="BP228" s="99"/>
      <c r="BR228" s="56"/>
      <c r="BS228" s="3"/>
      <c r="BT228" s="193"/>
      <c r="BU228" s="193"/>
      <c r="BV228" s="193"/>
      <c r="BW228" s="193"/>
      <c r="BX228" s="4"/>
      <c r="BY228" s="193"/>
      <c r="BZ228" s="193"/>
      <c r="CA228" s="193"/>
      <c r="CB228" s="193"/>
      <c r="CC228" s="193"/>
      <c r="CD228" s="193"/>
      <c r="CE228" s="193"/>
      <c r="CF228" s="193"/>
      <c r="CG228" s="103"/>
      <c r="CH228" s="196"/>
      <c r="CI228" s="196"/>
      <c r="CJ228" s="196"/>
      <c r="CK228" s="196"/>
      <c r="CL228" s="196"/>
      <c r="CM228" s="196"/>
      <c r="CN228" s="196"/>
      <c r="CO228" s="196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147"/>
      <c r="DF228" s="127"/>
      <c r="DG228" s="82"/>
      <c r="DH228" s="82"/>
      <c r="DI228" s="82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125"/>
      <c r="EJ228" s="1"/>
      <c r="EK228" s="1"/>
      <c r="EL228" s="1"/>
      <c r="EM228" s="1"/>
      <c r="EN228" s="1"/>
      <c r="EO228" s="1"/>
      <c r="EP228" s="1"/>
      <c r="EQ228" s="1"/>
      <c r="ER228" s="1"/>
    </row>
    <row r="229" spans="10:148" ht="6.95" customHeight="1" x14ac:dyDescent="0.15">
      <c r="J229" s="162"/>
      <c r="L229" s="107"/>
      <c r="M229" s="107"/>
      <c r="N229" s="107"/>
      <c r="O229" s="3"/>
      <c r="P229" s="84"/>
      <c r="Q229" s="107"/>
      <c r="R229" s="107"/>
      <c r="S229" s="107"/>
      <c r="T229" s="107"/>
      <c r="U229" s="200"/>
      <c r="V229" s="200"/>
      <c r="W229" s="200"/>
      <c r="X229" s="200"/>
      <c r="Y229" s="84"/>
      <c r="Z229" s="84"/>
      <c r="AA229" s="3"/>
      <c r="AB229" s="84"/>
      <c r="AC229" s="165"/>
      <c r="AD229" s="56"/>
      <c r="AE229" s="3"/>
      <c r="AF229" s="193" t="s">
        <v>26</v>
      </c>
      <c r="AG229" s="193"/>
      <c r="AH229" s="193"/>
      <c r="AI229" s="193"/>
      <c r="AJ229" s="4"/>
      <c r="AK229" s="4"/>
      <c r="AL229" s="218" t="s">
        <v>47</v>
      </c>
      <c r="AM229" s="218"/>
      <c r="AN229" s="218"/>
      <c r="AO229" s="218"/>
      <c r="AP229" s="218"/>
      <c r="AQ229" s="218"/>
      <c r="AR229" s="218"/>
      <c r="AS229" s="103"/>
      <c r="AT229" s="196" t="s">
        <v>42</v>
      </c>
      <c r="AU229" s="196"/>
      <c r="AV229" s="196"/>
      <c r="AW229" s="196"/>
      <c r="AX229" s="196"/>
      <c r="AY229" s="196" t="s">
        <v>43</v>
      </c>
      <c r="AZ229" s="196"/>
      <c r="BA229" s="196"/>
      <c r="BB229" s="4"/>
      <c r="BC229" s="4"/>
      <c r="BD229" s="4"/>
      <c r="BE229" s="4"/>
      <c r="BF229" s="4"/>
      <c r="BG229" s="4"/>
      <c r="BH229" s="1"/>
      <c r="BI229" s="1"/>
      <c r="BJ229" s="1"/>
      <c r="BK229" s="1"/>
      <c r="BL229" s="1"/>
      <c r="BM229" s="1"/>
      <c r="BN229" s="1"/>
      <c r="BO229" s="1"/>
      <c r="BP229" s="99"/>
      <c r="BR229" s="56"/>
      <c r="BS229" s="3"/>
      <c r="BT229" s="105"/>
      <c r="BU229" s="105"/>
      <c r="BV229" s="105"/>
      <c r="BW229" s="105"/>
      <c r="BX229" s="4"/>
      <c r="BY229" s="105"/>
      <c r="BZ229" s="105"/>
      <c r="CA229" s="105"/>
      <c r="CB229" s="105"/>
      <c r="CC229" s="105"/>
      <c r="CD229" s="105"/>
      <c r="CE229" s="105"/>
      <c r="CF229" s="105"/>
      <c r="CG229" s="103"/>
      <c r="CH229" s="103"/>
      <c r="CI229" s="103"/>
      <c r="CJ229" s="103"/>
      <c r="CK229" s="103"/>
      <c r="CL229" s="103"/>
      <c r="CM229" s="103"/>
      <c r="CN229" s="103"/>
      <c r="CO229" s="10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147"/>
      <c r="DF229" s="134"/>
      <c r="DG229" s="135"/>
      <c r="DH229" s="135"/>
      <c r="DI229" s="135"/>
      <c r="DJ229" s="136"/>
      <c r="DK229" s="136"/>
      <c r="DL229" s="136"/>
      <c r="DM229" s="136"/>
      <c r="DN229" s="136"/>
      <c r="DO229" s="136"/>
      <c r="DP229" s="136"/>
      <c r="DQ229" s="136"/>
      <c r="DR229" s="136"/>
      <c r="DS229" s="136"/>
      <c r="DT229" s="136"/>
      <c r="DU229" s="136"/>
      <c r="DV229" s="136"/>
      <c r="DW229" s="136"/>
      <c r="DX229" s="136"/>
      <c r="DY229" s="136"/>
      <c r="DZ229" s="136"/>
      <c r="EA229" s="136"/>
      <c r="EB229" s="136"/>
      <c r="EC229" s="136"/>
      <c r="ED229" s="136"/>
      <c r="EE229" s="136"/>
      <c r="EF229" s="136"/>
      <c r="EG229" s="136"/>
      <c r="EH229" s="136"/>
      <c r="EI229" s="137"/>
      <c r="EJ229" s="1"/>
      <c r="EK229" s="1"/>
      <c r="EL229" s="1"/>
      <c r="EM229" s="1"/>
      <c r="EN229" s="1"/>
      <c r="EO229" s="1"/>
      <c r="EP229" s="1"/>
      <c r="EQ229" s="1"/>
      <c r="ER229" s="1"/>
    </row>
    <row r="230" spans="10:148" ht="6.95" customHeight="1" x14ac:dyDescent="0.15">
      <c r="J230" s="162"/>
      <c r="L230" s="3"/>
      <c r="M230" s="3"/>
      <c r="N230" s="3"/>
      <c r="O230" s="3"/>
      <c r="P230" s="84"/>
      <c r="Q230" s="107"/>
      <c r="R230" s="107"/>
      <c r="S230" s="107"/>
      <c r="T230" s="107"/>
      <c r="U230" s="196" t="s">
        <v>42</v>
      </c>
      <c r="V230" s="196"/>
      <c r="W230" s="196"/>
      <c r="X230" s="196">
        <v>1</v>
      </c>
      <c r="Y230" s="196"/>
      <c r="Z230" s="196" t="s">
        <v>43</v>
      </c>
      <c r="AA230" s="196"/>
      <c r="AB230" s="196"/>
      <c r="AC230" s="165"/>
      <c r="AD230" s="56"/>
      <c r="AE230" s="3"/>
      <c r="AF230" s="193"/>
      <c r="AG230" s="193"/>
      <c r="AH230" s="193"/>
      <c r="AI230" s="193"/>
      <c r="AJ230" s="4"/>
      <c r="AK230" s="4"/>
      <c r="AL230" s="218"/>
      <c r="AM230" s="218"/>
      <c r="AN230" s="218"/>
      <c r="AO230" s="218"/>
      <c r="AP230" s="218"/>
      <c r="AQ230" s="218"/>
      <c r="AR230" s="218"/>
      <c r="AS230" s="103"/>
      <c r="AT230" s="196"/>
      <c r="AU230" s="196"/>
      <c r="AV230" s="196"/>
      <c r="AW230" s="196"/>
      <c r="AX230" s="196"/>
      <c r="AY230" s="196"/>
      <c r="AZ230" s="196"/>
      <c r="BA230" s="196"/>
      <c r="BB230" s="4"/>
      <c r="BC230" s="4"/>
      <c r="BD230" s="4"/>
      <c r="BE230" s="4"/>
      <c r="BF230" s="4"/>
      <c r="BG230" s="4"/>
      <c r="BH230" s="1"/>
      <c r="BI230" s="1"/>
      <c r="BJ230" s="1"/>
      <c r="BK230" s="1"/>
      <c r="BL230" s="1"/>
      <c r="BM230" s="1"/>
      <c r="BN230" s="1"/>
      <c r="BO230" s="1"/>
      <c r="BP230" s="99"/>
      <c r="BR230" s="56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147"/>
      <c r="DF230" s="3"/>
      <c r="DG230" s="82"/>
      <c r="DH230" s="82"/>
      <c r="DI230" s="82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1"/>
      <c r="EJ230" s="1"/>
      <c r="EK230" s="1"/>
      <c r="EL230" s="1"/>
      <c r="EM230" s="1"/>
      <c r="EN230" s="1"/>
      <c r="EO230" s="1"/>
      <c r="EP230" s="1"/>
      <c r="EQ230" s="1"/>
      <c r="ER230" s="1"/>
    </row>
    <row r="231" spans="10:148" ht="6.95" customHeight="1" x14ac:dyDescent="0.15">
      <c r="J231" s="162"/>
      <c r="L231" s="2"/>
      <c r="M231" s="2"/>
      <c r="N231" s="2"/>
      <c r="O231" s="2"/>
      <c r="P231" s="2"/>
      <c r="Q231" s="2"/>
      <c r="R231" s="88"/>
      <c r="S231" s="88"/>
      <c r="T231" s="88"/>
      <c r="U231" s="196"/>
      <c r="V231" s="196"/>
      <c r="W231" s="196"/>
      <c r="X231" s="196"/>
      <c r="Y231" s="196"/>
      <c r="Z231" s="196"/>
      <c r="AA231" s="196"/>
      <c r="AB231" s="196"/>
      <c r="AC231" s="165"/>
      <c r="AD231" s="56"/>
      <c r="AE231" s="3"/>
      <c r="AF231" s="193" t="s">
        <v>44</v>
      </c>
      <c r="AG231" s="193"/>
      <c r="AH231" s="193"/>
      <c r="AI231" s="193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1"/>
      <c r="BI231" s="1"/>
      <c r="BJ231" s="1"/>
      <c r="BK231" s="1"/>
      <c r="BL231" s="1"/>
      <c r="BM231" s="1"/>
      <c r="BN231" s="1"/>
      <c r="BO231" s="1"/>
      <c r="BP231" s="99"/>
      <c r="BR231" s="56"/>
      <c r="BS231" s="3"/>
      <c r="BT231" s="193" t="s">
        <v>28</v>
      </c>
      <c r="BU231" s="193"/>
      <c r="BV231" s="193"/>
      <c r="BW231" s="193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1"/>
      <c r="CW231" s="1"/>
      <c r="CX231" s="1"/>
      <c r="CY231" s="1"/>
      <c r="CZ231" s="1"/>
      <c r="DA231" s="1"/>
      <c r="DB231" s="1"/>
      <c r="DC231" s="1"/>
      <c r="DD231" s="99"/>
      <c r="DF231" s="3"/>
      <c r="DG231" s="3"/>
      <c r="DH231" s="3"/>
      <c r="DI231" s="3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1"/>
      <c r="EJ231" s="1"/>
      <c r="EK231" s="1"/>
      <c r="EL231" s="1"/>
      <c r="EM231" s="1"/>
      <c r="EN231" s="1"/>
      <c r="EO231" s="1"/>
      <c r="EP231" s="1"/>
      <c r="EQ231" s="1"/>
      <c r="ER231" s="1"/>
    </row>
    <row r="232" spans="10:148" ht="6.95" customHeight="1" x14ac:dyDescent="0.15"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5"/>
      <c r="AD232" s="56"/>
      <c r="AE232" s="3"/>
      <c r="AF232" s="193"/>
      <c r="AG232" s="193"/>
      <c r="AH232" s="193"/>
      <c r="AI232" s="193"/>
      <c r="AJ232" s="2"/>
      <c r="AK232" s="2"/>
      <c r="AL232" s="2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1"/>
      <c r="BI232" s="1"/>
      <c r="BJ232" s="1"/>
      <c r="BK232" s="1"/>
      <c r="BL232" s="1"/>
      <c r="BM232" s="1"/>
      <c r="BN232" s="1"/>
      <c r="BO232" s="1"/>
      <c r="BP232" s="99"/>
      <c r="BR232" s="56"/>
      <c r="BS232" s="3"/>
      <c r="BT232" s="193"/>
      <c r="BU232" s="193"/>
      <c r="BV232" s="193"/>
      <c r="BW232" s="193"/>
      <c r="BX232" s="181"/>
      <c r="BY232" s="181"/>
      <c r="BZ232" s="181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1"/>
      <c r="CW232" s="1"/>
      <c r="CX232" s="1"/>
      <c r="CY232" s="1"/>
      <c r="CZ232" s="1"/>
      <c r="DA232" s="1"/>
      <c r="DB232" s="1"/>
      <c r="DC232" s="1"/>
      <c r="DD232" s="99"/>
      <c r="DF232" s="3"/>
      <c r="DG232" s="3"/>
      <c r="DH232" s="3"/>
      <c r="DI232" s="3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1"/>
      <c r="EJ232" s="1"/>
      <c r="EK232" s="1"/>
      <c r="EL232" s="1"/>
      <c r="EM232" s="1"/>
      <c r="EN232" s="1"/>
      <c r="EO232" s="1"/>
      <c r="EP232" s="1"/>
      <c r="EQ232" s="1"/>
      <c r="ER232" s="1"/>
    </row>
    <row r="233" spans="10:148" ht="6.95" customHeight="1" x14ac:dyDescent="0.15"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5"/>
      <c r="AD233" s="56"/>
      <c r="AE233" s="3"/>
      <c r="AF233" s="3"/>
      <c r="AG233" s="3"/>
      <c r="AH233" s="3"/>
      <c r="AI233" s="4"/>
      <c r="AJ233" s="194">
        <f>CHOOSE(SUM((AD188&gt;={700,750,800,850,900,950})*1), 205,255,305,355,405,455)</f>
        <v>305</v>
      </c>
      <c r="AK233" s="194"/>
      <c r="AL233" s="194"/>
      <c r="AM233" s="2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111"/>
      <c r="BC233" s="111"/>
      <c r="BD233" s="111"/>
      <c r="BE233" s="4"/>
      <c r="BF233" s="4"/>
      <c r="BG233" s="4"/>
      <c r="BH233" s="1"/>
      <c r="BI233" s="1"/>
      <c r="BJ233" s="1"/>
      <c r="BK233" s="1"/>
      <c r="BL233" s="1"/>
      <c r="BM233" s="1"/>
      <c r="BN233" s="1"/>
      <c r="BO233" s="1"/>
      <c r="BP233" s="99"/>
      <c r="BR233" s="56"/>
      <c r="BS233" s="3"/>
      <c r="BT233" s="3"/>
      <c r="BU233" s="3"/>
      <c r="BV233" s="3"/>
      <c r="BW233" s="4"/>
      <c r="BX233" s="194">
        <f>CHOOSE(SUM((BR188&gt;={700,750,800,850,900,950})*1), 205,255,305,355,405,455)</f>
        <v>305</v>
      </c>
      <c r="BY233" s="194"/>
      <c r="BZ233" s="194"/>
      <c r="CA233" s="181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182"/>
      <c r="CQ233" s="182"/>
      <c r="CR233" s="182"/>
      <c r="CS233" s="4"/>
      <c r="CT233" s="4"/>
      <c r="CU233" s="4"/>
      <c r="CV233" s="1"/>
      <c r="CW233" s="1"/>
      <c r="CX233" s="1"/>
      <c r="CY233" s="1"/>
      <c r="CZ233" s="1"/>
      <c r="DA233" s="1"/>
      <c r="DB233" s="1"/>
      <c r="DC233" s="1"/>
      <c r="DD233" s="99"/>
      <c r="DF233" s="3"/>
      <c r="DG233" s="3"/>
      <c r="DH233" s="3"/>
      <c r="DI233" s="3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88"/>
      <c r="ED233" s="88"/>
      <c r="EE233" s="88"/>
      <c r="EF233" s="88"/>
      <c r="EG233" s="88"/>
      <c r="EH233" s="88"/>
      <c r="EI233" s="88"/>
      <c r="EJ233" s="88"/>
      <c r="EK233" s="88"/>
      <c r="EL233" s="88"/>
      <c r="EM233" s="1"/>
      <c r="EN233" s="1"/>
      <c r="EO233" s="1"/>
      <c r="EP233" s="1"/>
      <c r="EQ233" s="1"/>
      <c r="ER233" s="1"/>
    </row>
    <row r="234" spans="10:148" ht="6.95" customHeight="1" x14ac:dyDescent="0.15">
      <c r="AC234" s="89"/>
      <c r="AD234" s="56"/>
      <c r="AE234" s="3"/>
      <c r="AF234" s="3"/>
      <c r="AG234" s="3"/>
      <c r="AH234" s="3"/>
      <c r="AI234" s="4"/>
      <c r="AJ234" s="194"/>
      <c r="AK234" s="194"/>
      <c r="AL234" s="194"/>
      <c r="AM234" s="2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195">
        <f>CHOOSE(SUM((AD188&gt;={700,750,800,850,900,950})*1), 290,360,430,500,570,640)</f>
        <v>430</v>
      </c>
      <c r="BC234" s="195"/>
      <c r="BD234" s="195"/>
      <c r="BE234" s="88"/>
      <c r="BF234" s="88"/>
      <c r="BG234" s="88"/>
      <c r="BH234" s="196" t="s">
        <v>42</v>
      </c>
      <c r="BI234" s="196"/>
      <c r="BJ234" s="196"/>
      <c r="BK234" s="196">
        <v>2</v>
      </c>
      <c r="BL234" s="196"/>
      <c r="BM234" s="196" t="s">
        <v>43</v>
      </c>
      <c r="BN234" s="196"/>
      <c r="BO234" s="196"/>
      <c r="BP234" s="99"/>
      <c r="BR234" s="56"/>
      <c r="BS234" s="3"/>
      <c r="BT234" s="3"/>
      <c r="BU234" s="3"/>
      <c r="BV234" s="3"/>
      <c r="BW234" s="4"/>
      <c r="BX234" s="194"/>
      <c r="BY234" s="194"/>
      <c r="BZ234" s="194"/>
      <c r="CA234" s="181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195">
        <f>CHOOSE(SUM((BR188&gt;={700,750,800,850,900,950})*1), 290,360,430,500,570,640)</f>
        <v>430</v>
      </c>
      <c r="CQ234" s="195"/>
      <c r="CR234" s="195"/>
      <c r="CS234" s="88"/>
      <c r="CT234" s="88"/>
      <c r="CU234" s="88"/>
      <c r="CV234" s="196" t="s">
        <v>42</v>
      </c>
      <c r="CW234" s="196"/>
      <c r="CX234" s="196"/>
      <c r="CY234" s="196">
        <v>2</v>
      </c>
      <c r="CZ234" s="196"/>
      <c r="DA234" s="196" t="s">
        <v>43</v>
      </c>
      <c r="DB234" s="196"/>
      <c r="DC234" s="196"/>
      <c r="DD234" s="99"/>
      <c r="DF234" s="3"/>
      <c r="DG234" s="3"/>
      <c r="DH234" s="3"/>
      <c r="DI234" s="3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88"/>
      <c r="ED234" s="88"/>
      <c r="EE234" s="88"/>
      <c r="EF234" s="88"/>
      <c r="EG234" s="88"/>
      <c r="EH234" s="88"/>
      <c r="EI234" s="88"/>
      <c r="EJ234" s="88"/>
      <c r="EK234" s="88"/>
      <c r="EL234" s="88"/>
      <c r="EM234" s="1"/>
      <c r="EN234" s="1"/>
      <c r="EO234" s="1"/>
      <c r="EP234" s="1"/>
      <c r="EQ234" s="1"/>
      <c r="ER234" s="1"/>
    </row>
    <row r="235" spans="10:148" ht="6.95" customHeight="1" x14ac:dyDescent="0.15">
      <c r="AC235" s="89"/>
      <c r="AD235" s="115"/>
      <c r="AE235" s="116"/>
      <c r="AF235" s="3"/>
      <c r="AG235" s="3"/>
      <c r="AH235" s="3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195"/>
      <c r="BC235" s="195"/>
      <c r="BD235" s="195"/>
      <c r="BE235" s="88"/>
      <c r="BF235" s="88"/>
      <c r="BG235" s="88"/>
      <c r="BH235" s="196"/>
      <c r="BI235" s="196"/>
      <c r="BJ235" s="196"/>
      <c r="BK235" s="196"/>
      <c r="BL235" s="196"/>
      <c r="BM235" s="196"/>
      <c r="BN235" s="196"/>
      <c r="BO235" s="196"/>
      <c r="BP235" s="99"/>
      <c r="BR235" s="115"/>
      <c r="BS235" s="116"/>
      <c r="BT235" s="3"/>
      <c r="BU235" s="3"/>
      <c r="BV235" s="3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195"/>
      <c r="CQ235" s="195"/>
      <c r="CR235" s="195"/>
      <c r="CS235" s="88"/>
      <c r="CT235" s="88"/>
      <c r="CU235" s="88"/>
      <c r="CV235" s="196"/>
      <c r="CW235" s="196"/>
      <c r="CX235" s="196"/>
      <c r="CY235" s="196"/>
      <c r="CZ235" s="196"/>
      <c r="DA235" s="196"/>
      <c r="DB235" s="196"/>
      <c r="DC235" s="196"/>
      <c r="DD235" s="99"/>
      <c r="DF235" s="3"/>
      <c r="DG235" s="3"/>
      <c r="DH235" s="3"/>
      <c r="DI235" s="3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1"/>
      <c r="EJ235" s="1"/>
      <c r="EK235" s="1"/>
      <c r="EL235" s="1"/>
      <c r="EM235" s="1"/>
      <c r="EN235" s="1"/>
      <c r="EO235" s="1"/>
      <c r="EP235" s="1"/>
      <c r="EQ235" s="1"/>
      <c r="ER235" s="1"/>
    </row>
    <row r="236" spans="10:148" ht="6.95" customHeight="1" thickBot="1" x14ac:dyDescent="0.2">
      <c r="AC236" s="89"/>
      <c r="AD236" s="114"/>
      <c r="AE236" s="117"/>
      <c r="AF236" s="51"/>
      <c r="AG236" s="51"/>
      <c r="AH236" s="51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100"/>
      <c r="BI236" s="100"/>
      <c r="BJ236" s="100"/>
      <c r="BK236" s="100"/>
      <c r="BL236" s="100"/>
      <c r="BM236" s="100"/>
      <c r="BN236" s="100"/>
      <c r="BO236" s="100"/>
      <c r="BP236" s="101"/>
      <c r="BR236" s="114"/>
      <c r="BS236" s="117"/>
      <c r="BT236" s="51"/>
      <c r="BU236" s="51"/>
      <c r="BV236" s="51"/>
      <c r="BW236" s="55"/>
      <c r="BX236" s="55"/>
      <c r="BY236" s="55"/>
      <c r="BZ236" s="55"/>
      <c r="CA236" s="55"/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CM236" s="55"/>
      <c r="CN236" s="55"/>
      <c r="CO236" s="55"/>
      <c r="CP236" s="55"/>
      <c r="CQ236" s="55"/>
      <c r="CR236" s="55"/>
      <c r="CS236" s="55"/>
      <c r="CT236" s="55"/>
      <c r="CU236" s="55"/>
      <c r="CV236" s="100"/>
      <c r="CW236" s="100"/>
      <c r="CX236" s="100"/>
      <c r="CY236" s="100"/>
      <c r="CZ236" s="100"/>
      <c r="DA236" s="100"/>
      <c r="DB236" s="100"/>
      <c r="DC236" s="100"/>
      <c r="DD236" s="101"/>
      <c r="DF236" s="3"/>
      <c r="DG236" s="3"/>
      <c r="DH236" s="3"/>
      <c r="DI236" s="3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1"/>
      <c r="EJ236" s="1"/>
      <c r="EK236" s="1"/>
      <c r="EL236" s="1"/>
      <c r="EM236" s="1"/>
      <c r="EN236" s="1"/>
      <c r="EO236" s="1"/>
      <c r="EP236" s="1"/>
      <c r="EQ236" s="1"/>
      <c r="ER236" s="1"/>
    </row>
    <row r="237" spans="10:148" ht="6.95" customHeight="1" thickBot="1" x14ac:dyDescent="0.2">
      <c r="AC237" s="89"/>
      <c r="AD237" s="3"/>
      <c r="AE237" s="3"/>
      <c r="AF237" s="3"/>
      <c r="AG237" s="3"/>
      <c r="AH237" s="3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1"/>
      <c r="BI237" s="1"/>
      <c r="BJ237" s="1"/>
      <c r="BK237" s="1"/>
      <c r="BL237" s="1"/>
      <c r="BM237" s="1"/>
      <c r="BN237" s="1"/>
      <c r="BO237" s="1"/>
      <c r="BP237" s="1"/>
      <c r="BR237" s="51"/>
      <c r="BS237" s="51"/>
      <c r="BT237" s="51"/>
      <c r="BU237" s="3"/>
      <c r="BV237" s="3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1"/>
      <c r="CW237" s="1"/>
      <c r="CX237" s="1"/>
      <c r="CY237" s="1"/>
      <c r="CZ237" s="1"/>
      <c r="DA237" s="1"/>
      <c r="DB237" s="1"/>
      <c r="DC237" s="1"/>
      <c r="DD237" s="1"/>
      <c r="DF237" s="3"/>
      <c r="DG237" s="3"/>
      <c r="DH237" s="3"/>
      <c r="DI237" s="3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1"/>
      <c r="EJ237" s="1"/>
      <c r="EK237" s="1"/>
      <c r="EL237" s="1"/>
      <c r="EM237" s="1"/>
      <c r="EN237" s="1"/>
      <c r="EO237" s="1"/>
      <c r="EP237" s="1"/>
      <c r="EQ237" s="1"/>
      <c r="ER237" s="1"/>
    </row>
    <row r="238" spans="10:148" ht="10.5" customHeight="1" thickBot="1" x14ac:dyDescent="0.2">
      <c r="AC238" s="89"/>
      <c r="AD238" s="201">
        <v>800</v>
      </c>
      <c r="AE238" s="201"/>
      <c r="AF238" s="201"/>
      <c r="BR238" s="216">
        <v>800</v>
      </c>
      <c r="BS238" s="216"/>
      <c r="BT238" s="216"/>
    </row>
    <row r="239" spans="10:148" ht="6.95" customHeight="1" thickBot="1" x14ac:dyDescent="0.2">
      <c r="AA239" s="89"/>
      <c r="AB239" s="89"/>
      <c r="AC239" s="89"/>
      <c r="AD239" s="108" t="s">
        <v>25</v>
      </c>
      <c r="AE239" s="109"/>
      <c r="AF239" s="109"/>
      <c r="AG239" s="109"/>
      <c r="AH239" s="109"/>
      <c r="AI239" s="202" t="s">
        <v>40</v>
      </c>
      <c r="AJ239" s="202"/>
      <c r="AK239" s="202">
        <v>1</v>
      </c>
      <c r="AL239" s="202"/>
      <c r="AM239" s="202" t="s">
        <v>41</v>
      </c>
      <c r="AN239" s="202"/>
      <c r="AO239" s="202"/>
      <c r="AP239" s="202"/>
      <c r="AQ239" s="202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6">
        <f>SUM(AR257,BK257,AR265,BK265,AW277,AW279,BK284)*AK239</f>
        <v>28</v>
      </c>
      <c r="BN239" s="206"/>
      <c r="BO239" s="206"/>
      <c r="BP239" s="208"/>
      <c r="BR239" s="108" t="s">
        <v>25</v>
      </c>
      <c r="BS239" s="109"/>
      <c r="BT239" s="109"/>
      <c r="BU239" s="109"/>
      <c r="BV239" s="109"/>
      <c r="BW239" s="202" t="s">
        <v>40</v>
      </c>
      <c r="BX239" s="202"/>
      <c r="BY239" s="202">
        <v>1</v>
      </c>
      <c r="BZ239" s="202"/>
      <c r="CA239" s="202" t="s">
        <v>41</v>
      </c>
      <c r="CB239" s="202"/>
      <c r="CC239" s="202"/>
      <c r="CD239" s="202"/>
      <c r="CE239" s="202"/>
      <c r="CF239" s="204"/>
      <c r="CG239" s="204"/>
      <c r="CH239" s="204"/>
      <c r="CI239" s="204"/>
      <c r="CJ239" s="204"/>
      <c r="CK239" s="204"/>
      <c r="CL239" s="204"/>
      <c r="CM239" s="204"/>
      <c r="CN239" s="204"/>
      <c r="CO239" s="204"/>
      <c r="CP239" s="204"/>
      <c r="CQ239" s="204"/>
      <c r="CR239" s="204"/>
      <c r="CS239" s="204"/>
      <c r="CT239" s="204"/>
      <c r="CU239" s="204"/>
      <c r="CV239" s="204"/>
      <c r="CW239" s="204"/>
      <c r="CX239" s="204"/>
      <c r="CY239" s="204"/>
      <c r="CZ239" s="204"/>
      <c r="DA239" s="206">
        <f>SUM(CF257,CY257,CF265,CY265,CK279,CK277,CY284)*BY239</f>
        <v>28</v>
      </c>
      <c r="DB239" s="206"/>
      <c r="DC239" s="206"/>
      <c r="DD239" s="208"/>
      <c r="DF239" s="201">
        <v>750</v>
      </c>
      <c r="DG239" s="201"/>
      <c r="DH239" s="201"/>
    </row>
    <row r="240" spans="10:148" ht="6.95" customHeight="1" thickBot="1" x14ac:dyDescent="0.2">
      <c r="AA240" s="89"/>
      <c r="AB240" s="89"/>
      <c r="AC240" s="99"/>
      <c r="AD240" s="80"/>
      <c r="AE240" s="81"/>
      <c r="AF240" s="81"/>
      <c r="AG240" s="81"/>
      <c r="AH240" s="81"/>
      <c r="AI240" s="203"/>
      <c r="AJ240" s="203"/>
      <c r="AK240" s="203"/>
      <c r="AL240" s="203"/>
      <c r="AM240" s="203"/>
      <c r="AN240" s="203"/>
      <c r="AO240" s="203"/>
      <c r="AP240" s="203"/>
      <c r="AQ240" s="203"/>
      <c r="AR240" s="205"/>
      <c r="AS240" s="205"/>
      <c r="AT240" s="205"/>
      <c r="AU240" s="205"/>
      <c r="AV240" s="205"/>
      <c r="AW240" s="205"/>
      <c r="AX240" s="205"/>
      <c r="AY240" s="205"/>
      <c r="AZ240" s="205"/>
      <c r="BA240" s="205"/>
      <c r="BB240" s="205"/>
      <c r="BC240" s="205"/>
      <c r="BD240" s="205"/>
      <c r="BE240" s="205"/>
      <c r="BF240" s="205"/>
      <c r="BG240" s="205"/>
      <c r="BH240" s="205"/>
      <c r="BI240" s="205"/>
      <c r="BJ240" s="205"/>
      <c r="BK240" s="205"/>
      <c r="BL240" s="205"/>
      <c r="BM240" s="207"/>
      <c r="BN240" s="207"/>
      <c r="BO240" s="207"/>
      <c r="BP240" s="209"/>
      <c r="BR240" s="80"/>
      <c r="BS240" s="81"/>
      <c r="BT240" s="81"/>
      <c r="BU240" s="81"/>
      <c r="BV240" s="81"/>
      <c r="BW240" s="203"/>
      <c r="BX240" s="203"/>
      <c r="BY240" s="203"/>
      <c r="BZ240" s="203"/>
      <c r="CA240" s="203"/>
      <c r="CB240" s="203"/>
      <c r="CC240" s="203"/>
      <c r="CD240" s="203"/>
      <c r="CE240" s="203"/>
      <c r="CF240" s="205"/>
      <c r="CG240" s="205"/>
      <c r="CH240" s="205"/>
      <c r="CI240" s="205"/>
      <c r="CJ240" s="205"/>
      <c r="CK240" s="205"/>
      <c r="CL240" s="205"/>
      <c r="CM240" s="205"/>
      <c r="CN240" s="205"/>
      <c r="CO240" s="205"/>
      <c r="CP240" s="205"/>
      <c r="CQ240" s="205"/>
      <c r="CR240" s="205"/>
      <c r="CS240" s="205"/>
      <c r="CT240" s="205"/>
      <c r="CU240" s="205"/>
      <c r="CV240" s="205"/>
      <c r="CW240" s="205"/>
      <c r="CX240" s="205"/>
      <c r="CY240" s="205"/>
      <c r="CZ240" s="205"/>
      <c r="DA240" s="207"/>
      <c r="DB240" s="207"/>
      <c r="DC240" s="207"/>
      <c r="DD240" s="209"/>
      <c r="DF240" s="108" t="s">
        <v>25</v>
      </c>
      <c r="DG240" s="109"/>
      <c r="DH240" s="109"/>
      <c r="DI240" s="109"/>
      <c r="DJ240" s="109"/>
      <c r="DK240" s="202" t="s">
        <v>40</v>
      </c>
      <c r="DL240" s="202"/>
      <c r="DM240" s="202">
        <v>1</v>
      </c>
      <c r="DN240" s="202"/>
      <c r="DO240" s="202" t="s">
        <v>41</v>
      </c>
      <c r="DP240" s="202"/>
      <c r="DQ240" s="202"/>
      <c r="DR240" s="202"/>
      <c r="DS240" s="202"/>
      <c r="DT240" s="204"/>
      <c r="DU240" s="204"/>
      <c r="DV240" s="204"/>
      <c r="DW240" s="204"/>
      <c r="DX240" s="204"/>
      <c r="DY240" s="204"/>
      <c r="DZ240" s="204"/>
      <c r="EA240" s="204"/>
      <c r="EB240" s="204"/>
      <c r="EC240" s="204"/>
      <c r="ED240" s="204"/>
      <c r="EE240" s="204"/>
      <c r="EF240" s="204"/>
      <c r="EG240" s="204"/>
      <c r="EH240" s="204"/>
      <c r="EI240" s="204"/>
      <c r="EJ240" s="204"/>
      <c r="EK240" s="204"/>
      <c r="EL240" s="204"/>
      <c r="EM240" s="204"/>
      <c r="EN240" s="204"/>
      <c r="EO240" s="206">
        <f>SUM(DT258,EM258,DT266,EM266,EM285,DY278)*DM240</f>
        <v>14</v>
      </c>
      <c r="EP240" s="206"/>
      <c r="EQ240" s="206"/>
      <c r="ER240" s="208"/>
    </row>
    <row r="241" spans="30:148" ht="6.95" customHeight="1" thickBot="1" x14ac:dyDescent="0.2">
      <c r="AD241" s="5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1"/>
      <c r="BI241" s="1"/>
      <c r="BJ241" s="1"/>
      <c r="BK241" s="1"/>
      <c r="BL241" s="1"/>
      <c r="BM241" s="1"/>
      <c r="BN241" s="92"/>
      <c r="BO241" s="92"/>
      <c r="BP241" s="98"/>
      <c r="BR241" s="5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1"/>
      <c r="CW241" s="1"/>
      <c r="CX241" s="1"/>
      <c r="CY241" s="1"/>
      <c r="CZ241" s="1"/>
      <c r="DA241" s="1"/>
      <c r="DB241" s="92"/>
      <c r="DC241" s="92"/>
      <c r="DD241" s="98"/>
      <c r="DF241" s="80"/>
      <c r="DG241" s="81"/>
      <c r="DH241" s="81"/>
      <c r="DI241" s="81"/>
      <c r="DJ241" s="81"/>
      <c r="DK241" s="203"/>
      <c r="DL241" s="203"/>
      <c r="DM241" s="203"/>
      <c r="DN241" s="203"/>
      <c r="DO241" s="203"/>
      <c r="DP241" s="203"/>
      <c r="DQ241" s="203"/>
      <c r="DR241" s="203"/>
      <c r="DS241" s="203"/>
      <c r="DT241" s="205"/>
      <c r="DU241" s="205"/>
      <c r="DV241" s="205"/>
      <c r="DW241" s="205"/>
      <c r="DX241" s="205"/>
      <c r="DY241" s="205"/>
      <c r="DZ241" s="205"/>
      <c r="EA241" s="205"/>
      <c r="EB241" s="205"/>
      <c r="EC241" s="205"/>
      <c r="ED241" s="205"/>
      <c r="EE241" s="205"/>
      <c r="EF241" s="205"/>
      <c r="EG241" s="205"/>
      <c r="EH241" s="205"/>
      <c r="EI241" s="205"/>
      <c r="EJ241" s="205"/>
      <c r="EK241" s="205"/>
      <c r="EL241" s="205"/>
      <c r="EM241" s="205"/>
      <c r="EN241" s="205"/>
      <c r="EO241" s="207"/>
      <c r="EP241" s="207"/>
      <c r="EQ241" s="207"/>
      <c r="ER241" s="209"/>
    </row>
    <row r="242" spans="30:148" ht="6.95" customHeight="1" x14ac:dyDescent="0.15">
      <c r="AD242" s="5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1"/>
      <c r="BI242" s="1"/>
      <c r="BJ242" s="1"/>
      <c r="BK242" s="1"/>
      <c r="BL242" s="1"/>
      <c r="BM242" s="1"/>
      <c r="BN242" s="1"/>
      <c r="BO242" s="1"/>
      <c r="BP242" s="99"/>
      <c r="BR242" s="5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1"/>
      <c r="CW242" s="1"/>
      <c r="CX242" s="1"/>
      <c r="CY242" s="1"/>
      <c r="CZ242" s="1"/>
      <c r="DA242" s="1"/>
      <c r="DB242" s="1"/>
      <c r="DC242" s="1"/>
      <c r="DD242" s="99"/>
      <c r="DF242" s="52"/>
      <c r="DG242" s="191"/>
      <c r="DH242" s="191"/>
      <c r="DI242" s="191"/>
      <c r="DJ242" s="191"/>
      <c r="DK242" s="191"/>
      <c r="DL242" s="191"/>
      <c r="DM242" s="191"/>
      <c r="DN242" s="191"/>
      <c r="DO242" s="191"/>
      <c r="DP242" s="191"/>
      <c r="DQ242" s="191"/>
      <c r="DR242" s="191"/>
      <c r="DS242" s="191"/>
      <c r="DT242" s="191"/>
      <c r="DU242" s="191"/>
      <c r="DV242" s="191"/>
      <c r="DW242" s="191"/>
      <c r="DX242" s="191"/>
      <c r="DY242" s="191"/>
      <c r="DZ242" s="191"/>
      <c r="EA242" s="191"/>
      <c r="EB242" s="191"/>
      <c r="EC242" s="191"/>
      <c r="ED242" s="191"/>
      <c r="EE242" s="191"/>
      <c r="EF242" s="191"/>
      <c r="EG242" s="191"/>
      <c r="EH242" s="191"/>
      <c r="EI242" s="191"/>
      <c r="EJ242" s="1"/>
      <c r="EK242" s="1"/>
      <c r="EL242" s="1"/>
      <c r="EM242" s="1"/>
      <c r="EN242" s="1"/>
      <c r="EO242" s="1"/>
      <c r="EP242" s="92"/>
      <c r="EQ242" s="92"/>
      <c r="ER242" s="98"/>
    </row>
    <row r="243" spans="30:148" ht="6.95" customHeight="1" x14ac:dyDescent="0.15">
      <c r="AD243" s="5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1"/>
      <c r="BI243" s="1"/>
      <c r="BJ243" s="1"/>
      <c r="BK243" s="1"/>
      <c r="BL243" s="1"/>
      <c r="BM243" s="1"/>
      <c r="BN243" s="1"/>
      <c r="BO243" s="1"/>
      <c r="BP243" s="99"/>
      <c r="BR243" s="5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1"/>
      <c r="CW243" s="1"/>
      <c r="CX243" s="1"/>
      <c r="CY243" s="1"/>
      <c r="CZ243" s="1"/>
      <c r="DA243" s="1"/>
      <c r="DB243" s="1"/>
      <c r="DC243" s="1"/>
      <c r="DD243" s="99"/>
      <c r="DF243" s="52"/>
      <c r="DG243" s="191"/>
      <c r="DH243" s="191"/>
      <c r="DI243" s="191"/>
      <c r="DJ243" s="191"/>
      <c r="DK243" s="191"/>
      <c r="DL243" s="191"/>
      <c r="DM243" s="191"/>
      <c r="DN243" s="191"/>
      <c r="DO243" s="191"/>
      <c r="DP243" s="191"/>
      <c r="DQ243" s="191"/>
      <c r="DR243" s="191"/>
      <c r="DS243" s="191"/>
      <c r="DT243" s="191"/>
      <c r="DU243" s="191"/>
      <c r="DV243" s="191"/>
      <c r="DW243" s="191"/>
      <c r="DX243" s="191"/>
      <c r="DY243" s="191"/>
      <c r="DZ243" s="191"/>
      <c r="EA243" s="191"/>
      <c r="EB243" s="191"/>
      <c r="EC243" s="191"/>
      <c r="ED243" s="191"/>
      <c r="EE243" s="191"/>
      <c r="EF243" s="191"/>
      <c r="EG243" s="191"/>
      <c r="EH243" s="191"/>
      <c r="EI243" s="191"/>
      <c r="EJ243" s="1"/>
      <c r="EK243" s="1"/>
      <c r="EL243" s="1"/>
      <c r="EM243" s="1"/>
      <c r="EN243" s="1"/>
      <c r="EO243" s="1"/>
      <c r="EP243" s="1"/>
      <c r="EQ243" s="1"/>
      <c r="ER243" s="99"/>
    </row>
    <row r="244" spans="30:148" ht="6.95" customHeight="1" x14ac:dyDescent="0.15">
      <c r="AD244" s="5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1"/>
      <c r="BI244" s="1"/>
      <c r="BJ244" s="1"/>
      <c r="BK244" s="1"/>
      <c r="BL244" s="1"/>
      <c r="BM244" s="1"/>
      <c r="BN244" s="1"/>
      <c r="BO244" s="1"/>
      <c r="BP244" s="99"/>
      <c r="BR244" s="5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1"/>
      <c r="CW244" s="1"/>
      <c r="CX244" s="1"/>
      <c r="CY244" s="1"/>
      <c r="CZ244" s="1"/>
      <c r="DA244" s="1"/>
      <c r="DB244" s="1"/>
      <c r="DC244" s="1"/>
      <c r="DD244" s="99"/>
      <c r="DF244" s="52"/>
      <c r="DG244" s="191"/>
      <c r="DH244" s="191"/>
      <c r="DI244" s="191"/>
      <c r="DJ244" s="191"/>
      <c r="DK244" s="191"/>
      <c r="DL244" s="191"/>
      <c r="DM244" s="191"/>
      <c r="DN244" s="191"/>
      <c r="DO244" s="191"/>
      <c r="DP244" s="191"/>
      <c r="DQ244" s="191"/>
      <c r="DR244" s="191"/>
      <c r="DS244" s="191"/>
      <c r="DT244" s="191"/>
      <c r="DU244" s="191"/>
      <c r="DV244" s="191"/>
      <c r="DW244" s="191"/>
      <c r="DX244" s="191"/>
      <c r="DY244" s="191"/>
      <c r="DZ244" s="191"/>
      <c r="EA244" s="191"/>
      <c r="EB244" s="191"/>
      <c r="EC244" s="191"/>
      <c r="ED244" s="191"/>
      <c r="EE244" s="191"/>
      <c r="EF244" s="191"/>
      <c r="EG244" s="191"/>
      <c r="EH244" s="191"/>
      <c r="EI244" s="191"/>
      <c r="EJ244" s="1"/>
      <c r="EK244" s="1"/>
      <c r="EL244" s="1"/>
      <c r="EM244" s="1"/>
      <c r="EN244" s="1"/>
      <c r="EO244" s="1"/>
      <c r="EP244" s="1"/>
      <c r="EQ244" s="1"/>
      <c r="ER244" s="99"/>
    </row>
    <row r="245" spans="30:148" ht="6.95" customHeight="1" x14ac:dyDescent="0.15">
      <c r="AD245" s="5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1"/>
      <c r="BI245" s="1"/>
      <c r="BJ245" s="1"/>
      <c r="BK245" s="1"/>
      <c r="BL245" s="1"/>
      <c r="BM245" s="1"/>
      <c r="BN245" s="1"/>
      <c r="BO245" s="1"/>
      <c r="BP245" s="99"/>
      <c r="BR245" s="5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1"/>
      <c r="CW245" s="1"/>
      <c r="CX245" s="1"/>
      <c r="CY245" s="1"/>
      <c r="CZ245" s="1"/>
      <c r="DA245" s="1"/>
      <c r="DB245" s="1"/>
      <c r="DC245" s="1"/>
      <c r="DD245" s="99"/>
      <c r="DF245" s="52"/>
      <c r="DG245" s="191"/>
      <c r="DH245" s="191"/>
      <c r="DI245" s="191"/>
      <c r="DJ245" s="191"/>
      <c r="DK245" s="191"/>
      <c r="DL245" s="191"/>
      <c r="DM245" s="191"/>
      <c r="DN245" s="191"/>
      <c r="DO245" s="191"/>
      <c r="DP245" s="191"/>
      <c r="DQ245" s="191"/>
      <c r="DR245" s="191"/>
      <c r="DS245" s="191"/>
      <c r="DT245" s="191"/>
      <c r="DU245" s="191"/>
      <c r="DV245" s="191"/>
      <c r="DW245" s="191"/>
      <c r="DX245" s="191"/>
      <c r="DY245" s="191"/>
      <c r="DZ245" s="191"/>
      <c r="EA245" s="191"/>
      <c r="EB245" s="191"/>
      <c r="EC245" s="191"/>
      <c r="ED245" s="191"/>
      <c r="EE245" s="191"/>
      <c r="EF245" s="191"/>
      <c r="EG245" s="191"/>
      <c r="EH245" s="191"/>
      <c r="EI245" s="191"/>
      <c r="EJ245" s="1"/>
      <c r="EK245" s="1"/>
      <c r="EL245" s="1"/>
      <c r="EM245" s="1"/>
      <c r="EN245" s="1"/>
      <c r="EO245" s="1"/>
      <c r="EP245" s="1"/>
      <c r="EQ245" s="1"/>
      <c r="ER245" s="99"/>
    </row>
    <row r="246" spans="30:148" ht="6.95" customHeight="1" x14ac:dyDescent="0.15">
      <c r="AD246" s="5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1"/>
      <c r="BI246" s="1"/>
      <c r="BJ246" s="1"/>
      <c r="BK246" s="1"/>
      <c r="BL246" s="1"/>
      <c r="BM246" s="1"/>
      <c r="BN246" s="1"/>
      <c r="BO246" s="1"/>
      <c r="BP246" s="99"/>
      <c r="BR246" s="5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1"/>
      <c r="CW246" s="1"/>
      <c r="CX246" s="1"/>
      <c r="CY246" s="1"/>
      <c r="CZ246" s="1"/>
      <c r="DA246" s="1"/>
      <c r="DB246" s="1"/>
      <c r="DC246" s="1"/>
      <c r="DD246" s="99"/>
      <c r="DF246" s="52"/>
      <c r="DG246" s="191"/>
      <c r="DH246" s="191"/>
      <c r="DI246" s="191"/>
      <c r="DJ246" s="191"/>
      <c r="DK246" s="191"/>
      <c r="DL246" s="191"/>
      <c r="DM246" s="191"/>
      <c r="DN246" s="191"/>
      <c r="DO246" s="191"/>
      <c r="DP246" s="191"/>
      <c r="DQ246" s="191"/>
      <c r="DR246" s="191"/>
      <c r="DS246" s="191"/>
      <c r="DT246" s="191"/>
      <c r="DU246" s="191"/>
      <c r="DV246" s="191"/>
      <c r="DW246" s="191"/>
      <c r="DX246" s="191"/>
      <c r="DY246" s="191"/>
      <c r="DZ246" s="191"/>
      <c r="EA246" s="191"/>
      <c r="EB246" s="191"/>
      <c r="EC246" s="191"/>
      <c r="ED246" s="191"/>
      <c r="EE246" s="191"/>
      <c r="EF246" s="191"/>
      <c r="EG246" s="191"/>
      <c r="EH246" s="191"/>
      <c r="EI246" s="191"/>
      <c r="EJ246" s="1"/>
      <c r="EK246" s="1"/>
      <c r="EL246" s="1"/>
      <c r="EM246" s="1"/>
      <c r="EN246" s="1"/>
      <c r="EO246" s="1"/>
      <c r="EP246" s="1"/>
      <c r="EQ246" s="1"/>
      <c r="ER246" s="99"/>
    </row>
    <row r="247" spans="30:148" ht="6.95" customHeight="1" x14ac:dyDescent="0.15">
      <c r="AD247" s="5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1"/>
      <c r="BI247" s="1"/>
      <c r="BJ247" s="1"/>
      <c r="BK247" s="1"/>
      <c r="BL247" s="1"/>
      <c r="BM247" s="1"/>
      <c r="BN247" s="1"/>
      <c r="BO247" s="1"/>
      <c r="BP247" s="99"/>
      <c r="BR247" s="5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1"/>
      <c r="CW247" s="1"/>
      <c r="CX247" s="1"/>
      <c r="CY247" s="1"/>
      <c r="CZ247" s="1"/>
      <c r="DA247" s="1"/>
      <c r="DB247" s="1"/>
      <c r="DC247" s="1"/>
      <c r="DD247" s="99"/>
      <c r="DF247" s="52"/>
      <c r="DG247" s="191"/>
      <c r="DH247" s="191"/>
      <c r="DI247" s="191"/>
      <c r="DJ247" s="191"/>
      <c r="DK247" s="191"/>
      <c r="DL247" s="191"/>
      <c r="DM247" s="191"/>
      <c r="DN247" s="191"/>
      <c r="DO247" s="191"/>
      <c r="DP247" s="191"/>
      <c r="DQ247" s="191"/>
      <c r="DR247" s="191"/>
      <c r="DS247" s="191"/>
      <c r="DT247" s="191"/>
      <c r="DU247" s="191"/>
      <c r="DV247" s="191"/>
      <c r="DW247" s="191"/>
      <c r="DX247" s="191"/>
      <c r="DY247" s="191"/>
      <c r="DZ247" s="191"/>
      <c r="EA247" s="191"/>
      <c r="EB247" s="191"/>
      <c r="EC247" s="191"/>
      <c r="ED247" s="191"/>
      <c r="EE247" s="191"/>
      <c r="EF247" s="191"/>
      <c r="EG247" s="191"/>
      <c r="EH247" s="191"/>
      <c r="EI247" s="191"/>
      <c r="EJ247" s="1"/>
      <c r="EK247" s="1"/>
      <c r="EL247" s="1"/>
      <c r="EM247" s="1"/>
      <c r="EN247" s="1"/>
      <c r="EO247" s="1"/>
      <c r="EP247" s="1"/>
      <c r="EQ247" s="1"/>
      <c r="ER247" s="99"/>
    </row>
    <row r="248" spans="30:148" ht="6.95" customHeight="1" x14ac:dyDescent="0.15">
      <c r="AD248" s="210">
        <v>5</v>
      </c>
      <c r="AE248" s="211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1"/>
      <c r="BI248" s="1"/>
      <c r="BJ248" s="1"/>
      <c r="BK248" s="1"/>
      <c r="BL248" s="1"/>
      <c r="BM248" s="1"/>
      <c r="BN248" s="1"/>
      <c r="BO248" s="1"/>
      <c r="BP248" s="99"/>
      <c r="BR248" s="210">
        <v>4</v>
      </c>
      <c r="BS248" s="211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1"/>
      <c r="CW248" s="1"/>
      <c r="CX248" s="1"/>
      <c r="CY248" s="1"/>
      <c r="CZ248" s="1"/>
      <c r="DA248" s="1"/>
      <c r="DB248" s="1"/>
      <c r="DC248" s="1"/>
      <c r="DD248" s="99"/>
      <c r="DF248" s="52"/>
      <c r="DG248" s="191"/>
      <c r="DH248" s="191"/>
      <c r="DI248" s="191"/>
      <c r="DJ248" s="191"/>
      <c r="DK248" s="191"/>
      <c r="DL248" s="191"/>
      <c r="DM248" s="191"/>
      <c r="DN248" s="191"/>
      <c r="DO248" s="191"/>
      <c r="DP248" s="191"/>
      <c r="DQ248" s="191"/>
      <c r="DR248" s="191"/>
      <c r="DS248" s="191"/>
      <c r="DT248" s="191"/>
      <c r="DU248" s="191"/>
      <c r="DV248" s="191"/>
      <c r="DW248" s="191"/>
      <c r="DX248" s="191"/>
      <c r="DY248" s="191"/>
      <c r="DZ248" s="191"/>
      <c r="EA248" s="191"/>
      <c r="EB248" s="191"/>
      <c r="EC248" s="191"/>
      <c r="ED248" s="191"/>
      <c r="EE248" s="191"/>
      <c r="EF248" s="191"/>
      <c r="EG248" s="191"/>
      <c r="EH248" s="191"/>
      <c r="EI248" s="191"/>
      <c r="EJ248" s="1"/>
      <c r="EK248" s="1"/>
      <c r="EL248" s="1"/>
      <c r="EM248" s="1"/>
      <c r="EN248" s="1"/>
      <c r="EO248" s="1"/>
      <c r="EP248" s="1"/>
      <c r="EQ248" s="1"/>
      <c r="ER248" s="99"/>
    </row>
    <row r="249" spans="30:148" ht="6.95" customHeight="1" thickBot="1" x14ac:dyDescent="0.2">
      <c r="AD249" s="212"/>
      <c r="AE249" s="21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100"/>
      <c r="BI249" s="100"/>
      <c r="BJ249" s="100"/>
      <c r="BK249" s="100"/>
      <c r="BL249" s="100"/>
      <c r="BM249" s="100"/>
      <c r="BN249" s="100"/>
      <c r="BO249" s="100"/>
      <c r="BP249" s="101"/>
      <c r="BR249" s="212"/>
      <c r="BS249" s="21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3"/>
      <c r="CS249" s="53"/>
      <c r="CT249" s="53"/>
      <c r="CU249" s="53"/>
      <c r="CV249" s="100"/>
      <c r="CW249" s="100"/>
      <c r="CX249" s="100"/>
      <c r="CY249" s="100"/>
      <c r="CZ249" s="100"/>
      <c r="DA249" s="100"/>
      <c r="DB249" s="100"/>
      <c r="DC249" s="100"/>
      <c r="DD249" s="101"/>
      <c r="DF249" s="210">
        <v>3</v>
      </c>
      <c r="DG249" s="211"/>
      <c r="DH249" s="191"/>
      <c r="DI249" s="191"/>
      <c r="DJ249" s="191"/>
      <c r="DK249" s="191"/>
      <c r="DL249" s="191"/>
      <c r="DM249" s="191"/>
      <c r="DN249" s="191"/>
      <c r="DO249" s="191"/>
      <c r="DP249" s="191"/>
      <c r="DQ249" s="191"/>
      <c r="DR249" s="191"/>
      <c r="DS249" s="191"/>
      <c r="DT249" s="191"/>
      <c r="DU249" s="191"/>
      <c r="DV249" s="191"/>
      <c r="DW249" s="191"/>
      <c r="DX249" s="191"/>
      <c r="DY249" s="191"/>
      <c r="DZ249" s="191"/>
      <c r="EA249" s="191"/>
      <c r="EB249" s="191"/>
      <c r="EC249" s="191"/>
      <c r="ED249" s="191"/>
      <c r="EE249" s="191"/>
      <c r="EF249" s="191"/>
      <c r="EG249" s="191"/>
      <c r="EH249" s="191"/>
      <c r="EI249" s="191"/>
      <c r="EJ249" s="1"/>
      <c r="EK249" s="1"/>
      <c r="EL249" s="1"/>
      <c r="EM249" s="1"/>
      <c r="EN249" s="1"/>
      <c r="EO249" s="1"/>
      <c r="EP249" s="1"/>
      <c r="EQ249" s="1"/>
      <c r="ER249" s="99"/>
    </row>
    <row r="250" spans="30:148" ht="6.95" customHeight="1" thickBot="1" x14ac:dyDescent="0.2">
      <c r="AD250" s="52"/>
      <c r="AE250" s="2"/>
      <c r="AF250" s="214" t="s">
        <v>57</v>
      </c>
      <c r="AG250" s="214"/>
      <c r="AH250" s="214"/>
      <c r="AI250" s="214"/>
      <c r="AJ250" s="82"/>
      <c r="AK250" s="82"/>
      <c r="AL250" s="82"/>
      <c r="AM250" s="82"/>
      <c r="AN250" s="82"/>
      <c r="AO250" s="178"/>
      <c r="AP250" s="178"/>
      <c r="AQ250" s="82"/>
      <c r="AR250" s="82"/>
      <c r="AS250" s="82"/>
      <c r="AT250" s="82"/>
      <c r="AU250" s="82"/>
      <c r="AV250" s="82"/>
      <c r="AW250" s="82"/>
      <c r="AX250" s="82"/>
      <c r="AY250" s="214"/>
      <c r="AZ250" s="214"/>
      <c r="BA250" s="214"/>
      <c r="BB250" s="214"/>
      <c r="BC250" s="82"/>
      <c r="BD250" s="82"/>
      <c r="BE250" s="82"/>
      <c r="BF250" s="82"/>
      <c r="BG250" s="82"/>
      <c r="BH250" s="178"/>
      <c r="BI250" s="178"/>
      <c r="BJ250" s="82"/>
      <c r="BK250" s="82"/>
      <c r="BL250" s="82"/>
      <c r="BM250" s="82"/>
      <c r="BN250" s="82"/>
      <c r="BO250" s="82"/>
      <c r="BP250" s="99"/>
      <c r="BR250" s="52"/>
      <c r="BS250" s="179"/>
      <c r="BT250" s="214" t="s">
        <v>57</v>
      </c>
      <c r="BU250" s="214"/>
      <c r="BV250" s="214"/>
      <c r="BW250" s="214"/>
      <c r="BX250" s="82"/>
      <c r="BY250" s="82"/>
      <c r="BZ250" s="82"/>
      <c r="CA250" s="82"/>
      <c r="CB250" s="82"/>
      <c r="CC250" s="179"/>
      <c r="CD250" s="179"/>
      <c r="CE250" s="82"/>
      <c r="CF250" s="82"/>
      <c r="CG250" s="82"/>
      <c r="CH250" s="82"/>
      <c r="CI250" s="82"/>
      <c r="CJ250" s="82"/>
      <c r="CK250" s="82"/>
      <c r="CL250" s="82"/>
      <c r="CM250" s="214"/>
      <c r="CN250" s="214"/>
      <c r="CO250" s="214"/>
      <c r="CP250" s="214"/>
      <c r="CQ250" s="82"/>
      <c r="CR250" s="82"/>
      <c r="CS250" s="82"/>
      <c r="CT250" s="82"/>
      <c r="CU250" s="82"/>
      <c r="CV250" s="179"/>
      <c r="CW250" s="179"/>
      <c r="CX250" s="82"/>
      <c r="CY250" s="82"/>
      <c r="CZ250" s="82"/>
      <c r="DA250" s="82"/>
      <c r="DB250" s="82"/>
      <c r="DC250" s="82"/>
      <c r="DD250" s="99"/>
      <c r="DF250" s="212"/>
      <c r="DG250" s="213"/>
      <c r="DH250" s="53"/>
      <c r="DI250" s="53"/>
      <c r="DJ250" s="53"/>
      <c r="DK250" s="53"/>
      <c r="DL250" s="53"/>
      <c r="DM250" s="53"/>
      <c r="DN250" s="53"/>
      <c r="DO250" s="53"/>
      <c r="DP250" s="53"/>
      <c r="DQ250" s="53"/>
      <c r="DR250" s="53"/>
      <c r="DS250" s="53"/>
      <c r="DT250" s="53"/>
      <c r="DU250" s="53"/>
      <c r="DV250" s="53"/>
      <c r="DW250" s="53"/>
      <c r="DX250" s="53"/>
      <c r="DY250" s="53"/>
      <c r="DZ250" s="53"/>
      <c r="EA250" s="53"/>
      <c r="EB250" s="53"/>
      <c r="EC250" s="53"/>
      <c r="ED250" s="53"/>
      <c r="EE250" s="53"/>
      <c r="EF250" s="53"/>
      <c r="EG250" s="53"/>
      <c r="EH250" s="53"/>
      <c r="EI250" s="53"/>
      <c r="EJ250" s="100"/>
      <c r="EK250" s="100"/>
      <c r="EL250" s="100"/>
      <c r="EM250" s="100"/>
      <c r="EN250" s="100"/>
      <c r="EO250" s="100"/>
      <c r="EP250" s="100"/>
      <c r="EQ250" s="100"/>
      <c r="ER250" s="101"/>
    </row>
    <row r="251" spans="30:148" ht="6.95" customHeight="1" x14ac:dyDescent="0.15">
      <c r="AD251" s="56"/>
      <c r="AE251" s="3"/>
      <c r="AF251" s="197"/>
      <c r="AG251" s="197"/>
      <c r="AH251" s="197"/>
      <c r="AI251" s="197"/>
      <c r="AJ251" s="82"/>
      <c r="AK251" s="197"/>
      <c r="AL251" s="197"/>
      <c r="AM251" s="197"/>
      <c r="AN251" s="197"/>
      <c r="AO251" s="178"/>
      <c r="AP251" s="178"/>
      <c r="AQ251" s="82"/>
      <c r="AR251" s="82"/>
      <c r="AS251" s="82"/>
      <c r="AT251" s="82"/>
      <c r="AU251" s="82"/>
      <c r="AV251" s="82"/>
      <c r="AW251" s="82"/>
      <c r="AX251" s="82"/>
      <c r="AY251" s="197"/>
      <c r="AZ251" s="197"/>
      <c r="BA251" s="197"/>
      <c r="BB251" s="197"/>
      <c r="BC251" s="82"/>
      <c r="BD251" s="197"/>
      <c r="BE251" s="197"/>
      <c r="BF251" s="197"/>
      <c r="BG251" s="197"/>
      <c r="BH251" s="178"/>
      <c r="BI251" s="178"/>
      <c r="BJ251" s="82"/>
      <c r="BK251" s="82"/>
      <c r="BL251" s="82"/>
      <c r="BM251" s="82"/>
      <c r="BN251" s="82"/>
      <c r="BO251" s="82"/>
      <c r="BP251" s="99"/>
      <c r="BR251" s="56"/>
      <c r="BS251" s="3"/>
      <c r="BT251" s="197"/>
      <c r="BU251" s="197"/>
      <c r="BV251" s="197"/>
      <c r="BW251" s="197"/>
      <c r="BX251" s="82"/>
      <c r="BY251" s="197"/>
      <c r="BZ251" s="197"/>
      <c r="CA251" s="197"/>
      <c r="CB251" s="197"/>
      <c r="CC251" s="179"/>
      <c r="CD251" s="179"/>
      <c r="CE251" s="82"/>
      <c r="CF251" s="82"/>
      <c r="CG251" s="82"/>
      <c r="CH251" s="82"/>
      <c r="CI251" s="82"/>
      <c r="CJ251" s="82"/>
      <c r="CK251" s="82"/>
      <c r="CL251" s="82"/>
      <c r="CM251" s="197"/>
      <c r="CN251" s="197"/>
      <c r="CO251" s="197"/>
      <c r="CP251" s="197"/>
      <c r="CQ251" s="82"/>
      <c r="CR251" s="197"/>
      <c r="CS251" s="197"/>
      <c r="CT251" s="197"/>
      <c r="CU251" s="197"/>
      <c r="CV251" s="179"/>
      <c r="CW251" s="179"/>
      <c r="CX251" s="82"/>
      <c r="CY251" s="82"/>
      <c r="CZ251" s="82"/>
      <c r="DA251" s="82"/>
      <c r="DB251" s="82"/>
      <c r="DC251" s="82"/>
      <c r="DD251" s="99"/>
      <c r="DF251" s="52"/>
      <c r="DG251" s="191"/>
      <c r="DH251" s="214" t="s">
        <v>28</v>
      </c>
      <c r="DI251" s="214"/>
      <c r="DJ251" s="214"/>
      <c r="DK251" s="214"/>
      <c r="DL251" s="82"/>
      <c r="DM251" s="82"/>
      <c r="DN251" s="82"/>
      <c r="DO251" s="82"/>
      <c r="DP251" s="82"/>
      <c r="DQ251" s="191"/>
      <c r="DR251" s="191"/>
      <c r="DS251" s="82"/>
      <c r="DT251" s="82"/>
      <c r="DU251" s="82"/>
      <c r="DV251" s="82"/>
      <c r="DW251" s="82"/>
      <c r="DX251" s="82"/>
      <c r="DY251" s="82"/>
      <c r="DZ251" s="82"/>
      <c r="EA251" s="214"/>
      <c r="EB251" s="214"/>
      <c r="EC251" s="214"/>
      <c r="ED251" s="214"/>
      <c r="EE251" s="82"/>
      <c r="EF251" s="82"/>
      <c r="EG251" s="82"/>
      <c r="EH251" s="82"/>
      <c r="EI251" s="82"/>
      <c r="EJ251" s="191"/>
      <c r="EK251" s="191"/>
      <c r="EL251" s="82"/>
      <c r="EM251" s="82"/>
      <c r="EN251" s="82"/>
      <c r="EO251" s="82"/>
      <c r="EP251" s="82"/>
      <c r="EQ251" s="82"/>
      <c r="ER251" s="99"/>
    </row>
    <row r="252" spans="30:148" ht="6.95" customHeight="1" x14ac:dyDescent="0.15">
      <c r="AD252" s="56"/>
      <c r="AE252" s="3"/>
      <c r="AF252" s="85"/>
      <c r="AG252" s="85"/>
      <c r="AH252" s="85"/>
      <c r="AI252" s="85"/>
      <c r="AJ252" s="85"/>
      <c r="AK252" s="197"/>
      <c r="AL252" s="197"/>
      <c r="AM252" s="197"/>
      <c r="AN252" s="197"/>
      <c r="AO252" s="85"/>
      <c r="AP252" s="85"/>
      <c r="AQ252" s="85"/>
      <c r="AR252" s="85"/>
      <c r="AS252" s="85"/>
      <c r="AT252" s="85"/>
      <c r="AU252" s="82"/>
      <c r="AV252" s="82"/>
      <c r="AW252" s="82"/>
      <c r="AX252" s="82"/>
      <c r="AY252" s="85"/>
      <c r="AZ252" s="85"/>
      <c r="BA252" s="85"/>
      <c r="BB252" s="85"/>
      <c r="BC252" s="85"/>
      <c r="BD252" s="197"/>
      <c r="BE252" s="197"/>
      <c r="BF252" s="197"/>
      <c r="BG252" s="197"/>
      <c r="BH252" s="85"/>
      <c r="BI252" s="85"/>
      <c r="BJ252" s="85"/>
      <c r="BK252" s="85"/>
      <c r="BL252" s="85"/>
      <c r="BM252" s="85"/>
      <c r="BN252" s="85"/>
      <c r="BO252" s="85"/>
      <c r="BP252" s="99"/>
      <c r="BR252" s="56"/>
      <c r="BS252" s="3"/>
      <c r="BT252" s="85"/>
      <c r="BU252" s="85"/>
      <c r="BV252" s="85"/>
      <c r="BW252" s="85"/>
      <c r="BX252" s="85"/>
      <c r="BY252" s="197"/>
      <c r="BZ252" s="197"/>
      <c r="CA252" s="197"/>
      <c r="CB252" s="197"/>
      <c r="CC252" s="85"/>
      <c r="CD252" s="85"/>
      <c r="CE252" s="85"/>
      <c r="CF252" s="85"/>
      <c r="CG252" s="85"/>
      <c r="CH252" s="85"/>
      <c r="CI252" s="82"/>
      <c r="CJ252" s="82"/>
      <c r="CK252" s="82"/>
      <c r="CL252" s="82"/>
      <c r="CM252" s="85"/>
      <c r="CN252" s="85"/>
      <c r="CO252" s="85"/>
      <c r="CP252" s="85"/>
      <c r="CQ252" s="85"/>
      <c r="CR252" s="197"/>
      <c r="CS252" s="197"/>
      <c r="CT252" s="197"/>
      <c r="CU252" s="197"/>
      <c r="CV252" s="85"/>
      <c r="CW252" s="85"/>
      <c r="CX252" s="85"/>
      <c r="CY252" s="85"/>
      <c r="CZ252" s="85"/>
      <c r="DA252" s="85"/>
      <c r="DB252" s="85"/>
      <c r="DC252" s="85"/>
      <c r="DD252" s="99"/>
      <c r="DF252" s="56"/>
      <c r="DG252" s="3"/>
      <c r="DH252" s="197"/>
      <c r="DI252" s="197"/>
      <c r="DJ252" s="197"/>
      <c r="DK252" s="197"/>
      <c r="DL252" s="82"/>
      <c r="DM252" s="197"/>
      <c r="DN252" s="197"/>
      <c r="DO252" s="197"/>
      <c r="DP252" s="197"/>
      <c r="DQ252" s="191"/>
      <c r="DR252" s="191"/>
      <c r="DS252" s="82"/>
      <c r="DT252" s="82"/>
      <c r="DU252" s="82"/>
      <c r="DV252" s="82"/>
      <c r="DW252" s="82"/>
      <c r="DX252" s="82"/>
      <c r="DY252" s="82"/>
      <c r="DZ252" s="82"/>
      <c r="EA252" s="197"/>
      <c r="EB252" s="197"/>
      <c r="EC252" s="197"/>
      <c r="ED252" s="197"/>
      <c r="EE252" s="82"/>
      <c r="EF252" s="197"/>
      <c r="EG252" s="197"/>
      <c r="EH252" s="197"/>
      <c r="EI252" s="197"/>
      <c r="EJ252" s="191"/>
      <c r="EK252" s="191"/>
      <c r="EL252" s="82"/>
      <c r="EM252" s="82"/>
      <c r="EN252" s="82"/>
      <c r="EO252" s="82"/>
      <c r="EP252" s="82"/>
      <c r="EQ252" s="82"/>
      <c r="ER252" s="99"/>
    </row>
    <row r="253" spans="30:148" ht="6.95" customHeight="1" x14ac:dyDescent="0.15">
      <c r="AD253" s="56"/>
      <c r="AE253" s="3"/>
      <c r="AF253" s="199">
        <f>CHOOSE(SUM((AD238&gt;={700,750,800,850,900,950})*1), 565,615,665,715,765,815)</f>
        <v>665</v>
      </c>
      <c r="AG253" s="199"/>
      <c r="AH253" s="199"/>
      <c r="AI253" s="199"/>
      <c r="AJ253" s="3"/>
      <c r="AK253" s="178"/>
      <c r="AL253" s="178"/>
      <c r="AM253" s="85"/>
      <c r="AN253" s="85"/>
      <c r="AO253" s="215"/>
      <c r="AP253" s="215"/>
      <c r="AQ253" s="215"/>
      <c r="AR253" s="215"/>
      <c r="AS253" s="3"/>
      <c r="AT253" s="3"/>
      <c r="AU253" s="178"/>
      <c r="AV253" s="178"/>
      <c r="AW253" s="85"/>
      <c r="AX253" s="85"/>
      <c r="AY253" s="3"/>
      <c r="AZ253" s="3"/>
      <c r="BA253" s="3"/>
      <c r="BB253" s="3"/>
      <c r="BC253" s="3"/>
      <c r="BD253" s="178"/>
      <c r="BE253" s="178"/>
      <c r="BF253" s="85"/>
      <c r="BG253" s="85"/>
      <c r="BH253" s="215"/>
      <c r="BI253" s="215"/>
      <c r="BJ253" s="215"/>
      <c r="BK253" s="215"/>
      <c r="BL253" s="3"/>
      <c r="BM253" s="3"/>
      <c r="BN253" s="3"/>
      <c r="BO253" s="3"/>
      <c r="BP253" s="99"/>
      <c r="BR253" s="56"/>
      <c r="BS253" s="3"/>
      <c r="BT253" s="199">
        <f>CHOOSE(SUM((BR238&gt;={700,750,800,850,900,950})*1), 565,615,665,715,765,815)</f>
        <v>665</v>
      </c>
      <c r="BU253" s="199"/>
      <c r="BV253" s="199"/>
      <c r="BW253" s="199"/>
      <c r="BX253" s="3"/>
      <c r="BY253" s="179"/>
      <c r="BZ253" s="179"/>
      <c r="CA253" s="85"/>
      <c r="CB253" s="85"/>
      <c r="CC253" s="215"/>
      <c r="CD253" s="215"/>
      <c r="CE253" s="215"/>
      <c r="CF253" s="215"/>
      <c r="CG253" s="3"/>
      <c r="CH253" s="3"/>
      <c r="CI253" s="179"/>
      <c r="CJ253" s="179"/>
      <c r="CK253" s="85"/>
      <c r="CL253" s="85"/>
      <c r="CM253" s="3"/>
      <c r="CN253" s="3"/>
      <c r="CO253" s="3"/>
      <c r="CP253" s="3"/>
      <c r="CQ253" s="3"/>
      <c r="CR253" s="179"/>
      <c r="CS253" s="179"/>
      <c r="CT253" s="85"/>
      <c r="CU253" s="85"/>
      <c r="CV253" s="215"/>
      <c r="CW253" s="215"/>
      <c r="CX253" s="215"/>
      <c r="CY253" s="215"/>
      <c r="CZ253" s="3"/>
      <c r="DA253" s="3"/>
      <c r="DB253" s="3"/>
      <c r="DC253" s="3"/>
      <c r="DD253" s="99"/>
      <c r="DF253" s="56"/>
      <c r="DG253" s="3"/>
      <c r="DH253" s="85"/>
      <c r="DI253" s="85"/>
      <c r="DJ253" s="85"/>
      <c r="DK253" s="85"/>
      <c r="DL253" s="85"/>
      <c r="DM253" s="197"/>
      <c r="DN253" s="197"/>
      <c r="DO253" s="197"/>
      <c r="DP253" s="197"/>
      <c r="DQ253" s="85"/>
      <c r="DR253" s="85"/>
      <c r="DS253" s="85"/>
      <c r="DT253" s="85"/>
      <c r="DU253" s="85"/>
      <c r="DV253" s="85"/>
      <c r="DW253" s="82"/>
      <c r="DX253" s="82"/>
      <c r="DY253" s="82"/>
      <c r="DZ253" s="82"/>
      <c r="EA253" s="85"/>
      <c r="EB253" s="85"/>
      <c r="EC253" s="85"/>
      <c r="ED253" s="85"/>
      <c r="EE253" s="85"/>
      <c r="EF253" s="197"/>
      <c r="EG253" s="197"/>
      <c r="EH253" s="197"/>
      <c r="EI253" s="197"/>
      <c r="EJ253" s="85"/>
      <c r="EK253" s="85"/>
      <c r="EL253" s="85"/>
      <c r="EM253" s="85"/>
      <c r="EN253" s="85"/>
      <c r="EO253" s="85"/>
      <c r="EP253" s="85"/>
      <c r="EQ253" s="85"/>
      <c r="ER253" s="99"/>
    </row>
    <row r="254" spans="30:148" ht="6.95" customHeight="1" x14ac:dyDescent="0.15">
      <c r="AD254" s="56"/>
      <c r="AE254" s="3"/>
      <c r="AF254" s="199"/>
      <c r="AG254" s="199"/>
      <c r="AH254" s="199"/>
      <c r="AI254" s="199"/>
      <c r="AJ254" s="3"/>
      <c r="AK254" s="4"/>
      <c r="AL254" s="4"/>
      <c r="AM254" s="85"/>
      <c r="AN254" s="85"/>
      <c r="AO254" s="215"/>
      <c r="AP254" s="215"/>
      <c r="AQ254" s="215"/>
      <c r="AR254" s="215"/>
      <c r="AS254" s="3"/>
      <c r="AT254" s="3"/>
      <c r="AU254" s="4"/>
      <c r="AV254" s="4"/>
      <c r="AW254" s="85"/>
      <c r="AX254" s="85"/>
      <c r="AY254" s="3"/>
      <c r="AZ254" s="3"/>
      <c r="BA254" s="3"/>
      <c r="BB254" s="3"/>
      <c r="BC254" s="3"/>
      <c r="BD254" s="4"/>
      <c r="BE254" s="4"/>
      <c r="BF254" s="85"/>
      <c r="BG254" s="85"/>
      <c r="BH254" s="215"/>
      <c r="BI254" s="215"/>
      <c r="BJ254" s="215"/>
      <c r="BK254" s="215"/>
      <c r="BL254" s="3"/>
      <c r="BM254" s="3"/>
      <c r="BN254" s="3"/>
      <c r="BO254" s="3"/>
      <c r="BP254" s="99"/>
      <c r="BR254" s="56"/>
      <c r="BS254" s="3"/>
      <c r="BT254" s="199"/>
      <c r="BU254" s="199"/>
      <c r="BV254" s="199"/>
      <c r="BW254" s="199"/>
      <c r="BX254" s="3"/>
      <c r="BY254" s="4"/>
      <c r="BZ254" s="4"/>
      <c r="CA254" s="85"/>
      <c r="CB254" s="85"/>
      <c r="CC254" s="215"/>
      <c r="CD254" s="215"/>
      <c r="CE254" s="215"/>
      <c r="CF254" s="215"/>
      <c r="CG254" s="3"/>
      <c r="CH254" s="3"/>
      <c r="CI254" s="4"/>
      <c r="CJ254" s="4"/>
      <c r="CK254" s="85"/>
      <c r="CL254" s="85"/>
      <c r="CM254" s="3"/>
      <c r="CN254" s="3"/>
      <c r="CO254" s="3"/>
      <c r="CP254" s="3"/>
      <c r="CQ254" s="3"/>
      <c r="CR254" s="4"/>
      <c r="CS254" s="4"/>
      <c r="CT254" s="85"/>
      <c r="CU254" s="85"/>
      <c r="CV254" s="215"/>
      <c r="CW254" s="215"/>
      <c r="CX254" s="215"/>
      <c r="CY254" s="215"/>
      <c r="CZ254" s="3"/>
      <c r="DA254" s="3"/>
      <c r="DB254" s="3"/>
      <c r="DC254" s="3"/>
      <c r="DD254" s="99"/>
      <c r="DF254" s="56"/>
      <c r="DG254" s="3"/>
      <c r="DH254" s="199">
        <f>CHOOSE(SUM((DF239&gt;={700,750,800,850,900,950})*1), 565,615,665,715,765,815)</f>
        <v>615</v>
      </c>
      <c r="DI254" s="199"/>
      <c r="DJ254" s="199"/>
      <c r="DK254" s="199"/>
      <c r="DL254" s="3"/>
      <c r="DM254" s="191"/>
      <c r="DN254" s="191"/>
      <c r="DO254" s="85"/>
      <c r="DP254" s="85"/>
      <c r="DQ254" s="215"/>
      <c r="DR254" s="215"/>
      <c r="DS254" s="215"/>
      <c r="DT254" s="215"/>
      <c r="DU254" s="3"/>
      <c r="DV254" s="3"/>
      <c r="DW254" s="191"/>
      <c r="DX254" s="191"/>
      <c r="DY254" s="85"/>
      <c r="DZ254" s="85"/>
      <c r="EA254" s="3"/>
      <c r="EB254" s="3"/>
      <c r="EC254" s="3"/>
      <c r="ED254" s="3"/>
      <c r="EE254" s="3"/>
      <c r="EF254" s="191"/>
      <c r="EG254" s="191"/>
      <c r="EH254" s="85"/>
      <c r="EI254" s="85"/>
      <c r="EJ254" s="215"/>
      <c r="EK254" s="215"/>
      <c r="EL254" s="215"/>
      <c r="EM254" s="215"/>
      <c r="EN254" s="3"/>
      <c r="EO254" s="3"/>
      <c r="EP254" s="3"/>
      <c r="EQ254" s="3"/>
      <c r="ER254" s="99"/>
    </row>
    <row r="255" spans="30:148" ht="6.95" customHeight="1" x14ac:dyDescent="0.15">
      <c r="AD255" s="56"/>
      <c r="AE255" s="3"/>
      <c r="AF255" s="3"/>
      <c r="AG255" s="3"/>
      <c r="AH255" s="3"/>
      <c r="AI255" s="3"/>
      <c r="AJ255" s="3"/>
      <c r="AK255" s="4"/>
      <c r="AL255" s="4"/>
      <c r="AM255" s="84"/>
      <c r="AN255" s="84"/>
      <c r="AO255" s="200"/>
      <c r="AP255" s="200"/>
      <c r="AQ255" s="200"/>
      <c r="AR255" s="200"/>
      <c r="AS255" s="3"/>
      <c r="AT255" s="3"/>
      <c r="AU255" s="4"/>
      <c r="AV255" s="4"/>
      <c r="AW255" s="84"/>
      <c r="AX255" s="84"/>
      <c r="AY255" s="3"/>
      <c r="AZ255" s="3"/>
      <c r="BA255" s="3"/>
      <c r="BB255" s="3"/>
      <c r="BC255" s="3"/>
      <c r="BD255" s="4"/>
      <c r="BE255" s="4"/>
      <c r="BF255" s="84"/>
      <c r="BG255" s="84"/>
      <c r="BH255" s="200"/>
      <c r="BI255" s="200"/>
      <c r="BJ255" s="200"/>
      <c r="BK255" s="200"/>
      <c r="BL255" s="3"/>
      <c r="BM255" s="3"/>
      <c r="BN255" s="3"/>
      <c r="BO255" s="3"/>
      <c r="BP255" s="99"/>
      <c r="BR255" s="56"/>
      <c r="BS255" s="3"/>
      <c r="BT255" s="3"/>
      <c r="BU255" s="3"/>
      <c r="BV255" s="3"/>
      <c r="BW255" s="3"/>
      <c r="BX255" s="3"/>
      <c r="BY255" s="4"/>
      <c r="BZ255" s="4"/>
      <c r="CA255" s="84"/>
      <c r="CB255" s="84"/>
      <c r="CC255" s="200"/>
      <c r="CD255" s="200"/>
      <c r="CE255" s="200"/>
      <c r="CF255" s="200"/>
      <c r="CG255" s="3"/>
      <c r="CH255" s="3"/>
      <c r="CI255" s="4"/>
      <c r="CJ255" s="4"/>
      <c r="CK255" s="84"/>
      <c r="CL255" s="84"/>
      <c r="CM255" s="3"/>
      <c r="CN255" s="3"/>
      <c r="CO255" s="3"/>
      <c r="CP255" s="3"/>
      <c r="CQ255" s="3"/>
      <c r="CR255" s="4"/>
      <c r="CS255" s="4"/>
      <c r="CT255" s="84"/>
      <c r="CU255" s="84"/>
      <c r="CV255" s="200"/>
      <c r="CW255" s="200"/>
      <c r="CX255" s="200"/>
      <c r="CY255" s="200"/>
      <c r="CZ255" s="3"/>
      <c r="DA255" s="3"/>
      <c r="DB255" s="3"/>
      <c r="DC255" s="3"/>
      <c r="DD255" s="99"/>
      <c r="DF255" s="56"/>
      <c r="DG255" s="3"/>
      <c r="DH255" s="199"/>
      <c r="DI255" s="199"/>
      <c r="DJ255" s="199"/>
      <c r="DK255" s="199"/>
      <c r="DL255" s="3"/>
      <c r="DM255" s="4"/>
      <c r="DN255" s="4"/>
      <c r="DO255" s="85"/>
      <c r="DP255" s="85"/>
      <c r="DQ255" s="215"/>
      <c r="DR255" s="215"/>
      <c r="DS255" s="215"/>
      <c r="DT255" s="215"/>
      <c r="DU255" s="3"/>
      <c r="DV255" s="3"/>
      <c r="DW255" s="4"/>
      <c r="DX255" s="4"/>
      <c r="DY255" s="85"/>
      <c r="DZ255" s="85"/>
      <c r="EA255" s="3"/>
      <c r="EB255" s="3"/>
      <c r="EC255" s="3"/>
      <c r="ED255" s="3"/>
      <c r="EE255" s="3"/>
      <c r="EF255" s="4"/>
      <c r="EG255" s="4"/>
      <c r="EH255" s="85"/>
      <c r="EI255" s="85"/>
      <c r="EJ255" s="215"/>
      <c r="EK255" s="215"/>
      <c r="EL255" s="215"/>
      <c r="EM255" s="215"/>
      <c r="EN255" s="3"/>
      <c r="EO255" s="3"/>
      <c r="EP255" s="3"/>
      <c r="EQ255" s="3"/>
      <c r="ER255" s="99"/>
    </row>
    <row r="256" spans="30:148" ht="6.95" customHeight="1" x14ac:dyDescent="0.15">
      <c r="AD256" s="56"/>
      <c r="AE256" s="3"/>
      <c r="AF256" s="3"/>
      <c r="AG256" s="3"/>
      <c r="AH256" s="3"/>
      <c r="AI256" s="3"/>
      <c r="AJ256" s="84"/>
      <c r="AK256" s="200"/>
      <c r="AL256" s="200"/>
      <c r="AM256" s="200"/>
      <c r="AN256" s="200"/>
      <c r="AO256" s="200"/>
      <c r="AP256" s="200"/>
      <c r="AQ256" s="200"/>
      <c r="AR256" s="200"/>
      <c r="AS256" s="84"/>
      <c r="AT256" s="84"/>
      <c r="AU256" s="84"/>
      <c r="AV256" s="84"/>
      <c r="AW256" s="84"/>
      <c r="AX256" s="84"/>
      <c r="AY256" s="3"/>
      <c r="AZ256" s="3"/>
      <c r="BA256" s="3"/>
      <c r="BB256" s="3"/>
      <c r="BC256" s="84"/>
      <c r="BD256" s="200"/>
      <c r="BE256" s="200"/>
      <c r="BF256" s="200"/>
      <c r="BG256" s="200"/>
      <c r="BH256" s="200"/>
      <c r="BI256" s="200"/>
      <c r="BJ256" s="200"/>
      <c r="BK256" s="200"/>
      <c r="BL256" s="84"/>
      <c r="BM256" s="84"/>
      <c r="BN256" s="3"/>
      <c r="BO256" s="84"/>
      <c r="BP256" s="99"/>
      <c r="BR256" s="56"/>
      <c r="BS256" s="3"/>
      <c r="BT256" s="3"/>
      <c r="BU256" s="3"/>
      <c r="BV256" s="3"/>
      <c r="BW256" s="3"/>
      <c r="BX256" s="84"/>
      <c r="BY256" s="200"/>
      <c r="BZ256" s="200"/>
      <c r="CA256" s="200"/>
      <c r="CB256" s="200"/>
      <c r="CC256" s="200"/>
      <c r="CD256" s="200"/>
      <c r="CE256" s="200"/>
      <c r="CF256" s="200"/>
      <c r="CG256" s="84"/>
      <c r="CH256" s="84"/>
      <c r="CI256" s="84"/>
      <c r="CJ256" s="84"/>
      <c r="CK256" s="84"/>
      <c r="CL256" s="84"/>
      <c r="CM256" s="3"/>
      <c r="CN256" s="3"/>
      <c r="CO256" s="3"/>
      <c r="CP256" s="3"/>
      <c r="CQ256" s="84"/>
      <c r="CR256" s="200"/>
      <c r="CS256" s="200"/>
      <c r="CT256" s="200"/>
      <c r="CU256" s="200"/>
      <c r="CV256" s="200"/>
      <c r="CW256" s="200"/>
      <c r="CX256" s="200"/>
      <c r="CY256" s="200"/>
      <c r="CZ256" s="84"/>
      <c r="DA256" s="84"/>
      <c r="DB256" s="3"/>
      <c r="DC256" s="84"/>
      <c r="DD256" s="99"/>
      <c r="DF256" s="56"/>
      <c r="DG256" s="3"/>
      <c r="DH256" s="3"/>
      <c r="DI256" s="3"/>
      <c r="DJ256" s="3"/>
      <c r="DK256" s="3"/>
      <c r="DL256" s="3"/>
      <c r="DM256" s="4"/>
      <c r="DN256" s="4"/>
      <c r="DO256" s="84"/>
      <c r="DP256" s="84"/>
      <c r="DQ256" s="200"/>
      <c r="DR256" s="200"/>
      <c r="DS256" s="200"/>
      <c r="DT256" s="200"/>
      <c r="DU256" s="3"/>
      <c r="DV256" s="3"/>
      <c r="DW256" s="4"/>
      <c r="DX256" s="4"/>
      <c r="DY256" s="84"/>
      <c r="DZ256" s="84"/>
      <c r="EA256" s="3"/>
      <c r="EB256" s="3"/>
      <c r="EC256" s="3"/>
      <c r="ED256" s="3"/>
      <c r="EE256" s="3"/>
      <c r="EF256" s="4"/>
      <c r="EG256" s="4"/>
      <c r="EH256" s="84"/>
      <c r="EI256" s="84"/>
      <c r="EJ256" s="200"/>
      <c r="EK256" s="200"/>
      <c r="EL256" s="200"/>
      <c r="EM256" s="200"/>
      <c r="EN256" s="3"/>
      <c r="EO256" s="3"/>
      <c r="EP256" s="3"/>
      <c r="EQ256" s="3"/>
      <c r="ER256" s="99"/>
    </row>
    <row r="257" spans="30:148" ht="6.95" customHeight="1" x14ac:dyDescent="0.15">
      <c r="AD257" s="56"/>
      <c r="AE257" s="3"/>
      <c r="AF257" s="3"/>
      <c r="AG257" s="3"/>
      <c r="AH257" s="3"/>
      <c r="AI257" s="3"/>
      <c r="AJ257" s="84"/>
      <c r="AK257" s="200"/>
      <c r="AL257" s="200"/>
      <c r="AM257" s="200"/>
      <c r="AN257" s="200"/>
      <c r="AO257" s="196" t="s">
        <v>42</v>
      </c>
      <c r="AP257" s="196"/>
      <c r="AQ257" s="196"/>
      <c r="AR257" s="196">
        <v>4</v>
      </c>
      <c r="AS257" s="196"/>
      <c r="AT257" s="196" t="s">
        <v>43</v>
      </c>
      <c r="AU257" s="196"/>
      <c r="AV257" s="196"/>
      <c r="AW257" s="84"/>
      <c r="AX257" s="84"/>
      <c r="AY257" s="3"/>
      <c r="AZ257" s="3"/>
      <c r="BA257" s="3"/>
      <c r="BB257" s="3"/>
      <c r="BC257" s="84"/>
      <c r="BD257" s="200"/>
      <c r="BE257" s="200"/>
      <c r="BF257" s="200"/>
      <c r="BG257" s="200"/>
      <c r="BH257" s="196"/>
      <c r="BI257" s="196"/>
      <c r="BJ257" s="196"/>
      <c r="BK257" s="196"/>
      <c r="BL257" s="196"/>
      <c r="BM257" s="196"/>
      <c r="BN257" s="196"/>
      <c r="BO257" s="196"/>
      <c r="BP257" s="99"/>
      <c r="BR257" s="56"/>
      <c r="BS257" s="3"/>
      <c r="BT257" s="3"/>
      <c r="BU257" s="3"/>
      <c r="BV257" s="3"/>
      <c r="BW257" s="3"/>
      <c r="BX257" s="84"/>
      <c r="BY257" s="200"/>
      <c r="BZ257" s="200"/>
      <c r="CA257" s="200"/>
      <c r="CB257" s="200"/>
      <c r="CC257" s="196" t="s">
        <v>42</v>
      </c>
      <c r="CD257" s="196"/>
      <c r="CE257" s="196"/>
      <c r="CF257" s="196">
        <v>4</v>
      </c>
      <c r="CG257" s="196"/>
      <c r="CH257" s="196" t="s">
        <v>43</v>
      </c>
      <c r="CI257" s="196"/>
      <c r="CJ257" s="196"/>
      <c r="CK257" s="84"/>
      <c r="CL257" s="84"/>
      <c r="CM257" s="3"/>
      <c r="CN257" s="3"/>
      <c r="CO257" s="3"/>
      <c r="CP257" s="3"/>
      <c r="CQ257" s="84"/>
      <c r="CR257" s="200"/>
      <c r="CS257" s="200"/>
      <c r="CT257" s="200"/>
      <c r="CU257" s="200"/>
      <c r="CV257" s="196"/>
      <c r="CW257" s="196"/>
      <c r="CX257" s="196"/>
      <c r="CY257" s="196"/>
      <c r="CZ257" s="196"/>
      <c r="DA257" s="196"/>
      <c r="DB257" s="196"/>
      <c r="DC257" s="196"/>
      <c r="DD257" s="99"/>
      <c r="DF257" s="56"/>
      <c r="DG257" s="3"/>
      <c r="DH257" s="3"/>
      <c r="DI257" s="3"/>
      <c r="DJ257" s="3"/>
      <c r="DK257" s="3"/>
      <c r="DL257" s="84"/>
      <c r="DM257" s="200"/>
      <c r="DN257" s="200"/>
      <c r="DO257" s="200"/>
      <c r="DP257" s="200"/>
      <c r="DQ257" s="200"/>
      <c r="DR257" s="200"/>
      <c r="DS257" s="200"/>
      <c r="DT257" s="200"/>
      <c r="DU257" s="84"/>
      <c r="DV257" s="84"/>
      <c r="DW257" s="84"/>
      <c r="DX257" s="84"/>
      <c r="DY257" s="84"/>
      <c r="DZ257" s="84"/>
      <c r="EA257" s="3"/>
      <c r="EB257" s="3"/>
      <c r="EC257" s="3"/>
      <c r="ED257" s="3"/>
      <c r="EE257" s="84"/>
      <c r="EF257" s="200"/>
      <c r="EG257" s="200"/>
      <c r="EH257" s="200"/>
      <c r="EI257" s="200"/>
      <c r="EJ257" s="200"/>
      <c r="EK257" s="200"/>
      <c r="EL257" s="200"/>
      <c r="EM257" s="200"/>
      <c r="EN257" s="84"/>
      <c r="EO257" s="84"/>
      <c r="EP257" s="3"/>
      <c r="EQ257" s="84"/>
      <c r="ER257" s="99"/>
    </row>
    <row r="258" spans="30:148" ht="6.95" customHeight="1" x14ac:dyDescent="0.15">
      <c r="AD258" s="52"/>
      <c r="AE258" s="2"/>
      <c r="AF258" s="178"/>
      <c r="AG258" s="178"/>
      <c r="AH258" s="178"/>
      <c r="AI258" s="178"/>
      <c r="AJ258" s="178"/>
      <c r="AK258" s="178"/>
      <c r="AL258" s="88"/>
      <c r="AM258" s="88"/>
      <c r="AN258" s="88"/>
      <c r="AO258" s="196"/>
      <c r="AP258" s="196"/>
      <c r="AQ258" s="196"/>
      <c r="AR258" s="196"/>
      <c r="AS258" s="196"/>
      <c r="AT258" s="196"/>
      <c r="AU258" s="196"/>
      <c r="AV258" s="196"/>
      <c r="AW258" s="88"/>
      <c r="AX258" s="88"/>
      <c r="AY258" s="178"/>
      <c r="AZ258" s="178"/>
      <c r="BA258" s="178"/>
      <c r="BB258" s="178"/>
      <c r="BC258" s="178"/>
      <c r="BD258" s="178"/>
      <c r="BE258" s="88"/>
      <c r="BF258" s="88"/>
      <c r="BG258" s="88"/>
      <c r="BH258" s="196"/>
      <c r="BI258" s="196"/>
      <c r="BJ258" s="196"/>
      <c r="BK258" s="196"/>
      <c r="BL258" s="196"/>
      <c r="BM258" s="196"/>
      <c r="BN258" s="196"/>
      <c r="BO258" s="196"/>
      <c r="BP258" s="99"/>
      <c r="BR258" s="52"/>
      <c r="BS258" s="179"/>
      <c r="BT258" s="179"/>
      <c r="BU258" s="179"/>
      <c r="BV258" s="179"/>
      <c r="BW258" s="179"/>
      <c r="BX258" s="179"/>
      <c r="BY258" s="179"/>
      <c r="BZ258" s="88"/>
      <c r="CA258" s="88"/>
      <c r="CB258" s="88"/>
      <c r="CC258" s="196"/>
      <c r="CD258" s="196"/>
      <c r="CE258" s="196"/>
      <c r="CF258" s="196"/>
      <c r="CG258" s="196"/>
      <c r="CH258" s="196"/>
      <c r="CI258" s="196"/>
      <c r="CJ258" s="196"/>
      <c r="CK258" s="88"/>
      <c r="CL258" s="88"/>
      <c r="CM258" s="179"/>
      <c r="CN258" s="179"/>
      <c r="CO258" s="179"/>
      <c r="CP258" s="179"/>
      <c r="CQ258" s="179"/>
      <c r="CR258" s="179"/>
      <c r="CS258" s="88"/>
      <c r="CT258" s="88"/>
      <c r="CU258" s="88"/>
      <c r="CV258" s="196"/>
      <c r="CW258" s="196"/>
      <c r="CX258" s="196"/>
      <c r="CY258" s="196"/>
      <c r="CZ258" s="196"/>
      <c r="DA258" s="196"/>
      <c r="DB258" s="196"/>
      <c r="DC258" s="196"/>
      <c r="DD258" s="99"/>
      <c r="DF258" s="56"/>
      <c r="DG258" s="3"/>
      <c r="DH258" s="3"/>
      <c r="DI258" s="3"/>
      <c r="DJ258" s="3"/>
      <c r="DK258" s="3"/>
      <c r="DL258" s="84"/>
      <c r="DM258" s="200"/>
      <c r="DN258" s="200"/>
      <c r="DO258" s="200"/>
      <c r="DP258" s="200"/>
      <c r="DQ258" s="196" t="s">
        <v>42</v>
      </c>
      <c r="DR258" s="196"/>
      <c r="DS258" s="196"/>
      <c r="DT258" s="196">
        <v>2</v>
      </c>
      <c r="DU258" s="196"/>
      <c r="DV258" s="196" t="s">
        <v>43</v>
      </c>
      <c r="DW258" s="196"/>
      <c r="DX258" s="196"/>
      <c r="DY258" s="84"/>
      <c r="DZ258" s="84"/>
      <c r="EA258" s="3"/>
      <c r="EB258" s="3"/>
      <c r="EC258" s="3"/>
      <c r="ED258" s="3"/>
      <c r="EE258" s="84"/>
      <c r="EF258" s="200"/>
      <c r="EG258" s="200"/>
      <c r="EH258" s="200"/>
      <c r="EI258" s="200"/>
      <c r="EJ258" s="196"/>
      <c r="EK258" s="196"/>
      <c r="EL258" s="196"/>
      <c r="EM258" s="196"/>
      <c r="EN258" s="196"/>
      <c r="EO258" s="196"/>
      <c r="EP258" s="196"/>
      <c r="EQ258" s="196"/>
      <c r="ER258" s="99"/>
    </row>
    <row r="259" spans="30:148" ht="6.95" customHeight="1" x14ac:dyDescent="0.15">
      <c r="AD259" s="83"/>
      <c r="AE259" s="82"/>
      <c r="AF259" s="197" t="s">
        <v>28</v>
      </c>
      <c r="AG259" s="197"/>
      <c r="AH259" s="197"/>
      <c r="AI259" s="197"/>
      <c r="AJ259" s="82"/>
      <c r="AK259" s="82"/>
      <c r="AL259" s="82"/>
      <c r="AM259" s="2"/>
      <c r="AN259" s="2"/>
      <c r="AO259" s="2"/>
      <c r="AP259" s="2"/>
      <c r="AQ259" s="2"/>
      <c r="AR259" s="2"/>
      <c r="AS259" s="2"/>
      <c r="AT259" s="2"/>
      <c r="AU259" s="3"/>
      <c r="AV259" s="82"/>
      <c r="AW259" s="82"/>
      <c r="AX259" s="3"/>
      <c r="AY259" s="197" t="s">
        <v>27</v>
      </c>
      <c r="AZ259" s="197"/>
      <c r="BA259" s="197"/>
      <c r="BB259" s="197"/>
      <c r="BC259" s="82"/>
      <c r="BD259" s="82"/>
      <c r="BE259" s="3"/>
      <c r="BF259" s="3"/>
      <c r="BG259" s="3"/>
      <c r="BH259" s="3"/>
      <c r="BI259" s="198"/>
      <c r="BJ259" s="198"/>
      <c r="BK259" s="198"/>
      <c r="BL259" s="198"/>
      <c r="BM259" s="1"/>
      <c r="BN259" s="1"/>
      <c r="BO259" s="1"/>
      <c r="BP259" s="99"/>
      <c r="BR259" s="83"/>
      <c r="BS259" s="82"/>
      <c r="BT259" s="197" t="s">
        <v>28</v>
      </c>
      <c r="BU259" s="197"/>
      <c r="BV259" s="197"/>
      <c r="BW259" s="197"/>
      <c r="BX259" s="82"/>
      <c r="BY259" s="82"/>
      <c r="BZ259" s="82"/>
      <c r="CA259" s="2"/>
      <c r="CB259" s="2"/>
      <c r="CC259" s="2"/>
      <c r="CD259" s="2"/>
      <c r="CE259" s="2"/>
      <c r="CF259" s="2"/>
      <c r="CG259" s="2"/>
      <c r="CH259" s="2"/>
      <c r="CI259" s="3"/>
      <c r="CJ259" s="82"/>
      <c r="CK259" s="82"/>
      <c r="CL259" s="3"/>
      <c r="CM259" s="197" t="s">
        <v>27</v>
      </c>
      <c r="CN259" s="197"/>
      <c r="CO259" s="197"/>
      <c r="CP259" s="197"/>
      <c r="CQ259" s="82"/>
      <c r="CR259" s="82"/>
      <c r="CS259" s="3"/>
      <c r="CT259" s="3"/>
      <c r="CU259" s="3"/>
      <c r="CV259" s="3"/>
      <c r="CW259" s="198"/>
      <c r="CX259" s="198"/>
      <c r="CY259" s="198"/>
      <c r="CZ259" s="198"/>
      <c r="DA259" s="1"/>
      <c r="DB259" s="1"/>
      <c r="DC259" s="1"/>
      <c r="DD259" s="99"/>
      <c r="DF259" s="52"/>
      <c r="DG259" s="191"/>
      <c r="DH259" s="191"/>
      <c r="DI259" s="191"/>
      <c r="DJ259" s="191"/>
      <c r="DK259" s="191"/>
      <c r="DL259" s="191"/>
      <c r="DM259" s="191"/>
      <c r="DN259" s="88"/>
      <c r="DO259" s="88"/>
      <c r="DP259" s="88"/>
      <c r="DQ259" s="196"/>
      <c r="DR259" s="196"/>
      <c r="DS259" s="196"/>
      <c r="DT259" s="196"/>
      <c r="DU259" s="196"/>
      <c r="DV259" s="196"/>
      <c r="DW259" s="196"/>
      <c r="DX259" s="196"/>
      <c r="DY259" s="88"/>
      <c r="DZ259" s="88"/>
      <c r="EA259" s="191"/>
      <c r="EB259" s="191"/>
      <c r="EC259" s="191"/>
      <c r="ED259" s="191"/>
      <c r="EE259" s="191"/>
      <c r="EF259" s="191"/>
      <c r="EG259" s="88"/>
      <c r="EH259" s="88"/>
      <c r="EI259" s="88"/>
      <c r="EJ259" s="196"/>
      <c r="EK259" s="196"/>
      <c r="EL259" s="196"/>
      <c r="EM259" s="196"/>
      <c r="EN259" s="196"/>
      <c r="EO259" s="196"/>
      <c r="EP259" s="196"/>
      <c r="EQ259" s="196"/>
      <c r="ER259" s="99"/>
    </row>
    <row r="260" spans="30:148" ht="6.95" customHeight="1" x14ac:dyDescent="0.15">
      <c r="AD260" s="56"/>
      <c r="AE260" s="3"/>
      <c r="AF260" s="197"/>
      <c r="AG260" s="197"/>
      <c r="AH260" s="197"/>
      <c r="AI260" s="197"/>
      <c r="AJ260" s="82"/>
      <c r="AK260" s="82"/>
      <c r="AL260" s="82"/>
      <c r="AM260" s="2"/>
      <c r="AN260" s="2"/>
      <c r="AO260" s="2"/>
      <c r="AP260" s="2"/>
      <c r="AQ260" s="2"/>
      <c r="AR260" s="2"/>
      <c r="AS260" s="2"/>
      <c r="AT260" s="2"/>
      <c r="AU260" s="3"/>
      <c r="AV260" s="82"/>
      <c r="AW260" s="82"/>
      <c r="AX260" s="3"/>
      <c r="AY260" s="197"/>
      <c r="AZ260" s="197"/>
      <c r="BA260" s="197"/>
      <c r="BB260" s="197"/>
      <c r="BC260" s="82"/>
      <c r="BD260" s="82"/>
      <c r="BE260" s="3"/>
      <c r="BF260" s="3"/>
      <c r="BG260" s="3"/>
      <c r="BH260" s="3"/>
      <c r="BI260" s="198"/>
      <c r="BJ260" s="198"/>
      <c r="BK260" s="198"/>
      <c r="BL260" s="198"/>
      <c r="BM260" s="1"/>
      <c r="BN260" s="1"/>
      <c r="BO260" s="1"/>
      <c r="BP260" s="99"/>
      <c r="BR260" s="56"/>
      <c r="BS260" s="3"/>
      <c r="BT260" s="197"/>
      <c r="BU260" s="197"/>
      <c r="BV260" s="197"/>
      <c r="BW260" s="197"/>
      <c r="BX260" s="82"/>
      <c r="BY260" s="82"/>
      <c r="BZ260" s="82"/>
      <c r="CA260" s="2"/>
      <c r="CB260" s="2"/>
      <c r="CC260" s="2"/>
      <c r="CD260" s="2"/>
      <c r="CE260" s="2"/>
      <c r="CF260" s="2"/>
      <c r="CG260" s="2"/>
      <c r="CH260" s="2"/>
      <c r="CI260" s="3"/>
      <c r="CJ260" s="82"/>
      <c r="CK260" s="82"/>
      <c r="CL260" s="3"/>
      <c r="CM260" s="197"/>
      <c r="CN260" s="197"/>
      <c r="CO260" s="197"/>
      <c r="CP260" s="197"/>
      <c r="CQ260" s="82"/>
      <c r="CR260" s="82"/>
      <c r="CS260" s="3"/>
      <c r="CT260" s="3"/>
      <c r="CU260" s="3"/>
      <c r="CV260" s="3"/>
      <c r="CW260" s="198"/>
      <c r="CX260" s="198"/>
      <c r="CY260" s="198"/>
      <c r="CZ260" s="198"/>
      <c r="DA260" s="1"/>
      <c r="DB260" s="1"/>
      <c r="DC260" s="1"/>
      <c r="DD260" s="99"/>
      <c r="DF260" s="83"/>
      <c r="DG260" s="82"/>
      <c r="DH260" s="197" t="s">
        <v>28</v>
      </c>
      <c r="DI260" s="197"/>
      <c r="DJ260" s="197"/>
      <c r="DK260" s="197"/>
      <c r="DL260" s="82"/>
      <c r="DM260" s="82"/>
      <c r="DN260" s="82"/>
      <c r="DO260" s="191"/>
      <c r="DP260" s="191"/>
      <c r="DQ260" s="191"/>
      <c r="DR260" s="191"/>
      <c r="DS260" s="191"/>
      <c r="DT260" s="191"/>
      <c r="DU260" s="191"/>
      <c r="DV260" s="191"/>
      <c r="DW260" s="3"/>
      <c r="DX260" s="82"/>
      <c r="DY260" s="88"/>
      <c r="DZ260" s="88"/>
      <c r="EA260" s="197" t="s">
        <v>27</v>
      </c>
      <c r="EB260" s="197"/>
      <c r="EC260" s="197"/>
      <c r="ED260" s="197"/>
      <c r="EE260" s="82"/>
      <c r="EF260" s="82"/>
      <c r="EG260" s="3"/>
      <c r="EH260" s="3"/>
      <c r="EI260" s="3"/>
      <c r="EJ260" s="3"/>
      <c r="EK260" s="198"/>
      <c r="EL260" s="198"/>
      <c r="EM260" s="198"/>
      <c r="EN260" s="198"/>
      <c r="EO260" s="1"/>
      <c r="EP260" s="1"/>
      <c r="EQ260" s="1"/>
      <c r="ER260" s="99"/>
    </row>
    <row r="261" spans="30:148" ht="6.95" customHeight="1" x14ac:dyDescent="0.15">
      <c r="AD261" s="56"/>
      <c r="AE261" s="3"/>
      <c r="AF261" s="3"/>
      <c r="AG261" s="3"/>
      <c r="AH261" s="3"/>
      <c r="AI261" s="2"/>
      <c r="AJ261" s="2"/>
      <c r="AK261" s="2"/>
      <c r="AL261" s="2"/>
      <c r="AM261" s="2"/>
      <c r="AN261" s="82"/>
      <c r="AO261" s="82"/>
      <c r="AP261" s="82"/>
      <c r="AQ261" s="82"/>
      <c r="AR261" s="82"/>
      <c r="AS261" s="82"/>
      <c r="AT261" s="2"/>
      <c r="AU261" s="3"/>
      <c r="AV261" s="82"/>
      <c r="AW261" s="82"/>
      <c r="AX261" s="3"/>
      <c r="AY261" s="3"/>
      <c r="AZ261" s="2"/>
      <c r="BA261" s="3"/>
      <c r="BB261" s="82"/>
      <c r="BC261" s="82"/>
      <c r="BD261" s="3"/>
      <c r="BE261" s="3"/>
      <c r="BF261" s="3"/>
      <c r="BG261" s="3"/>
      <c r="BH261" s="3"/>
      <c r="BI261" s="3"/>
      <c r="BJ261" s="3"/>
      <c r="BK261" s="3"/>
      <c r="BL261" s="3"/>
      <c r="BM261" s="1"/>
      <c r="BN261" s="1"/>
      <c r="BO261" s="1"/>
      <c r="BP261" s="99"/>
      <c r="BR261" s="56"/>
      <c r="BS261" s="3"/>
      <c r="BT261" s="3"/>
      <c r="BU261" s="3"/>
      <c r="BV261" s="3"/>
      <c r="BW261" s="2"/>
      <c r="BX261" s="2"/>
      <c r="BY261" s="2"/>
      <c r="BZ261" s="2"/>
      <c r="CA261" s="2"/>
      <c r="CB261" s="82"/>
      <c r="CC261" s="82"/>
      <c r="CD261" s="82"/>
      <c r="CE261" s="82"/>
      <c r="CF261" s="82"/>
      <c r="CG261" s="82"/>
      <c r="CH261" s="2"/>
      <c r="CI261" s="3"/>
      <c r="CJ261" s="82"/>
      <c r="CK261" s="82"/>
      <c r="CL261" s="3"/>
      <c r="CM261" s="3"/>
      <c r="CN261" s="2"/>
      <c r="CO261" s="3"/>
      <c r="CP261" s="82"/>
      <c r="CQ261" s="82"/>
      <c r="CR261" s="3"/>
      <c r="CS261" s="3"/>
      <c r="CT261" s="3"/>
      <c r="CU261" s="3"/>
      <c r="CV261" s="3"/>
      <c r="CW261" s="3"/>
      <c r="CX261" s="3"/>
      <c r="CY261" s="3"/>
      <c r="CZ261" s="3"/>
      <c r="DA261" s="1"/>
      <c r="DB261" s="1"/>
      <c r="DC261" s="1"/>
      <c r="DD261" s="99"/>
      <c r="DF261" s="56"/>
      <c r="DG261" s="3"/>
      <c r="DH261" s="197"/>
      <c r="DI261" s="197"/>
      <c r="DJ261" s="197"/>
      <c r="DK261" s="197"/>
      <c r="DL261" s="82"/>
      <c r="DM261" s="82"/>
      <c r="DN261" s="82"/>
      <c r="DO261" s="191"/>
      <c r="DP261" s="191"/>
      <c r="DQ261" s="191"/>
      <c r="DR261" s="191"/>
      <c r="DS261" s="191"/>
      <c r="DT261" s="191"/>
      <c r="DU261" s="191"/>
      <c r="DV261" s="191"/>
      <c r="DW261" s="3"/>
      <c r="DX261" s="82"/>
      <c r="DY261" s="82"/>
      <c r="DZ261" s="3"/>
      <c r="EA261" s="197"/>
      <c r="EB261" s="197"/>
      <c r="EC261" s="197"/>
      <c r="ED261" s="197"/>
      <c r="EE261" s="82"/>
      <c r="EF261" s="82"/>
      <c r="EG261" s="3"/>
      <c r="EH261" s="3"/>
      <c r="EI261" s="3"/>
      <c r="EJ261" s="3"/>
      <c r="EK261" s="198"/>
      <c r="EL261" s="198"/>
      <c r="EM261" s="198"/>
      <c r="EN261" s="198"/>
      <c r="EO261" s="1"/>
      <c r="EP261" s="1"/>
      <c r="EQ261" s="1"/>
      <c r="ER261" s="99"/>
    </row>
    <row r="262" spans="30:148" ht="6.95" customHeight="1" x14ac:dyDescent="0.15">
      <c r="AD262" s="56"/>
      <c r="AE262" s="3"/>
      <c r="AF262" s="199">
        <f>CHOOSE(SUM((AD238&gt;={700,750,800,850,900,950})*1), 500,550,600,650,750,800)</f>
        <v>600</v>
      </c>
      <c r="AG262" s="199"/>
      <c r="AH262" s="199"/>
      <c r="AI262" s="199"/>
      <c r="AJ262" s="4"/>
      <c r="AK262" s="4"/>
      <c r="AL262" s="4"/>
      <c r="AM262" s="4"/>
      <c r="AN262" s="82"/>
      <c r="AO262" s="82"/>
      <c r="AP262" s="82"/>
      <c r="AQ262" s="82"/>
      <c r="AR262" s="82"/>
      <c r="AS262" s="82"/>
      <c r="AT262" s="4"/>
      <c r="AU262" s="3"/>
      <c r="AV262" s="3"/>
      <c r="AW262" s="3"/>
      <c r="AX262" s="3"/>
      <c r="AY262" s="3"/>
      <c r="AZ262" s="4"/>
      <c r="BA262" s="3"/>
      <c r="BB262" s="3"/>
      <c r="BC262" s="3"/>
      <c r="BD262" s="3"/>
      <c r="BE262" s="3"/>
      <c r="BF262" s="3"/>
      <c r="BG262" s="3"/>
      <c r="BH262" s="197">
        <f>CHOOSE(SUM(($BR$138&gt;={700,750})*1), 700,800)</f>
        <v>800</v>
      </c>
      <c r="BI262" s="197"/>
      <c r="BJ262" s="197"/>
      <c r="BK262" s="197"/>
      <c r="BL262" s="3"/>
      <c r="BM262" s="1"/>
      <c r="BN262" s="1"/>
      <c r="BO262" s="1"/>
      <c r="BP262" s="99"/>
      <c r="BR262" s="56"/>
      <c r="BS262" s="3"/>
      <c r="BT262" s="199">
        <f>CHOOSE(SUM((BR238&gt;={700,750,800,850,900,950})*1), 500,550,600,650,750,800)</f>
        <v>600</v>
      </c>
      <c r="BU262" s="199"/>
      <c r="BV262" s="199"/>
      <c r="BW262" s="199"/>
      <c r="BX262" s="4"/>
      <c r="BY262" s="4"/>
      <c r="BZ262" s="4"/>
      <c r="CA262" s="4"/>
      <c r="CB262" s="82"/>
      <c r="CC262" s="82"/>
      <c r="CD262" s="82"/>
      <c r="CE262" s="82"/>
      <c r="CF262" s="82"/>
      <c r="CG262" s="82"/>
      <c r="CH262" s="4"/>
      <c r="CI262" s="3"/>
      <c r="CJ262" s="3"/>
      <c r="CK262" s="3"/>
      <c r="CL262" s="3"/>
      <c r="CM262" s="3"/>
      <c r="CN262" s="4"/>
      <c r="CO262" s="3"/>
      <c r="CP262" s="3"/>
      <c r="CQ262" s="3"/>
      <c r="CR262" s="3"/>
      <c r="CS262" s="3"/>
      <c r="CT262" s="3"/>
      <c r="CU262" s="3"/>
      <c r="CV262" s="197">
        <f>CHOOSE(SUM(($BR$138&gt;={700,750})*1), 700,800)</f>
        <v>800</v>
      </c>
      <c r="CW262" s="197"/>
      <c r="CX262" s="197"/>
      <c r="CY262" s="197"/>
      <c r="CZ262" s="3"/>
      <c r="DA262" s="1"/>
      <c r="DB262" s="1"/>
      <c r="DC262" s="1"/>
      <c r="DD262" s="99"/>
      <c r="DF262" s="56"/>
      <c r="DG262" s="3"/>
      <c r="DH262" s="3"/>
      <c r="DI262" s="3"/>
      <c r="DJ262" s="3"/>
      <c r="DK262" s="191"/>
      <c r="DL262" s="191"/>
      <c r="DM262" s="191"/>
      <c r="DN262" s="191"/>
      <c r="DO262" s="191"/>
      <c r="DP262" s="82"/>
      <c r="DQ262" s="82"/>
      <c r="DR262" s="82"/>
      <c r="DS262" s="82"/>
      <c r="DT262" s="82"/>
      <c r="DU262" s="82"/>
      <c r="DV262" s="191"/>
      <c r="DW262" s="3"/>
      <c r="DX262" s="82"/>
      <c r="DY262" s="82"/>
      <c r="DZ262" s="3"/>
      <c r="EA262" s="3"/>
      <c r="EB262" s="191"/>
      <c r="EC262" s="3"/>
      <c r="ED262" s="82"/>
      <c r="EE262" s="82"/>
      <c r="EF262" s="3"/>
      <c r="EG262" s="3"/>
      <c r="EH262" s="3"/>
      <c r="EI262" s="3"/>
      <c r="EJ262" s="3"/>
      <c r="EK262" s="3"/>
      <c r="EL262" s="3"/>
      <c r="EM262" s="3"/>
      <c r="EN262" s="3"/>
      <c r="EO262" s="1"/>
      <c r="EP262" s="1"/>
      <c r="EQ262" s="1"/>
      <c r="ER262" s="99"/>
    </row>
    <row r="263" spans="30:148" ht="6.95" customHeight="1" x14ac:dyDescent="0.15">
      <c r="AD263" s="56"/>
      <c r="AE263" s="3"/>
      <c r="AF263" s="199"/>
      <c r="AG263" s="199"/>
      <c r="AH263" s="199"/>
      <c r="AI263" s="199"/>
      <c r="AJ263" s="4"/>
      <c r="AK263" s="4"/>
      <c r="AL263" s="4"/>
      <c r="AM263" s="4"/>
      <c r="AN263" s="82"/>
      <c r="AO263" s="82"/>
      <c r="AP263" s="82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197"/>
      <c r="BI263" s="197"/>
      <c r="BJ263" s="197"/>
      <c r="BK263" s="197"/>
      <c r="BL263" s="4"/>
      <c r="BM263" s="1"/>
      <c r="BN263" s="1"/>
      <c r="BO263" s="1"/>
      <c r="BP263" s="99"/>
      <c r="BR263" s="56"/>
      <c r="BS263" s="3"/>
      <c r="BT263" s="199"/>
      <c r="BU263" s="199"/>
      <c r="BV263" s="199"/>
      <c r="BW263" s="199"/>
      <c r="BX263" s="4"/>
      <c r="BY263" s="4"/>
      <c r="BZ263" s="4"/>
      <c r="CA263" s="4"/>
      <c r="CB263" s="82"/>
      <c r="CC263" s="82"/>
      <c r="CD263" s="82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197"/>
      <c r="CW263" s="197"/>
      <c r="CX263" s="197"/>
      <c r="CY263" s="197"/>
      <c r="CZ263" s="4"/>
      <c r="DA263" s="1"/>
      <c r="DB263" s="1"/>
      <c r="DC263" s="1"/>
      <c r="DD263" s="99"/>
      <c r="DF263" s="56"/>
      <c r="DG263" s="3"/>
      <c r="DH263" s="199">
        <f>CHOOSE(SUM((DF239&gt;={700,750,800,850,900,950})*1), 500,550,600,650,750,800)</f>
        <v>550</v>
      </c>
      <c r="DI263" s="199"/>
      <c r="DJ263" s="199"/>
      <c r="DK263" s="199"/>
      <c r="DL263" s="4"/>
      <c r="DM263" s="4"/>
      <c r="DN263" s="4"/>
      <c r="DO263" s="4"/>
      <c r="DP263" s="82"/>
      <c r="DQ263" s="82"/>
      <c r="DR263" s="82"/>
      <c r="DS263" s="82"/>
      <c r="DT263" s="82"/>
      <c r="DU263" s="82"/>
      <c r="DV263" s="4"/>
      <c r="DW263" s="3"/>
      <c r="DX263" s="3"/>
      <c r="DY263" s="82"/>
      <c r="DZ263" s="3"/>
      <c r="EA263" s="3"/>
      <c r="EB263" s="4"/>
      <c r="EC263" s="3"/>
      <c r="ED263" s="3"/>
      <c r="EE263" s="3"/>
      <c r="EF263" s="3"/>
      <c r="EG263" s="3"/>
      <c r="EH263" s="3"/>
      <c r="EI263" s="3"/>
      <c r="EJ263" s="197">
        <f>CHOOSE(SUM(($BR$138&gt;={700,750})*1), 700,800)</f>
        <v>800</v>
      </c>
      <c r="EK263" s="197"/>
      <c r="EL263" s="197"/>
      <c r="EM263" s="197"/>
      <c r="EN263" s="3"/>
      <c r="EO263" s="1"/>
      <c r="EP263" s="1"/>
      <c r="EQ263" s="1"/>
      <c r="ER263" s="99"/>
    </row>
    <row r="264" spans="30:148" ht="6.95" customHeight="1" x14ac:dyDescent="0.15">
      <c r="AD264" s="56"/>
      <c r="AE264" s="3"/>
      <c r="AF264" s="3"/>
      <c r="AG264" s="3"/>
      <c r="AH264" s="3"/>
      <c r="AI264" s="4"/>
      <c r="AJ264" s="4"/>
      <c r="AK264" s="4"/>
      <c r="AL264" s="4"/>
      <c r="AM264" s="88"/>
      <c r="AN264" s="88"/>
      <c r="AO264" s="88"/>
      <c r="AP264" s="88"/>
      <c r="AQ264" s="88"/>
      <c r="AR264" s="88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1"/>
      <c r="BN264" s="1"/>
      <c r="BO264" s="1"/>
      <c r="BP264" s="99"/>
      <c r="BR264" s="56"/>
      <c r="BS264" s="3"/>
      <c r="BT264" s="3"/>
      <c r="BU264" s="3"/>
      <c r="BV264" s="3"/>
      <c r="BW264" s="4"/>
      <c r="BX264" s="4"/>
      <c r="BY264" s="4"/>
      <c r="BZ264" s="4"/>
      <c r="CA264" s="88"/>
      <c r="CB264" s="88"/>
      <c r="CC264" s="88"/>
      <c r="CD264" s="88"/>
      <c r="CE264" s="88"/>
      <c r="CF264" s="8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1"/>
      <c r="DB264" s="1"/>
      <c r="DC264" s="1"/>
      <c r="DD264" s="99"/>
      <c r="DF264" s="56"/>
      <c r="DG264" s="3"/>
      <c r="DH264" s="199"/>
      <c r="DI264" s="199"/>
      <c r="DJ264" s="199"/>
      <c r="DK264" s="199"/>
      <c r="DL264" s="4"/>
      <c r="DM264" s="4"/>
      <c r="DN264" s="4"/>
      <c r="DO264" s="4"/>
      <c r="DP264" s="82"/>
      <c r="DQ264" s="82"/>
      <c r="DR264" s="82"/>
      <c r="DS264" s="4"/>
      <c r="DT264" s="4"/>
      <c r="DU264" s="4"/>
      <c r="DV264" s="4"/>
      <c r="DW264" s="4"/>
      <c r="DX264" s="4"/>
      <c r="DY264" s="3"/>
      <c r="DZ264" s="3"/>
      <c r="EA264" s="4"/>
      <c r="EB264" s="4"/>
      <c r="EC264" s="4"/>
      <c r="ED264" s="4"/>
      <c r="EE264" s="4"/>
      <c r="EF264" s="4"/>
      <c r="EG264" s="4"/>
      <c r="EH264" s="4"/>
      <c r="EI264" s="4"/>
      <c r="EJ264" s="197"/>
      <c r="EK264" s="197"/>
      <c r="EL264" s="197"/>
      <c r="EM264" s="197"/>
      <c r="EN264" s="4"/>
      <c r="EO264" s="1"/>
      <c r="EP264" s="1"/>
      <c r="EQ264" s="1"/>
      <c r="ER264" s="99"/>
    </row>
    <row r="265" spans="30:148" ht="6.95" customHeight="1" x14ac:dyDescent="0.15">
      <c r="AD265" s="56"/>
      <c r="AE265" s="3"/>
      <c r="AF265" s="3"/>
      <c r="AG265" s="3"/>
      <c r="AH265" s="3"/>
      <c r="AI265" s="4"/>
      <c r="AJ265" s="4"/>
      <c r="AK265" s="84"/>
      <c r="AL265" s="84"/>
      <c r="AM265" s="88"/>
      <c r="AN265" s="88"/>
      <c r="AO265" s="196" t="s">
        <v>42</v>
      </c>
      <c r="AP265" s="196"/>
      <c r="AQ265" s="196"/>
      <c r="AR265" s="196">
        <v>16</v>
      </c>
      <c r="AS265" s="196"/>
      <c r="AT265" s="196" t="s">
        <v>43</v>
      </c>
      <c r="AU265" s="196"/>
      <c r="AV265" s="196"/>
      <c r="AW265" s="84"/>
      <c r="AX265" s="84"/>
      <c r="AY265" s="4"/>
      <c r="AZ265" s="88"/>
      <c r="BA265" s="4"/>
      <c r="BB265" s="200">
        <f>CHOOSE(SUM(($BR$138&gt;={700,750})*1), 300,200)</f>
        <v>200</v>
      </c>
      <c r="BC265" s="200"/>
      <c r="BD265" s="200"/>
      <c r="BE265" s="200"/>
      <c r="BF265" s="4"/>
      <c r="BG265" s="88"/>
      <c r="BH265" s="196" t="s">
        <v>42</v>
      </c>
      <c r="BI265" s="196"/>
      <c r="BJ265" s="196"/>
      <c r="BK265" s="196">
        <v>4</v>
      </c>
      <c r="BL265" s="196"/>
      <c r="BM265" s="196" t="s">
        <v>43</v>
      </c>
      <c r="BN265" s="196"/>
      <c r="BO265" s="196"/>
      <c r="BP265" s="99"/>
      <c r="BR265" s="56"/>
      <c r="BS265" s="3"/>
      <c r="BT265" s="3"/>
      <c r="BU265" s="3"/>
      <c r="BV265" s="3"/>
      <c r="BW265" s="4"/>
      <c r="BX265" s="4"/>
      <c r="BY265" s="84"/>
      <c r="BZ265" s="84"/>
      <c r="CA265" s="88"/>
      <c r="CB265" s="88"/>
      <c r="CC265" s="196" t="s">
        <v>42</v>
      </c>
      <c r="CD265" s="196"/>
      <c r="CE265" s="196"/>
      <c r="CF265" s="196">
        <v>16</v>
      </c>
      <c r="CG265" s="196"/>
      <c r="CH265" s="196" t="s">
        <v>43</v>
      </c>
      <c r="CI265" s="196"/>
      <c r="CJ265" s="196"/>
      <c r="CK265" s="84"/>
      <c r="CL265" s="84"/>
      <c r="CM265" s="4"/>
      <c r="CN265" s="88"/>
      <c r="CO265" s="4"/>
      <c r="CP265" s="200">
        <f>CHOOSE(SUM(($BR$138&gt;={700,750})*1), 300,200)</f>
        <v>200</v>
      </c>
      <c r="CQ265" s="200"/>
      <c r="CR265" s="200"/>
      <c r="CS265" s="200"/>
      <c r="CT265" s="4"/>
      <c r="CU265" s="88"/>
      <c r="CV265" s="196" t="s">
        <v>42</v>
      </c>
      <c r="CW265" s="196"/>
      <c r="CX265" s="196"/>
      <c r="CY265" s="196">
        <v>4</v>
      </c>
      <c r="CZ265" s="196"/>
      <c r="DA265" s="196" t="s">
        <v>43</v>
      </c>
      <c r="DB265" s="196"/>
      <c r="DC265" s="196"/>
      <c r="DD265" s="99"/>
      <c r="DF265" s="56"/>
      <c r="DG265" s="3"/>
      <c r="DH265" s="3"/>
      <c r="DI265" s="3"/>
      <c r="DJ265" s="3"/>
      <c r="DK265" s="4"/>
      <c r="DL265" s="4"/>
      <c r="DM265" s="4"/>
      <c r="DN265" s="4"/>
      <c r="DO265" s="88"/>
      <c r="DP265" s="88"/>
      <c r="DQ265" s="88"/>
      <c r="DR265" s="88"/>
      <c r="DS265" s="88"/>
      <c r="DT265" s="88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1"/>
      <c r="EP265" s="1"/>
      <c r="EQ265" s="1"/>
      <c r="ER265" s="99"/>
    </row>
    <row r="266" spans="30:148" ht="6.95" customHeight="1" x14ac:dyDescent="0.15">
      <c r="AD266" s="56"/>
      <c r="AE266" s="3"/>
      <c r="AF266" s="2"/>
      <c r="AG266" s="2"/>
      <c r="AH266" s="2"/>
      <c r="AI266" s="2"/>
      <c r="AJ266" s="2"/>
      <c r="AK266" s="84"/>
      <c r="AL266" s="84"/>
      <c r="AM266" s="88"/>
      <c r="AN266" s="88"/>
      <c r="AO266" s="196"/>
      <c r="AP266" s="196"/>
      <c r="AQ266" s="196"/>
      <c r="AR266" s="196"/>
      <c r="AS266" s="196"/>
      <c r="AT266" s="196"/>
      <c r="AU266" s="196"/>
      <c r="AV266" s="196"/>
      <c r="AW266" s="84"/>
      <c r="AX266" s="84"/>
      <c r="AY266" s="4"/>
      <c r="AZ266" s="88"/>
      <c r="BA266" s="4"/>
      <c r="BB266" s="200"/>
      <c r="BC266" s="200"/>
      <c r="BD266" s="200"/>
      <c r="BE266" s="200"/>
      <c r="BF266" s="4"/>
      <c r="BG266" s="88"/>
      <c r="BH266" s="196"/>
      <c r="BI266" s="196"/>
      <c r="BJ266" s="196"/>
      <c r="BK266" s="196"/>
      <c r="BL266" s="196"/>
      <c r="BM266" s="196"/>
      <c r="BN266" s="196"/>
      <c r="BO266" s="196"/>
      <c r="BP266" s="99"/>
      <c r="BR266" s="56"/>
      <c r="BS266" s="3"/>
      <c r="BT266" s="2"/>
      <c r="BU266" s="2"/>
      <c r="BV266" s="2"/>
      <c r="BW266" s="2"/>
      <c r="BX266" s="2"/>
      <c r="BY266" s="84"/>
      <c r="BZ266" s="84"/>
      <c r="CA266" s="88"/>
      <c r="CB266" s="88"/>
      <c r="CC266" s="196"/>
      <c r="CD266" s="196"/>
      <c r="CE266" s="196"/>
      <c r="CF266" s="196"/>
      <c r="CG266" s="196"/>
      <c r="CH266" s="196"/>
      <c r="CI266" s="196"/>
      <c r="CJ266" s="196"/>
      <c r="CK266" s="84"/>
      <c r="CL266" s="84"/>
      <c r="CM266" s="4"/>
      <c r="CN266" s="88"/>
      <c r="CO266" s="4"/>
      <c r="CP266" s="200"/>
      <c r="CQ266" s="200"/>
      <c r="CR266" s="200"/>
      <c r="CS266" s="200"/>
      <c r="CT266" s="4"/>
      <c r="CU266" s="88"/>
      <c r="CV266" s="196"/>
      <c r="CW266" s="196"/>
      <c r="CX266" s="196"/>
      <c r="CY266" s="196"/>
      <c r="CZ266" s="196"/>
      <c r="DA266" s="196"/>
      <c r="DB266" s="196"/>
      <c r="DC266" s="196"/>
      <c r="DD266" s="99"/>
      <c r="DF266" s="56"/>
      <c r="DG266" s="3"/>
      <c r="DH266" s="3"/>
      <c r="DI266" s="3"/>
      <c r="DJ266" s="3"/>
      <c r="DK266" s="4"/>
      <c r="DL266" s="4"/>
      <c r="DM266" s="84"/>
      <c r="DN266" s="84"/>
      <c r="DO266" s="88"/>
      <c r="DP266" s="88"/>
      <c r="DQ266" s="196" t="s">
        <v>42</v>
      </c>
      <c r="DR266" s="196"/>
      <c r="DS266" s="196"/>
      <c r="DT266" s="196">
        <v>8</v>
      </c>
      <c r="DU266" s="196"/>
      <c r="DV266" s="196" t="s">
        <v>43</v>
      </c>
      <c r="DW266" s="196"/>
      <c r="DX266" s="196"/>
      <c r="DY266" s="4"/>
      <c r="DZ266" s="4"/>
      <c r="EA266" s="4"/>
      <c r="EB266" s="88"/>
      <c r="EC266" s="4"/>
      <c r="ED266" s="200">
        <f>CHOOSE(SUM(($BR$138&gt;={700,750})*1), 300,200)</f>
        <v>200</v>
      </c>
      <c r="EE266" s="200"/>
      <c r="EF266" s="200"/>
      <c r="EG266" s="200"/>
      <c r="EH266" s="4"/>
      <c r="EI266" s="88"/>
      <c r="EJ266" s="196" t="s">
        <v>42</v>
      </c>
      <c r="EK266" s="196"/>
      <c r="EL266" s="196"/>
      <c r="EM266" s="196">
        <v>2</v>
      </c>
      <c r="EN266" s="196"/>
      <c r="EO266" s="196" t="s">
        <v>43</v>
      </c>
      <c r="EP266" s="196"/>
      <c r="EQ266" s="196"/>
      <c r="ER266" s="99"/>
    </row>
    <row r="267" spans="30:148" ht="6.95" customHeight="1" x14ac:dyDescent="0.15">
      <c r="AD267" s="52"/>
      <c r="AE267" s="2"/>
      <c r="AF267" s="2"/>
      <c r="AG267" s="2"/>
      <c r="AH267" s="2"/>
      <c r="AI267" s="2"/>
      <c r="AJ267" s="2"/>
      <c r="AK267" s="84"/>
      <c r="AL267" s="84"/>
      <c r="AM267" s="88"/>
      <c r="AN267" s="88"/>
      <c r="AO267" s="103"/>
      <c r="AP267" s="103"/>
      <c r="AQ267" s="103"/>
      <c r="AR267" s="103"/>
      <c r="AS267" s="103"/>
      <c r="AT267" s="103"/>
      <c r="AU267" s="103"/>
      <c r="AV267" s="103"/>
      <c r="AW267" s="84"/>
      <c r="AX267" s="84"/>
      <c r="AY267" s="4"/>
      <c r="AZ267" s="88"/>
      <c r="BA267" s="4"/>
      <c r="BB267" s="107"/>
      <c r="BC267" s="107"/>
      <c r="BD267" s="107"/>
      <c r="BE267" s="107"/>
      <c r="BF267" s="4"/>
      <c r="BG267" s="88"/>
      <c r="BH267" s="103"/>
      <c r="BI267" s="103"/>
      <c r="BJ267" s="103"/>
      <c r="BK267" s="103"/>
      <c r="BL267" s="103"/>
      <c r="BM267" s="103"/>
      <c r="BN267" s="103"/>
      <c r="BO267" s="103"/>
      <c r="BP267" s="99"/>
      <c r="BR267" s="52"/>
      <c r="BS267" s="2"/>
      <c r="BT267" s="2"/>
      <c r="BU267" s="2"/>
      <c r="BV267" s="2"/>
      <c r="BW267" s="2"/>
      <c r="BX267" s="2"/>
      <c r="BY267" s="84"/>
      <c r="BZ267" s="84"/>
      <c r="CA267" s="88"/>
      <c r="CB267" s="88"/>
      <c r="CC267" s="103"/>
      <c r="CD267" s="103"/>
      <c r="CE267" s="103"/>
      <c r="CF267" s="103"/>
      <c r="CG267" s="103"/>
      <c r="CH267" s="103"/>
      <c r="CI267" s="103"/>
      <c r="CJ267" s="103"/>
      <c r="CK267" s="84"/>
      <c r="CL267" s="84"/>
      <c r="CM267" s="4"/>
      <c r="CN267" s="4"/>
      <c r="CO267" s="4"/>
      <c r="CP267" s="4"/>
      <c r="CQ267" s="4"/>
      <c r="CR267" s="4"/>
      <c r="CS267" s="4"/>
      <c r="CT267" s="4"/>
      <c r="CU267" s="4"/>
      <c r="CV267" s="1"/>
      <c r="CW267" s="1"/>
      <c r="CX267" s="1"/>
      <c r="CY267" s="1"/>
      <c r="CZ267" s="1"/>
      <c r="DA267" s="1"/>
      <c r="DB267" s="1"/>
      <c r="DC267" s="1"/>
      <c r="DD267" s="99"/>
      <c r="DF267" s="56"/>
      <c r="DG267" s="3"/>
      <c r="DH267" s="191"/>
      <c r="DI267" s="191"/>
      <c r="DJ267" s="191"/>
      <c r="DK267" s="191"/>
      <c r="DL267" s="191"/>
      <c r="DM267" s="84"/>
      <c r="DN267" s="84"/>
      <c r="DO267" s="88"/>
      <c r="DP267" s="88"/>
      <c r="DQ267" s="196"/>
      <c r="DR267" s="196"/>
      <c r="DS267" s="196"/>
      <c r="DT267" s="196"/>
      <c r="DU267" s="196"/>
      <c r="DV267" s="196"/>
      <c r="DW267" s="196"/>
      <c r="DX267" s="196"/>
      <c r="DY267" s="84"/>
      <c r="DZ267" s="84"/>
      <c r="EA267" s="4"/>
      <c r="EB267" s="88"/>
      <c r="EC267" s="4"/>
      <c r="ED267" s="200"/>
      <c r="EE267" s="200"/>
      <c r="EF267" s="200"/>
      <c r="EG267" s="200"/>
      <c r="EH267" s="4"/>
      <c r="EI267" s="88"/>
      <c r="EJ267" s="196"/>
      <c r="EK267" s="196"/>
      <c r="EL267" s="196"/>
      <c r="EM267" s="196"/>
      <c r="EN267" s="196"/>
      <c r="EO267" s="196"/>
      <c r="EP267" s="196"/>
      <c r="EQ267" s="196"/>
      <c r="ER267" s="99"/>
    </row>
    <row r="268" spans="30:148" ht="6.95" customHeight="1" x14ac:dyDescent="0.15">
      <c r="AD268" s="56"/>
      <c r="AE268" s="3"/>
      <c r="AF268" s="3"/>
      <c r="AG268" s="3"/>
      <c r="AH268" s="3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1"/>
      <c r="BI268" s="1"/>
      <c r="BJ268" s="1"/>
      <c r="BK268" s="1"/>
      <c r="BL268" s="1"/>
      <c r="BM268" s="1"/>
      <c r="BN268" s="1"/>
      <c r="BO268" s="1"/>
      <c r="BP268" s="99"/>
      <c r="BR268" s="56"/>
      <c r="BS268" s="3"/>
      <c r="BT268" s="2"/>
      <c r="BU268" s="2"/>
      <c r="BV268" s="2"/>
      <c r="BW268" s="2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1"/>
      <c r="CW268" s="1"/>
      <c r="CX268" s="1"/>
      <c r="CY268" s="1"/>
      <c r="CZ268" s="1"/>
      <c r="DA268" s="1"/>
      <c r="DB268" s="1"/>
      <c r="DC268" s="1"/>
      <c r="DD268" s="99"/>
      <c r="DF268" s="52"/>
      <c r="DG268" s="191"/>
      <c r="DH268" s="191"/>
      <c r="DI268" s="191"/>
      <c r="DJ268" s="191"/>
      <c r="DK268" s="191"/>
      <c r="DL268" s="191"/>
      <c r="DM268" s="84"/>
      <c r="DN268" s="84"/>
      <c r="DO268" s="88"/>
      <c r="DP268" s="88"/>
      <c r="DQ268" s="103"/>
      <c r="DR268" s="103"/>
      <c r="DS268" s="103"/>
      <c r="DT268" s="103"/>
      <c r="DU268" s="103"/>
      <c r="DV268" s="103"/>
      <c r="DW268" s="103"/>
      <c r="DX268" s="103"/>
      <c r="DY268" s="84"/>
      <c r="DZ268" s="84"/>
      <c r="EA268" s="4"/>
      <c r="EB268" s="4"/>
      <c r="EC268" s="4"/>
      <c r="ED268" s="4"/>
      <c r="EE268" s="4"/>
      <c r="EF268" s="4"/>
      <c r="EG268" s="4"/>
      <c r="EH268" s="4"/>
      <c r="EI268" s="4"/>
      <c r="EJ268" s="1"/>
      <c r="EK268" s="1"/>
      <c r="EL268" s="1"/>
      <c r="EM268" s="1"/>
      <c r="EN268" s="1"/>
      <c r="EO268" s="1"/>
      <c r="EP268" s="1"/>
      <c r="EQ268" s="1"/>
      <c r="ER268" s="99"/>
    </row>
    <row r="269" spans="30:148" ht="6.95" customHeight="1" x14ac:dyDescent="0.15">
      <c r="AD269" s="56"/>
      <c r="AE269" s="3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3"/>
      <c r="AQ269" s="103"/>
      <c r="AR269" s="103"/>
      <c r="AS269" s="103"/>
      <c r="AT269" s="103"/>
      <c r="AU269" s="103"/>
      <c r="AV269" s="103"/>
      <c r="AW269" s="103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1"/>
      <c r="BI269" s="1"/>
      <c r="BJ269" s="1"/>
      <c r="BK269" s="1"/>
      <c r="BL269" s="1"/>
      <c r="BM269" s="1"/>
      <c r="BN269" s="1"/>
      <c r="BO269" s="1"/>
      <c r="BP269" s="99"/>
      <c r="BR269" s="56"/>
      <c r="BS269" s="3"/>
      <c r="BT269" s="2"/>
      <c r="BU269" s="2"/>
      <c r="BV269" s="2"/>
      <c r="BW269" s="2"/>
      <c r="BX269" s="106"/>
      <c r="BY269" s="106"/>
      <c r="BZ269" s="106"/>
      <c r="CA269" s="106"/>
      <c r="CB269" s="106"/>
      <c r="CC269" s="106"/>
      <c r="CD269" s="103"/>
      <c r="CE269" s="103"/>
      <c r="CF269" s="103"/>
      <c r="CG269" s="103"/>
      <c r="CH269" s="103"/>
      <c r="CI269" s="103"/>
      <c r="CJ269" s="103"/>
      <c r="CK269" s="103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1"/>
      <c r="CW269" s="1"/>
      <c r="CX269" s="1"/>
      <c r="CY269" s="1"/>
      <c r="CZ269" s="1"/>
      <c r="DA269" s="1"/>
      <c r="DB269" s="1"/>
      <c r="DC269" s="1"/>
      <c r="DD269" s="147"/>
      <c r="DF269" s="56"/>
      <c r="DG269" s="3"/>
      <c r="DH269" s="191"/>
      <c r="DI269" s="191"/>
      <c r="DJ269" s="191"/>
      <c r="DK269" s="191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1"/>
      <c r="EK269" s="1"/>
      <c r="EL269" s="1"/>
      <c r="EM269" s="1"/>
      <c r="EN269" s="1"/>
      <c r="EO269" s="1"/>
      <c r="EP269" s="1"/>
      <c r="EQ269" s="1"/>
      <c r="ER269" s="99"/>
    </row>
    <row r="270" spans="30:148" ht="6.95" customHeight="1" x14ac:dyDescent="0.15">
      <c r="AD270" s="56"/>
      <c r="AE270" s="3"/>
      <c r="AF270" s="200" t="s">
        <v>44</v>
      </c>
      <c r="AG270" s="200"/>
      <c r="AH270" s="200"/>
      <c r="AI270" s="200"/>
      <c r="AJ270" s="106"/>
      <c r="AK270" s="106"/>
      <c r="AL270" s="106"/>
      <c r="AM270" s="106"/>
      <c r="AN270" s="106"/>
      <c r="AO270" s="106"/>
      <c r="AP270" s="103"/>
      <c r="AQ270" s="103"/>
      <c r="AR270" s="103"/>
      <c r="AS270" s="103"/>
      <c r="AT270" s="103"/>
      <c r="AU270" s="103"/>
      <c r="AV270" s="103"/>
      <c r="AW270" s="103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1"/>
      <c r="BI270" s="1"/>
      <c r="BJ270" s="1"/>
      <c r="BK270" s="1"/>
      <c r="BL270" s="1"/>
      <c r="BM270" s="1"/>
      <c r="BN270" s="1"/>
      <c r="BO270" s="1"/>
      <c r="BP270" s="99"/>
      <c r="BR270" s="56"/>
      <c r="BS270" s="3"/>
      <c r="BT270" s="2"/>
      <c r="BU270" s="2"/>
      <c r="BV270" s="2"/>
      <c r="BW270" s="2"/>
      <c r="BX270" s="106"/>
      <c r="BY270" s="106"/>
      <c r="BZ270" s="106"/>
      <c r="CA270" s="106"/>
      <c r="CB270" s="106"/>
      <c r="CC270" s="106"/>
      <c r="CD270" s="103"/>
      <c r="CE270" s="103"/>
      <c r="CF270" s="103"/>
      <c r="CG270" s="103"/>
      <c r="CH270" s="103"/>
      <c r="CI270" s="103"/>
      <c r="CJ270" s="103"/>
      <c r="CK270" s="103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1"/>
      <c r="CW270" s="1"/>
      <c r="CX270" s="1"/>
      <c r="CY270" s="1"/>
      <c r="CZ270" s="1"/>
      <c r="DA270" s="1"/>
      <c r="DB270" s="1"/>
      <c r="DC270" s="1"/>
      <c r="DD270" s="147"/>
      <c r="DF270" s="56"/>
      <c r="DG270" s="3"/>
      <c r="DH270" s="191"/>
      <c r="DI270" s="191"/>
      <c r="DJ270" s="191"/>
      <c r="DK270" s="191"/>
      <c r="DL270" s="106"/>
      <c r="DM270" s="106"/>
      <c r="DN270" s="106"/>
      <c r="DO270" s="106"/>
      <c r="DP270" s="106"/>
      <c r="DQ270" s="106"/>
      <c r="DR270" s="103"/>
      <c r="DS270" s="103"/>
      <c r="DT270" s="103"/>
      <c r="DU270" s="103"/>
      <c r="DV270" s="103"/>
      <c r="DW270" s="103"/>
      <c r="DX270" s="103"/>
      <c r="DY270" s="103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1"/>
      <c r="EK270" s="1"/>
      <c r="EL270" s="1"/>
      <c r="EM270" s="1"/>
      <c r="EN270" s="1"/>
      <c r="EO270" s="1"/>
      <c r="EP270" s="1"/>
      <c r="EQ270" s="1"/>
      <c r="ER270" s="147"/>
    </row>
    <row r="271" spans="30:148" ht="6.95" customHeight="1" x14ac:dyDescent="0.15">
      <c r="AD271" s="56"/>
      <c r="AE271" s="3"/>
      <c r="AF271" s="200"/>
      <c r="AG271" s="200"/>
      <c r="AH271" s="200"/>
      <c r="AI271" s="200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1"/>
      <c r="BI271" s="1"/>
      <c r="BJ271" s="199">
        <f>CHOOSE(SUM((AD238&gt;={700,750,800,850,900,950})*1), 140,190,240,290,340,390)</f>
        <v>240</v>
      </c>
      <c r="BK271" s="199"/>
      <c r="BL271" s="199"/>
      <c r="BM271" s="199"/>
      <c r="BN271" s="1"/>
      <c r="BO271" s="1"/>
      <c r="BP271" s="99"/>
      <c r="BR271" s="56"/>
      <c r="BS271" s="3"/>
      <c r="BT271" s="193" t="s">
        <v>44</v>
      </c>
      <c r="BU271" s="193"/>
      <c r="BV271" s="193"/>
      <c r="BW271" s="193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1"/>
      <c r="CW271" s="1"/>
      <c r="CX271" s="199">
        <f>CHOOSE(SUM((BR238&gt;={700,750,800,850,900,950})*1), 140,190,240,290,340,390)</f>
        <v>240</v>
      </c>
      <c r="CY271" s="199"/>
      <c r="CZ271" s="199"/>
      <c r="DA271" s="199"/>
      <c r="DB271" s="1"/>
      <c r="DC271" s="1"/>
      <c r="DD271" s="147"/>
      <c r="DF271" s="56"/>
      <c r="DG271" s="3"/>
      <c r="DH271" s="191"/>
      <c r="DI271" s="191"/>
      <c r="DJ271" s="191"/>
      <c r="DK271" s="191"/>
      <c r="DL271" s="106"/>
      <c r="DM271" s="106"/>
      <c r="DN271" s="106"/>
      <c r="DO271" s="106"/>
      <c r="DP271" s="106"/>
      <c r="DQ271" s="106"/>
      <c r="DR271" s="103"/>
      <c r="DS271" s="103"/>
      <c r="DT271" s="103"/>
      <c r="DU271" s="103"/>
      <c r="DV271" s="103"/>
      <c r="DW271" s="103"/>
      <c r="DX271" s="103"/>
      <c r="DY271" s="103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1"/>
      <c r="EK271" s="1"/>
      <c r="EL271" s="1"/>
      <c r="EM271" s="1"/>
      <c r="EN271" s="1"/>
      <c r="EO271" s="1"/>
      <c r="EP271" s="1"/>
      <c r="EQ271" s="1"/>
      <c r="ER271" s="147"/>
    </row>
    <row r="272" spans="30:148" ht="6.95" customHeight="1" x14ac:dyDescent="0.15">
      <c r="AD272" s="56"/>
      <c r="AE272" s="3"/>
      <c r="AF272" s="106"/>
      <c r="AG272" s="106"/>
      <c r="AH272" s="106"/>
      <c r="AI272" s="106"/>
      <c r="AJ272" s="104"/>
      <c r="AK272" s="105"/>
      <c r="AL272" s="105"/>
      <c r="AM272" s="105"/>
      <c r="AN272" s="105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1"/>
      <c r="BI272" s="1"/>
      <c r="BJ272" s="199"/>
      <c r="BK272" s="199"/>
      <c r="BL272" s="199"/>
      <c r="BM272" s="199"/>
      <c r="BN272" s="1"/>
      <c r="BO272" s="1"/>
      <c r="BP272" s="99"/>
      <c r="BR272" s="56"/>
      <c r="BS272" s="3"/>
      <c r="BT272" s="193"/>
      <c r="BU272" s="193"/>
      <c r="BV272" s="193"/>
      <c r="BW272" s="193"/>
      <c r="BX272" s="104"/>
      <c r="BY272" s="105"/>
      <c r="BZ272" s="105"/>
      <c r="CA272" s="105"/>
      <c r="CB272" s="105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1"/>
      <c r="CW272" s="1"/>
      <c r="CX272" s="199"/>
      <c r="CY272" s="199"/>
      <c r="CZ272" s="199"/>
      <c r="DA272" s="199"/>
      <c r="DB272" s="1"/>
      <c r="DC272" s="1"/>
      <c r="DD272" s="147"/>
      <c r="DF272" s="56"/>
      <c r="DG272" s="3"/>
      <c r="DH272" s="193" t="s">
        <v>44</v>
      </c>
      <c r="DI272" s="193"/>
      <c r="DJ272" s="193"/>
      <c r="DK272" s="193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1"/>
      <c r="EK272" s="1"/>
      <c r="EL272" s="199">
        <f>CHOOSE(SUM((DF239&gt;={700,750,800,850,900,950})*1), 140,190,240,290,340,390)</f>
        <v>190</v>
      </c>
      <c r="EM272" s="199"/>
      <c r="EN272" s="199"/>
      <c r="EO272" s="199"/>
      <c r="EP272" s="1"/>
      <c r="EQ272" s="1"/>
      <c r="ER272" s="147"/>
    </row>
    <row r="273" spans="27:148" ht="6.95" customHeight="1" x14ac:dyDescent="0.15">
      <c r="AD273" s="56"/>
      <c r="AE273" s="3"/>
      <c r="AF273" s="197" t="s">
        <v>44</v>
      </c>
      <c r="AG273" s="197"/>
      <c r="AH273" s="197"/>
      <c r="AI273" s="197"/>
      <c r="AJ273" s="104"/>
      <c r="AK273" s="105"/>
      <c r="AL273" s="105"/>
      <c r="AM273" s="105"/>
      <c r="AN273" s="105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1"/>
      <c r="BI273" s="1"/>
      <c r="BJ273" s="96"/>
      <c r="BK273" s="96"/>
      <c r="BL273" s="96"/>
      <c r="BM273" s="96"/>
      <c r="BN273" s="110"/>
      <c r="BO273" s="1"/>
      <c r="BP273" s="99"/>
      <c r="BR273" s="56"/>
      <c r="BS273" s="3"/>
      <c r="BT273" s="2"/>
      <c r="BU273" s="2"/>
      <c r="BV273" s="2"/>
      <c r="BW273" s="2"/>
      <c r="BX273" s="104"/>
      <c r="BY273" s="105"/>
      <c r="BZ273" s="105"/>
      <c r="CA273" s="105"/>
      <c r="CB273" s="105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1"/>
      <c r="CW273" s="1"/>
      <c r="CX273" s="96"/>
      <c r="CY273" s="96"/>
      <c r="CZ273" s="96"/>
      <c r="DA273" s="96"/>
      <c r="DB273" s="110"/>
      <c r="DC273" s="1"/>
      <c r="DD273" s="147"/>
      <c r="DF273" s="56"/>
      <c r="DG273" s="3"/>
      <c r="DH273" s="193"/>
      <c r="DI273" s="193"/>
      <c r="DJ273" s="193"/>
      <c r="DK273" s="193"/>
      <c r="DL273" s="104"/>
      <c r="DM273" s="105"/>
      <c r="DN273" s="105"/>
      <c r="DO273" s="105"/>
      <c r="DP273" s="105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1"/>
      <c r="EK273" s="1"/>
      <c r="EL273" s="199"/>
      <c r="EM273" s="199"/>
      <c r="EN273" s="199"/>
      <c r="EO273" s="199"/>
      <c r="EP273" s="1"/>
      <c r="EQ273" s="1"/>
      <c r="ER273" s="147"/>
    </row>
    <row r="274" spans="27:148" ht="6.95" customHeight="1" x14ac:dyDescent="0.15">
      <c r="AD274" s="56"/>
      <c r="AE274" s="3"/>
      <c r="AF274" s="197"/>
      <c r="AG274" s="197"/>
      <c r="AH274" s="197"/>
      <c r="AI274" s="197"/>
      <c r="AJ274" s="4"/>
      <c r="AK274" s="4"/>
      <c r="AL274" s="105"/>
      <c r="AM274" s="105"/>
      <c r="AN274" s="105"/>
      <c r="AO274" s="105"/>
      <c r="AP274" s="105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1"/>
      <c r="BI274" s="1"/>
      <c r="BJ274" s="1"/>
      <c r="BK274" s="1"/>
      <c r="BL274" s="110"/>
      <c r="BM274" s="110"/>
      <c r="BN274" s="110"/>
      <c r="BO274" s="1"/>
      <c r="BP274" s="99"/>
      <c r="BR274" s="56"/>
      <c r="BS274" s="3"/>
      <c r="BT274" s="2"/>
      <c r="BU274" s="2"/>
      <c r="BV274" s="2"/>
      <c r="BW274" s="2"/>
      <c r="BX274" s="4"/>
      <c r="BY274" s="4"/>
      <c r="BZ274" s="105"/>
      <c r="CA274" s="105"/>
      <c r="CB274" s="105"/>
      <c r="CC274" s="105"/>
      <c r="CD274" s="105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1"/>
      <c r="CW274" s="1"/>
      <c r="CX274" s="1"/>
      <c r="CY274" s="1"/>
      <c r="CZ274" s="110"/>
      <c r="DA274" s="110"/>
      <c r="DB274" s="110"/>
      <c r="DC274" s="1"/>
      <c r="DD274" s="147"/>
      <c r="DF274" s="56"/>
      <c r="DG274" s="3"/>
      <c r="DH274" s="191"/>
      <c r="DI274" s="191"/>
      <c r="DJ274" s="191"/>
      <c r="DK274" s="191"/>
      <c r="DL274" s="104"/>
      <c r="DM274" s="105"/>
      <c r="DN274" s="105"/>
      <c r="DO274" s="105"/>
      <c r="DP274" s="105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1"/>
      <c r="EK274" s="1"/>
      <c r="EL274" s="96"/>
      <c r="EM274" s="96"/>
      <c r="EN274" s="96"/>
      <c r="EO274" s="96"/>
      <c r="EP274" s="110"/>
      <c r="EQ274" s="1"/>
      <c r="ER274" s="147"/>
    </row>
    <row r="275" spans="27:148" ht="6.95" customHeight="1" x14ac:dyDescent="0.15">
      <c r="AD275" s="56"/>
      <c r="AE275" s="3"/>
      <c r="AF275" s="106"/>
      <c r="AG275" s="106"/>
      <c r="AH275" s="106"/>
      <c r="AI275" s="106"/>
      <c r="AJ275" s="4"/>
      <c r="AK275" s="4"/>
      <c r="AL275" s="105"/>
      <c r="AM275" s="105"/>
      <c r="AN275" s="105"/>
      <c r="AO275" s="105"/>
      <c r="AP275" s="105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196" t="s">
        <v>42</v>
      </c>
      <c r="BI275" s="196"/>
      <c r="BJ275" s="196"/>
      <c r="BK275" s="196">
        <v>1</v>
      </c>
      <c r="BL275" s="196"/>
      <c r="BM275" s="196" t="s">
        <v>43</v>
      </c>
      <c r="BN275" s="196"/>
      <c r="BO275" s="196"/>
      <c r="BP275" s="99"/>
      <c r="BR275" s="56"/>
      <c r="BS275" s="3"/>
      <c r="BT275" s="193" t="s">
        <v>44</v>
      </c>
      <c r="BU275" s="193"/>
      <c r="BV275" s="193"/>
      <c r="BW275" s="193"/>
      <c r="BX275" s="4"/>
      <c r="BY275" s="4"/>
      <c r="BZ275" s="105"/>
      <c r="CA275" s="105"/>
      <c r="CB275" s="105"/>
      <c r="CC275" s="105"/>
      <c r="CD275" s="105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196" t="s">
        <v>42</v>
      </c>
      <c r="CW275" s="196"/>
      <c r="CX275" s="196"/>
      <c r="CY275" s="196">
        <v>1</v>
      </c>
      <c r="CZ275" s="196"/>
      <c r="DA275" s="196" t="s">
        <v>43</v>
      </c>
      <c r="DB275" s="196"/>
      <c r="DC275" s="196"/>
      <c r="DD275" s="147"/>
      <c r="DF275" s="56"/>
      <c r="DG275" s="3"/>
      <c r="DH275" s="191"/>
      <c r="DI275" s="191"/>
      <c r="DJ275" s="191"/>
      <c r="DK275" s="191"/>
      <c r="DL275" s="4"/>
      <c r="DM275" s="4"/>
      <c r="DN275" s="105"/>
      <c r="DO275" s="105"/>
      <c r="DP275" s="105"/>
      <c r="DQ275" s="105"/>
      <c r="DR275" s="105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1"/>
      <c r="EK275" s="1"/>
      <c r="EL275" s="1"/>
      <c r="EM275" s="1"/>
      <c r="EN275" s="110"/>
      <c r="EO275" s="110"/>
      <c r="EP275" s="110"/>
      <c r="EQ275" s="1"/>
      <c r="ER275" s="147"/>
    </row>
    <row r="276" spans="27:148" ht="6.95" customHeight="1" x14ac:dyDescent="0.15">
      <c r="AD276" s="56"/>
      <c r="AE276" s="3"/>
      <c r="AF276" s="3"/>
      <c r="AG276" s="3"/>
      <c r="AH276" s="105"/>
      <c r="AI276" s="105"/>
      <c r="AJ276" s="105"/>
      <c r="AK276" s="105"/>
      <c r="AL276" s="4"/>
      <c r="AM276" s="4"/>
      <c r="AN276" s="4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196"/>
      <c r="BI276" s="196"/>
      <c r="BJ276" s="196"/>
      <c r="BK276" s="196"/>
      <c r="BL276" s="196"/>
      <c r="BM276" s="196"/>
      <c r="BN276" s="196"/>
      <c r="BO276" s="196"/>
      <c r="BP276" s="99"/>
      <c r="BR276" s="56"/>
      <c r="BS276" s="3"/>
      <c r="BT276" s="193"/>
      <c r="BU276" s="193"/>
      <c r="BV276" s="193"/>
      <c r="BW276" s="193"/>
      <c r="BX276" s="105"/>
      <c r="BY276" s="105"/>
      <c r="BZ276" s="4"/>
      <c r="CA276" s="4"/>
      <c r="CB276" s="4"/>
      <c r="CC276" s="103"/>
      <c r="CD276" s="103"/>
      <c r="CE276" s="103"/>
      <c r="CF276" s="103"/>
      <c r="CG276" s="103"/>
      <c r="CH276" s="103"/>
      <c r="CI276" s="103"/>
      <c r="CJ276" s="103"/>
      <c r="CK276" s="103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196"/>
      <c r="CW276" s="196"/>
      <c r="CX276" s="196"/>
      <c r="CY276" s="196"/>
      <c r="CZ276" s="196"/>
      <c r="DA276" s="196"/>
      <c r="DB276" s="196"/>
      <c r="DC276" s="196"/>
      <c r="DD276" s="147"/>
      <c r="DF276" s="56"/>
      <c r="DG276" s="3"/>
      <c r="DH276" s="193" t="s">
        <v>44</v>
      </c>
      <c r="DI276" s="193"/>
      <c r="DJ276" s="193"/>
      <c r="DK276" s="193"/>
      <c r="DL276" s="4"/>
      <c r="DM276" s="4"/>
      <c r="DN276" s="105"/>
      <c r="DO276" s="105"/>
      <c r="DP276" s="105"/>
      <c r="DQ276" s="105"/>
      <c r="DR276" s="105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196" t="s">
        <v>42</v>
      </c>
      <c r="EK276" s="196"/>
      <c r="EL276" s="196"/>
      <c r="EM276" s="196">
        <v>1</v>
      </c>
      <c r="EN276" s="196"/>
      <c r="EO276" s="196" t="s">
        <v>43</v>
      </c>
      <c r="EP276" s="196"/>
      <c r="EQ276" s="196"/>
      <c r="ER276" s="147"/>
    </row>
    <row r="277" spans="27:148" ht="6.95" customHeight="1" x14ac:dyDescent="0.15">
      <c r="AD277" s="56"/>
      <c r="AE277" s="3"/>
      <c r="AF277" s="198" t="s">
        <v>44</v>
      </c>
      <c r="AG277" s="198"/>
      <c r="AH277" s="198"/>
      <c r="AI277" s="198"/>
      <c r="AJ277" s="105"/>
      <c r="AK277" s="105"/>
      <c r="AL277" s="218">
        <v>3550</v>
      </c>
      <c r="AM277" s="218"/>
      <c r="AN277" s="218"/>
      <c r="AO277" s="218"/>
      <c r="AP277" s="218"/>
      <c r="AQ277" s="218"/>
      <c r="AR277" s="218"/>
      <c r="AS277" s="103"/>
      <c r="AT277" s="196" t="s">
        <v>42</v>
      </c>
      <c r="AU277" s="196"/>
      <c r="AV277" s="196"/>
      <c r="AW277" s="196">
        <v>2</v>
      </c>
      <c r="AX277" s="196"/>
      <c r="AY277" s="196" t="s">
        <v>43</v>
      </c>
      <c r="AZ277" s="196"/>
      <c r="BA277" s="196"/>
      <c r="BB277" s="4"/>
      <c r="BC277" s="4"/>
      <c r="BD277" s="4"/>
      <c r="BE277" s="4"/>
      <c r="BF277" s="4"/>
      <c r="BG277" s="4"/>
      <c r="BH277" s="103"/>
      <c r="BI277" s="103"/>
      <c r="BJ277" s="103"/>
      <c r="BK277" s="103"/>
      <c r="BL277" s="103"/>
      <c r="BM277" s="103"/>
      <c r="BN277" s="103"/>
      <c r="BO277" s="103"/>
      <c r="BP277" s="99"/>
      <c r="BR277" s="56"/>
      <c r="BS277" s="3"/>
      <c r="BT277" s="193" t="s">
        <v>44</v>
      </c>
      <c r="BU277" s="193"/>
      <c r="BV277" s="193"/>
      <c r="BW277" s="193"/>
      <c r="BX277" s="105"/>
      <c r="BY277" s="105"/>
      <c r="BZ277" s="218" t="s">
        <v>62</v>
      </c>
      <c r="CA277" s="218"/>
      <c r="CB277" s="218"/>
      <c r="CC277" s="218"/>
      <c r="CD277" s="218"/>
      <c r="CE277" s="218"/>
      <c r="CF277" s="218"/>
      <c r="CG277" s="103"/>
      <c r="CH277" s="196" t="s">
        <v>42</v>
      </c>
      <c r="CI277" s="196"/>
      <c r="CJ277" s="196"/>
      <c r="CK277" s="196">
        <v>2</v>
      </c>
      <c r="CL277" s="196"/>
      <c r="CM277" s="196" t="s">
        <v>43</v>
      </c>
      <c r="CN277" s="196"/>
      <c r="CO277" s="196"/>
      <c r="CP277" s="4"/>
      <c r="CQ277" s="4"/>
      <c r="CR277" s="4"/>
      <c r="CS277" s="4"/>
      <c r="CT277" s="4"/>
      <c r="CU277" s="4"/>
      <c r="CV277" s="103"/>
      <c r="CW277" s="103"/>
      <c r="CX277" s="103"/>
      <c r="CY277" s="103"/>
      <c r="CZ277" s="103"/>
      <c r="DA277" s="103"/>
      <c r="DB277" s="103"/>
      <c r="DC277" s="103"/>
      <c r="DD277" s="99"/>
      <c r="DF277" s="56"/>
      <c r="DG277" s="3"/>
      <c r="DH277" s="193"/>
      <c r="DI277" s="193"/>
      <c r="DJ277" s="193"/>
      <c r="DK277" s="193"/>
      <c r="DL277" s="105"/>
      <c r="DM277" s="105"/>
      <c r="DN277" s="4"/>
      <c r="DO277" s="4"/>
      <c r="DP277" s="4"/>
      <c r="DQ277" s="103"/>
      <c r="DR277" s="103"/>
      <c r="DS277" s="103"/>
      <c r="DT277" s="103"/>
      <c r="DU277" s="103"/>
      <c r="DV277" s="103"/>
      <c r="DW277" s="103"/>
      <c r="DX277" s="103"/>
      <c r="DY277" s="103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196"/>
      <c r="EK277" s="196"/>
      <c r="EL277" s="196"/>
      <c r="EM277" s="196"/>
      <c r="EN277" s="196"/>
      <c r="EO277" s="196"/>
      <c r="EP277" s="196"/>
      <c r="EQ277" s="196"/>
      <c r="ER277" s="147"/>
    </row>
    <row r="278" spans="27:148" ht="6.95" customHeight="1" x14ac:dyDescent="0.15">
      <c r="AD278" s="56"/>
      <c r="AE278" s="3"/>
      <c r="AF278" s="198"/>
      <c r="AG278" s="198"/>
      <c r="AH278" s="198"/>
      <c r="AI278" s="198"/>
      <c r="AJ278" s="4"/>
      <c r="AK278" s="4"/>
      <c r="AL278" s="218"/>
      <c r="AM278" s="218"/>
      <c r="AN278" s="218"/>
      <c r="AO278" s="218"/>
      <c r="AP278" s="218"/>
      <c r="AQ278" s="218"/>
      <c r="AR278" s="218"/>
      <c r="AS278" s="103"/>
      <c r="AT278" s="196"/>
      <c r="AU278" s="196"/>
      <c r="AV278" s="196"/>
      <c r="AW278" s="196"/>
      <c r="AX278" s="196"/>
      <c r="AY278" s="196"/>
      <c r="AZ278" s="196"/>
      <c r="BA278" s="196"/>
      <c r="BB278" s="4"/>
      <c r="BC278" s="4"/>
      <c r="BD278" s="4"/>
      <c r="BE278" s="4"/>
      <c r="BF278" s="4"/>
      <c r="BG278" s="4"/>
      <c r="BH278" s="1"/>
      <c r="BI278" s="1"/>
      <c r="BJ278" s="1"/>
      <c r="BK278" s="1"/>
      <c r="BL278" s="1"/>
      <c r="BM278" s="1"/>
      <c r="BN278" s="1"/>
      <c r="BO278" s="1"/>
      <c r="BP278" s="99"/>
      <c r="BR278" s="56"/>
      <c r="BS278" s="3"/>
      <c r="BT278" s="193"/>
      <c r="BU278" s="193"/>
      <c r="BV278" s="193"/>
      <c r="BW278" s="193"/>
      <c r="BX278" s="4"/>
      <c r="BY278" s="105"/>
      <c r="BZ278" s="218"/>
      <c r="CA278" s="218"/>
      <c r="CB278" s="218"/>
      <c r="CC278" s="218"/>
      <c r="CD278" s="218"/>
      <c r="CE278" s="218"/>
      <c r="CF278" s="218"/>
      <c r="CG278" s="103"/>
      <c r="CH278" s="196"/>
      <c r="CI278" s="196"/>
      <c r="CJ278" s="196"/>
      <c r="CK278" s="196"/>
      <c r="CL278" s="196"/>
      <c r="CM278" s="196"/>
      <c r="CN278" s="196"/>
      <c r="CO278" s="196"/>
      <c r="CP278" s="4"/>
      <c r="CQ278" s="4"/>
      <c r="CR278" s="4"/>
      <c r="CS278" s="4"/>
      <c r="CT278" s="4"/>
      <c r="CU278" s="4"/>
      <c r="CV278" s="1"/>
      <c r="CW278" s="1"/>
      <c r="CX278" s="1"/>
      <c r="CY278" s="1"/>
      <c r="CZ278" s="1"/>
      <c r="DA278" s="1"/>
      <c r="DB278" s="1"/>
      <c r="DC278" s="1"/>
      <c r="DD278" s="99"/>
      <c r="DF278" s="56"/>
      <c r="DG278" s="3"/>
      <c r="DH278" s="193" t="s">
        <v>26</v>
      </c>
      <c r="DI278" s="193"/>
      <c r="DJ278" s="193"/>
      <c r="DK278" s="193"/>
      <c r="DL278" s="4"/>
      <c r="DM278" s="193" t="s">
        <v>64</v>
      </c>
      <c r="DN278" s="193"/>
      <c r="DO278" s="193"/>
      <c r="DP278" s="193"/>
      <c r="DQ278" s="193"/>
      <c r="DR278" s="193"/>
      <c r="DS278" s="193"/>
      <c r="DT278" s="193"/>
      <c r="DU278" s="103"/>
      <c r="DV278" s="196" t="s">
        <v>42</v>
      </c>
      <c r="DW278" s="196"/>
      <c r="DX278" s="196"/>
      <c r="DY278" s="196"/>
      <c r="DZ278" s="196"/>
      <c r="EA278" s="196" t="s">
        <v>43</v>
      </c>
      <c r="EB278" s="196"/>
      <c r="EC278" s="196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147"/>
    </row>
    <row r="279" spans="27:148" ht="6.95" customHeight="1" x14ac:dyDescent="0.15">
      <c r="AD279" s="56"/>
      <c r="AE279" s="3"/>
      <c r="AF279" s="193" t="s">
        <v>44</v>
      </c>
      <c r="AG279" s="193"/>
      <c r="AH279" s="193"/>
      <c r="AI279" s="193"/>
      <c r="AJ279" s="4"/>
      <c r="AK279" s="4"/>
      <c r="AL279" s="218" t="s">
        <v>47</v>
      </c>
      <c r="AM279" s="218"/>
      <c r="AN279" s="218"/>
      <c r="AO279" s="218"/>
      <c r="AP279" s="218"/>
      <c r="AQ279" s="218"/>
      <c r="AR279" s="218"/>
      <c r="AS279" s="103"/>
      <c r="AT279" s="196" t="s">
        <v>42</v>
      </c>
      <c r="AU279" s="196"/>
      <c r="AV279" s="196"/>
      <c r="AW279" s="196"/>
      <c r="AX279" s="196"/>
      <c r="AY279" s="196" t="s">
        <v>43</v>
      </c>
      <c r="AZ279" s="196"/>
      <c r="BA279" s="196"/>
      <c r="BB279" s="4"/>
      <c r="BC279" s="4"/>
      <c r="BD279" s="4"/>
      <c r="BE279" s="4"/>
      <c r="BF279" s="4"/>
      <c r="BG279" s="4"/>
      <c r="BH279" s="1"/>
      <c r="BI279" s="1"/>
      <c r="BJ279" s="1"/>
      <c r="BK279" s="1"/>
      <c r="BL279" s="1"/>
      <c r="BM279" s="1"/>
      <c r="BN279" s="1"/>
      <c r="BO279" s="1"/>
      <c r="BP279" s="99"/>
      <c r="BR279" s="56"/>
      <c r="BS279" s="3"/>
      <c r="BT279" s="193" t="s">
        <v>44</v>
      </c>
      <c r="BU279" s="193"/>
      <c r="BV279" s="193"/>
      <c r="BW279" s="193"/>
      <c r="BX279" s="4"/>
      <c r="BY279" s="105"/>
      <c r="BZ279" s="218" t="s">
        <v>47</v>
      </c>
      <c r="CA279" s="218"/>
      <c r="CB279" s="218"/>
      <c r="CC279" s="218"/>
      <c r="CD279" s="218"/>
      <c r="CE279" s="218"/>
      <c r="CF279" s="218"/>
      <c r="CG279" s="103"/>
      <c r="CH279" s="196" t="s">
        <v>42</v>
      </c>
      <c r="CI279" s="196"/>
      <c r="CJ279" s="196"/>
      <c r="CK279" s="196"/>
      <c r="CL279" s="196"/>
      <c r="CM279" s="196" t="s">
        <v>43</v>
      </c>
      <c r="CN279" s="196"/>
      <c r="CO279" s="196"/>
      <c r="CP279" s="4"/>
      <c r="CQ279" s="4"/>
      <c r="CR279" s="4"/>
      <c r="CS279" s="4"/>
      <c r="CT279" s="4"/>
      <c r="CU279" s="4"/>
      <c r="CV279" s="1"/>
      <c r="CW279" s="1"/>
      <c r="CX279" s="1"/>
      <c r="CY279" s="1"/>
      <c r="CZ279" s="1"/>
      <c r="DA279" s="1"/>
      <c r="DB279" s="1"/>
      <c r="DC279" s="1"/>
      <c r="DD279" s="99"/>
      <c r="DF279" s="56"/>
      <c r="DG279" s="3"/>
      <c r="DH279" s="193"/>
      <c r="DI279" s="193"/>
      <c r="DJ279" s="193"/>
      <c r="DK279" s="193"/>
      <c r="DL279" s="4"/>
      <c r="DM279" s="193"/>
      <c r="DN279" s="193"/>
      <c r="DO279" s="193"/>
      <c r="DP279" s="193"/>
      <c r="DQ279" s="193"/>
      <c r="DR279" s="193"/>
      <c r="DS279" s="193"/>
      <c r="DT279" s="193"/>
      <c r="DU279" s="103"/>
      <c r="DV279" s="196"/>
      <c r="DW279" s="196"/>
      <c r="DX279" s="196"/>
      <c r="DY279" s="196"/>
      <c r="DZ279" s="196"/>
      <c r="EA279" s="196"/>
      <c r="EB279" s="196"/>
      <c r="EC279" s="196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147"/>
    </row>
    <row r="280" spans="27:148" ht="6.95" customHeight="1" x14ac:dyDescent="0.15">
      <c r="AD280" s="56"/>
      <c r="AE280" s="3"/>
      <c r="AF280" s="193"/>
      <c r="AG280" s="193"/>
      <c r="AH280" s="193"/>
      <c r="AI280" s="193"/>
      <c r="AJ280" s="4"/>
      <c r="AK280" s="4"/>
      <c r="AL280" s="218"/>
      <c r="AM280" s="218"/>
      <c r="AN280" s="218"/>
      <c r="AO280" s="218"/>
      <c r="AP280" s="218"/>
      <c r="AQ280" s="218"/>
      <c r="AR280" s="218"/>
      <c r="AS280" s="103"/>
      <c r="AT280" s="196"/>
      <c r="AU280" s="196"/>
      <c r="AV280" s="196"/>
      <c r="AW280" s="196"/>
      <c r="AX280" s="196"/>
      <c r="AY280" s="196"/>
      <c r="AZ280" s="196"/>
      <c r="BA280" s="196"/>
      <c r="BB280" s="4"/>
      <c r="BC280" s="4"/>
      <c r="BD280" s="4"/>
      <c r="BE280" s="4"/>
      <c r="BF280" s="4"/>
      <c r="BG280" s="4"/>
      <c r="BH280" s="1"/>
      <c r="BI280" s="1"/>
      <c r="BJ280" s="1"/>
      <c r="BK280" s="1"/>
      <c r="BL280" s="1"/>
      <c r="BM280" s="1"/>
      <c r="BN280" s="1"/>
      <c r="BO280" s="1"/>
      <c r="BP280" s="99"/>
      <c r="BR280" s="56"/>
      <c r="BS280" s="3"/>
      <c r="BT280" s="193"/>
      <c r="BU280" s="193"/>
      <c r="BV280" s="193"/>
      <c r="BW280" s="193"/>
      <c r="BX280" s="4"/>
      <c r="BY280" s="4"/>
      <c r="BZ280" s="218"/>
      <c r="CA280" s="218"/>
      <c r="CB280" s="218"/>
      <c r="CC280" s="218"/>
      <c r="CD280" s="218"/>
      <c r="CE280" s="218"/>
      <c r="CF280" s="218"/>
      <c r="CG280" s="103"/>
      <c r="CH280" s="196"/>
      <c r="CI280" s="196"/>
      <c r="CJ280" s="196"/>
      <c r="CK280" s="196"/>
      <c r="CL280" s="196"/>
      <c r="CM280" s="196"/>
      <c r="CN280" s="196"/>
      <c r="CO280" s="196"/>
      <c r="CP280" s="4"/>
      <c r="CQ280" s="4"/>
      <c r="CR280" s="4"/>
      <c r="CS280" s="4"/>
      <c r="CT280" s="4"/>
      <c r="CU280" s="4"/>
      <c r="CV280" s="1"/>
      <c r="CW280" s="1"/>
      <c r="CX280" s="1"/>
      <c r="CY280" s="1"/>
      <c r="CZ280" s="1"/>
      <c r="DA280" s="1"/>
      <c r="DB280" s="1"/>
      <c r="DC280" s="1"/>
      <c r="DD280" s="99"/>
      <c r="DF280" s="56"/>
      <c r="DG280" s="3"/>
      <c r="DH280" s="105"/>
      <c r="DI280" s="105"/>
      <c r="DJ280" s="105"/>
      <c r="DK280" s="105"/>
      <c r="DL280" s="4"/>
      <c r="DM280" s="105"/>
      <c r="DN280" s="105"/>
      <c r="DO280" s="105"/>
      <c r="DP280" s="105"/>
      <c r="DQ280" s="105"/>
      <c r="DR280" s="105"/>
      <c r="DS280" s="105"/>
      <c r="DT280" s="105"/>
      <c r="DU280" s="103"/>
      <c r="DV280" s="103"/>
      <c r="DW280" s="103"/>
      <c r="DX280" s="103"/>
      <c r="DY280" s="103"/>
      <c r="DZ280" s="103"/>
      <c r="EA280" s="103"/>
      <c r="EB280" s="103"/>
      <c r="EC280" s="10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147"/>
    </row>
    <row r="281" spans="27:148" ht="6.95" customHeight="1" x14ac:dyDescent="0.15">
      <c r="AD281" s="56"/>
      <c r="AE281" s="3"/>
      <c r="AF281" s="193" t="s">
        <v>58</v>
      </c>
      <c r="AG281" s="193"/>
      <c r="AH281" s="193"/>
      <c r="AI281" s="193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1"/>
      <c r="BI281" s="1"/>
      <c r="BJ281" s="1"/>
      <c r="BK281" s="1"/>
      <c r="BL281" s="1"/>
      <c r="BM281" s="1"/>
      <c r="BN281" s="1"/>
      <c r="BO281" s="1"/>
      <c r="BP281" s="99"/>
      <c r="BR281" s="56"/>
      <c r="BS281" s="3"/>
      <c r="BT281" s="193" t="s">
        <v>28</v>
      </c>
      <c r="BU281" s="193"/>
      <c r="BV281" s="193"/>
      <c r="BW281" s="193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1"/>
      <c r="CW281" s="1"/>
      <c r="CX281" s="1"/>
      <c r="CY281" s="1"/>
      <c r="CZ281" s="1"/>
      <c r="DA281" s="1"/>
      <c r="DB281" s="1"/>
      <c r="DC281" s="1"/>
      <c r="DD281" s="99"/>
      <c r="DF281" s="56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147"/>
    </row>
    <row r="282" spans="27:148" ht="6.95" customHeight="1" x14ac:dyDescent="0.15">
      <c r="AD282" s="56"/>
      <c r="AE282" s="3"/>
      <c r="AF282" s="193"/>
      <c r="AG282" s="193"/>
      <c r="AH282" s="193"/>
      <c r="AI282" s="193"/>
      <c r="AJ282" s="2"/>
      <c r="AK282" s="2"/>
      <c r="AL282" s="2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1"/>
      <c r="BI282" s="1"/>
      <c r="BJ282" s="1"/>
      <c r="BK282" s="1"/>
      <c r="BL282" s="1"/>
      <c r="BM282" s="1"/>
      <c r="BN282" s="1"/>
      <c r="BO282" s="1"/>
      <c r="BP282" s="99"/>
      <c r="BR282" s="56"/>
      <c r="BS282" s="3"/>
      <c r="BT282" s="193"/>
      <c r="BU282" s="193"/>
      <c r="BV282" s="193"/>
      <c r="BW282" s="193"/>
      <c r="BX282" s="2"/>
      <c r="BY282" s="2"/>
      <c r="BZ282" s="2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1"/>
      <c r="CW282" s="1"/>
      <c r="CX282" s="1"/>
      <c r="CY282" s="1"/>
      <c r="CZ282" s="1"/>
      <c r="DA282" s="1"/>
      <c r="DB282" s="1"/>
      <c r="DC282" s="1"/>
      <c r="DD282" s="99"/>
      <c r="DF282" s="56"/>
      <c r="DG282" s="3"/>
      <c r="DH282" s="193" t="s">
        <v>28</v>
      </c>
      <c r="DI282" s="193"/>
      <c r="DJ282" s="193"/>
      <c r="DK282" s="193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1"/>
      <c r="EK282" s="1"/>
      <c r="EL282" s="1"/>
      <c r="EM282" s="1"/>
      <c r="EN282" s="1"/>
      <c r="EO282" s="1"/>
      <c r="EP282" s="1"/>
      <c r="EQ282" s="1"/>
      <c r="ER282" s="99"/>
    </row>
    <row r="283" spans="27:148" ht="6.95" customHeight="1" x14ac:dyDescent="0.15">
      <c r="AD283" s="56"/>
      <c r="AE283" s="3"/>
      <c r="AF283" s="3"/>
      <c r="AG283" s="3"/>
      <c r="AH283" s="3"/>
      <c r="AI283" s="4"/>
      <c r="AJ283" s="194">
        <f>CHOOSE(SUM((AD238&gt;={700,750,800,850,900,950})*1), 205,255,305,355,405,455)</f>
        <v>305</v>
      </c>
      <c r="AK283" s="194"/>
      <c r="AL283" s="194"/>
      <c r="AM283" s="2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111"/>
      <c r="BC283" s="111"/>
      <c r="BD283" s="111"/>
      <c r="BE283" s="4"/>
      <c r="BF283" s="4"/>
      <c r="BG283" s="4"/>
      <c r="BH283" s="1"/>
      <c r="BI283" s="1"/>
      <c r="BJ283" s="1"/>
      <c r="BK283" s="1"/>
      <c r="BL283" s="1"/>
      <c r="BM283" s="1"/>
      <c r="BN283" s="1"/>
      <c r="BO283" s="1"/>
      <c r="BP283" s="99"/>
      <c r="BR283" s="56"/>
      <c r="BS283" s="3"/>
      <c r="BT283" s="3"/>
      <c r="BU283" s="3"/>
      <c r="BV283" s="3"/>
      <c r="BW283" s="4"/>
      <c r="BX283" s="194">
        <f>CHOOSE(SUM((BR238&gt;={700,750,800,850,900,950})*1), 205,255,305,355,405,455)</f>
        <v>305</v>
      </c>
      <c r="BY283" s="194"/>
      <c r="BZ283" s="194"/>
      <c r="CA283" s="2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111"/>
      <c r="CQ283" s="111"/>
      <c r="CR283" s="111"/>
      <c r="CS283" s="4"/>
      <c r="CT283" s="4"/>
      <c r="CU283" s="4"/>
      <c r="CV283" s="1"/>
      <c r="CW283" s="1"/>
      <c r="CX283" s="1"/>
      <c r="CY283" s="1"/>
      <c r="CZ283" s="1"/>
      <c r="DA283" s="1"/>
      <c r="DB283" s="1"/>
      <c r="DC283" s="1"/>
      <c r="DD283" s="99"/>
      <c r="DF283" s="56"/>
      <c r="DG283" s="3"/>
      <c r="DH283" s="193"/>
      <c r="DI283" s="193"/>
      <c r="DJ283" s="193"/>
      <c r="DK283" s="193"/>
      <c r="DL283" s="191"/>
      <c r="DM283" s="191"/>
      <c r="DN283" s="191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1"/>
      <c r="EK283" s="1"/>
      <c r="EL283" s="1"/>
      <c r="EM283" s="1"/>
      <c r="EN283" s="1"/>
      <c r="EO283" s="1"/>
      <c r="EP283" s="1"/>
      <c r="EQ283" s="1"/>
      <c r="ER283" s="99"/>
    </row>
    <row r="284" spans="27:148" ht="6.95" customHeight="1" x14ac:dyDescent="0.15">
      <c r="AD284" s="56"/>
      <c r="AE284" s="3"/>
      <c r="AF284" s="3"/>
      <c r="AG284" s="3"/>
      <c r="AH284" s="3"/>
      <c r="AI284" s="4"/>
      <c r="AJ284" s="194"/>
      <c r="AK284" s="194"/>
      <c r="AL284" s="194"/>
      <c r="AM284" s="2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195">
        <f>CHOOSE(SUM((AD238&gt;={700,750,800,850,900,950})*1), 290,360,430,500,570,640)</f>
        <v>430</v>
      </c>
      <c r="BC284" s="195"/>
      <c r="BD284" s="195"/>
      <c r="BE284" s="88"/>
      <c r="BF284" s="88"/>
      <c r="BG284" s="88"/>
      <c r="BH284" s="196" t="s">
        <v>42</v>
      </c>
      <c r="BI284" s="196"/>
      <c r="BJ284" s="196"/>
      <c r="BK284" s="196">
        <v>2</v>
      </c>
      <c r="BL284" s="196"/>
      <c r="BM284" s="196" t="s">
        <v>43</v>
      </c>
      <c r="BN284" s="196"/>
      <c r="BO284" s="196"/>
      <c r="BP284" s="99"/>
      <c r="BR284" s="56"/>
      <c r="BS284" s="3"/>
      <c r="BT284" s="3"/>
      <c r="BU284" s="3"/>
      <c r="BV284" s="3"/>
      <c r="BW284" s="4"/>
      <c r="BX284" s="194"/>
      <c r="BY284" s="194"/>
      <c r="BZ284" s="194"/>
      <c r="CA284" s="2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195">
        <f>CHOOSE(SUM((BR238&gt;={700,750,800,850,900,950})*1), 290,360,430,500,570,640)</f>
        <v>430</v>
      </c>
      <c r="CQ284" s="195"/>
      <c r="CR284" s="195"/>
      <c r="CS284" s="88"/>
      <c r="CT284" s="88"/>
      <c r="CU284" s="88"/>
      <c r="CV284" s="196" t="s">
        <v>42</v>
      </c>
      <c r="CW284" s="196"/>
      <c r="CX284" s="196"/>
      <c r="CY284" s="196">
        <v>2</v>
      </c>
      <c r="CZ284" s="196"/>
      <c r="DA284" s="196" t="s">
        <v>43</v>
      </c>
      <c r="DB284" s="196"/>
      <c r="DC284" s="196"/>
      <c r="DD284" s="99"/>
      <c r="DF284" s="56"/>
      <c r="DG284" s="3"/>
      <c r="DH284" s="3"/>
      <c r="DI284" s="3"/>
      <c r="DJ284" s="3"/>
      <c r="DK284" s="4"/>
      <c r="DL284" s="194">
        <f>CHOOSE(SUM((DF239&gt;={700,750,800,850,900,950})*1), 205,255,305,355,405,455)</f>
        <v>255</v>
      </c>
      <c r="DM284" s="194"/>
      <c r="DN284" s="194"/>
      <c r="DO284" s="191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192"/>
      <c r="EE284" s="192"/>
      <c r="EF284" s="192"/>
      <c r="EG284" s="4"/>
      <c r="EH284" s="4"/>
      <c r="EI284" s="4"/>
      <c r="EJ284" s="1"/>
      <c r="EK284" s="1"/>
      <c r="EL284" s="1"/>
      <c r="EM284" s="1"/>
      <c r="EN284" s="1"/>
      <c r="EO284" s="1"/>
      <c r="EP284" s="1"/>
      <c r="EQ284" s="1"/>
      <c r="ER284" s="99"/>
    </row>
    <row r="285" spans="27:148" ht="6.95" customHeight="1" x14ac:dyDescent="0.15">
      <c r="AD285" s="56"/>
      <c r="AE285" s="3"/>
      <c r="AF285" s="3"/>
      <c r="AG285" s="3"/>
      <c r="AH285" s="3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195"/>
      <c r="BC285" s="195"/>
      <c r="BD285" s="195"/>
      <c r="BE285" s="88"/>
      <c r="BF285" s="88"/>
      <c r="BG285" s="88"/>
      <c r="BH285" s="196"/>
      <c r="BI285" s="196"/>
      <c r="BJ285" s="196"/>
      <c r="BK285" s="196"/>
      <c r="BL285" s="196"/>
      <c r="BM285" s="196"/>
      <c r="BN285" s="196"/>
      <c r="BO285" s="196"/>
      <c r="BP285" s="99"/>
      <c r="BR285" s="56"/>
      <c r="BS285" s="3"/>
      <c r="BT285" s="3"/>
      <c r="BU285" s="3"/>
      <c r="BV285" s="3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195"/>
      <c r="CQ285" s="195"/>
      <c r="CR285" s="195"/>
      <c r="CS285" s="88"/>
      <c r="CT285" s="88"/>
      <c r="CU285" s="88"/>
      <c r="CV285" s="196"/>
      <c r="CW285" s="196"/>
      <c r="CX285" s="196"/>
      <c r="CY285" s="196"/>
      <c r="CZ285" s="196"/>
      <c r="DA285" s="196"/>
      <c r="DB285" s="196"/>
      <c r="DC285" s="196"/>
      <c r="DD285" s="99"/>
      <c r="DF285" s="56"/>
      <c r="DG285" s="3"/>
      <c r="DH285" s="3"/>
      <c r="DI285" s="3"/>
      <c r="DJ285" s="3"/>
      <c r="DK285" s="4"/>
      <c r="DL285" s="194"/>
      <c r="DM285" s="194"/>
      <c r="DN285" s="194"/>
      <c r="DO285" s="191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195">
        <f>CHOOSE(SUM((DF239&gt;={700,750,800,850,900,950})*1), 290,360,430,500,570,640)</f>
        <v>360</v>
      </c>
      <c r="EE285" s="195"/>
      <c r="EF285" s="195"/>
      <c r="EG285" s="88"/>
      <c r="EH285" s="88"/>
      <c r="EI285" s="88"/>
      <c r="EJ285" s="196" t="s">
        <v>42</v>
      </c>
      <c r="EK285" s="196"/>
      <c r="EL285" s="196"/>
      <c r="EM285" s="196">
        <v>2</v>
      </c>
      <c r="EN285" s="196"/>
      <c r="EO285" s="196" t="s">
        <v>43</v>
      </c>
      <c r="EP285" s="196"/>
      <c r="EQ285" s="196"/>
      <c r="ER285" s="99"/>
    </row>
    <row r="286" spans="27:148" ht="6.95" customHeight="1" thickBot="1" x14ac:dyDescent="0.2">
      <c r="AD286" s="57"/>
      <c r="AE286" s="51"/>
      <c r="AF286" s="51"/>
      <c r="AG286" s="51"/>
      <c r="AH286" s="51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100"/>
      <c r="BI286" s="100"/>
      <c r="BJ286" s="100"/>
      <c r="BK286" s="100"/>
      <c r="BL286" s="100"/>
      <c r="BM286" s="100"/>
      <c r="BN286" s="100"/>
      <c r="BO286" s="100"/>
      <c r="BP286" s="101"/>
      <c r="BR286" s="57"/>
      <c r="BS286" s="51"/>
      <c r="BT286" s="51"/>
      <c r="BU286" s="51"/>
      <c r="BV286" s="51"/>
      <c r="BW286" s="55"/>
      <c r="BX286" s="55"/>
      <c r="BY286" s="55"/>
      <c r="BZ286" s="55"/>
      <c r="CA286" s="55"/>
      <c r="CB286" s="55"/>
      <c r="CC286" s="55"/>
      <c r="CD286" s="55"/>
      <c r="CE286" s="55"/>
      <c r="CF286" s="55"/>
      <c r="CG286" s="55"/>
      <c r="CH286" s="55"/>
      <c r="CI286" s="55"/>
      <c r="CJ286" s="55"/>
      <c r="CK286" s="55"/>
      <c r="CL286" s="55"/>
      <c r="CM286" s="55"/>
      <c r="CN286" s="55"/>
      <c r="CO286" s="55"/>
      <c r="CP286" s="55"/>
      <c r="CQ286" s="55"/>
      <c r="CR286" s="55"/>
      <c r="CS286" s="55"/>
      <c r="CT286" s="55"/>
      <c r="CU286" s="55"/>
      <c r="CV286" s="100"/>
      <c r="CW286" s="100"/>
      <c r="CX286" s="100"/>
      <c r="CY286" s="100"/>
      <c r="CZ286" s="100"/>
      <c r="DA286" s="100"/>
      <c r="DB286" s="100"/>
      <c r="DC286" s="100"/>
      <c r="DD286" s="101"/>
      <c r="DF286" s="115"/>
      <c r="DG286" s="116"/>
      <c r="DH286" s="3"/>
      <c r="DI286" s="3"/>
      <c r="DJ286" s="3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195"/>
      <c r="EE286" s="195"/>
      <c r="EF286" s="195"/>
      <c r="EG286" s="88"/>
      <c r="EH286" s="88"/>
      <c r="EI286" s="88"/>
      <c r="EJ286" s="196"/>
      <c r="EK286" s="196"/>
      <c r="EL286" s="196"/>
      <c r="EM286" s="196"/>
      <c r="EN286" s="196"/>
      <c r="EO286" s="196"/>
      <c r="EP286" s="196"/>
      <c r="EQ286" s="196"/>
      <c r="ER286" s="99"/>
    </row>
    <row r="287" spans="27:148" ht="6.75" customHeight="1" thickBot="1" x14ac:dyDescent="0.2">
      <c r="AD287" s="3"/>
      <c r="AE287" s="3"/>
      <c r="AF287" s="3"/>
      <c r="AG287" s="3"/>
      <c r="AH287" s="3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1"/>
      <c r="BI287" s="1"/>
      <c r="BJ287" s="1"/>
      <c r="BK287" s="1"/>
      <c r="BL287" s="1"/>
      <c r="BM287" s="1"/>
      <c r="BN287" s="1"/>
      <c r="BO287" s="1"/>
      <c r="BP287" s="1"/>
      <c r="BR287" s="3"/>
      <c r="BS287" s="3"/>
      <c r="BT287" s="3"/>
      <c r="BU287" s="3"/>
      <c r="BV287" s="3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1"/>
      <c r="CW287" s="1"/>
      <c r="CX287" s="1"/>
      <c r="CY287" s="1"/>
      <c r="CZ287" s="1"/>
      <c r="DA287" s="1"/>
      <c r="DB287" s="1"/>
      <c r="DC287" s="1"/>
      <c r="DD287" s="1"/>
      <c r="DF287" s="114"/>
      <c r="DG287" s="117"/>
      <c r="DH287" s="51"/>
      <c r="DI287" s="51"/>
      <c r="DJ287" s="51"/>
      <c r="DK287" s="55"/>
      <c r="DL287" s="55"/>
      <c r="DM287" s="55"/>
      <c r="DN287" s="55"/>
      <c r="DO287" s="55"/>
      <c r="DP287" s="55"/>
      <c r="DQ287" s="55"/>
      <c r="DR287" s="55"/>
      <c r="DS287" s="55"/>
      <c r="DT287" s="55"/>
      <c r="DU287" s="55"/>
      <c r="DV287" s="55"/>
      <c r="DW287" s="55"/>
      <c r="DX287" s="55"/>
      <c r="DY287" s="55"/>
      <c r="DZ287" s="55"/>
      <c r="EA287" s="55"/>
      <c r="EB287" s="55"/>
      <c r="EC287" s="55"/>
      <c r="ED287" s="55"/>
      <c r="EE287" s="55"/>
      <c r="EF287" s="55"/>
      <c r="EG287" s="55"/>
      <c r="EH287" s="55"/>
      <c r="EI287" s="55"/>
      <c r="EJ287" s="100"/>
      <c r="EK287" s="100"/>
      <c r="EL287" s="100"/>
      <c r="EM287" s="100"/>
      <c r="EN287" s="100"/>
      <c r="EO287" s="100"/>
      <c r="EP287" s="100"/>
      <c r="EQ287" s="100"/>
      <c r="ER287" s="101"/>
    </row>
    <row r="288" spans="27:148" ht="9" customHeight="1" thickBot="1" x14ac:dyDescent="0.2">
      <c r="AA288" s="89"/>
      <c r="AB288" s="89"/>
      <c r="AC288" s="1"/>
      <c r="AD288" s="216">
        <v>750</v>
      </c>
      <c r="AE288" s="216"/>
      <c r="AF288" s="216"/>
      <c r="BQ288" s="110"/>
      <c r="BR288" s="216">
        <v>750</v>
      </c>
      <c r="BS288" s="216"/>
      <c r="BT288" s="216"/>
      <c r="BU288" s="110"/>
      <c r="BV288" s="110"/>
      <c r="BW288" s="110"/>
      <c r="BX288" s="110"/>
      <c r="BY288" s="110"/>
      <c r="BZ288" s="110"/>
      <c r="CA288" s="110"/>
      <c r="CB288" s="110"/>
      <c r="CC288" s="110"/>
      <c r="CD288" s="110"/>
      <c r="CE288" s="110"/>
      <c r="CF288" s="110"/>
      <c r="CG288" s="110"/>
      <c r="CH288" s="110"/>
      <c r="CI288" s="110"/>
      <c r="CJ288" s="110"/>
      <c r="CK288" s="110"/>
      <c r="CL288" s="110"/>
      <c r="CM288" s="110"/>
      <c r="CN288" s="110"/>
      <c r="CO288" s="110"/>
      <c r="CP288" s="110"/>
      <c r="CQ288" s="110"/>
      <c r="CR288" s="110"/>
      <c r="CS288" s="110"/>
      <c r="CT288" s="110"/>
      <c r="CU288" s="110"/>
      <c r="CV288" s="110"/>
      <c r="CW288" s="110"/>
      <c r="CX288" s="110"/>
      <c r="CY288" s="110"/>
      <c r="CZ288" s="110"/>
      <c r="DA288" s="110"/>
      <c r="DB288" s="110"/>
      <c r="DC288" s="110"/>
      <c r="DD288" s="110"/>
      <c r="DF288" s="138"/>
      <c r="DG288" s="120"/>
      <c r="DH288" s="120"/>
      <c r="DI288" s="120"/>
      <c r="DJ288" s="120"/>
      <c r="DK288" s="120"/>
      <c r="DL288" s="120"/>
      <c r="DM288" s="120"/>
      <c r="DN288" s="120"/>
      <c r="DO288" s="120"/>
      <c r="DP288" s="120"/>
      <c r="DQ288" s="120"/>
      <c r="DR288" s="120"/>
      <c r="DS288" s="120"/>
      <c r="DT288" s="120"/>
      <c r="DU288" s="120"/>
      <c r="DV288" s="120"/>
      <c r="DW288" s="120"/>
      <c r="DX288" s="120"/>
      <c r="DY288" s="120"/>
      <c r="DZ288" s="120"/>
      <c r="EA288" s="120"/>
      <c r="EB288" s="120"/>
      <c r="EC288" s="120"/>
      <c r="ED288" s="120"/>
      <c r="EE288" s="120"/>
      <c r="EF288" s="120"/>
      <c r="EG288" s="120"/>
      <c r="EH288" s="120"/>
      <c r="EI288" s="121"/>
    </row>
    <row r="289" spans="3:139" ht="7.5" customHeight="1" x14ac:dyDescent="0.15">
      <c r="AA289" s="89"/>
      <c r="AB289" s="89"/>
      <c r="AC289" s="99"/>
      <c r="AD289" s="108" t="s">
        <v>25</v>
      </c>
      <c r="AE289" s="109"/>
      <c r="AF289" s="109"/>
      <c r="AG289" s="109"/>
      <c r="AH289" s="109"/>
      <c r="AI289" s="202" t="s">
        <v>40</v>
      </c>
      <c r="AJ289" s="202"/>
      <c r="AK289" s="202">
        <v>1</v>
      </c>
      <c r="AL289" s="202"/>
      <c r="AM289" s="202" t="s">
        <v>41</v>
      </c>
      <c r="AN289" s="202"/>
      <c r="AO289" s="202"/>
      <c r="AP289" s="202"/>
      <c r="AQ289" s="202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6">
        <f>SUM(AR307,BK307,AR315,BK315,AW329,AW331,BK337)*AK289</f>
        <v>45</v>
      </c>
      <c r="BN289" s="206"/>
      <c r="BO289" s="206"/>
      <c r="BP289" s="208"/>
      <c r="BQ289" s="110"/>
      <c r="BR289" s="108" t="s">
        <v>25</v>
      </c>
      <c r="BS289" s="109"/>
      <c r="BT289" s="109"/>
      <c r="BU289" s="109"/>
      <c r="BV289" s="109"/>
      <c r="BW289" s="202" t="s">
        <v>40</v>
      </c>
      <c r="BX289" s="202"/>
      <c r="BY289" s="202">
        <v>1</v>
      </c>
      <c r="BZ289" s="202"/>
      <c r="CA289" s="202" t="s">
        <v>41</v>
      </c>
      <c r="CB289" s="202"/>
      <c r="CC289" s="202"/>
      <c r="CD289" s="202"/>
      <c r="CE289" s="202"/>
      <c r="CF289" s="204"/>
      <c r="CG289" s="204"/>
      <c r="CH289" s="204"/>
      <c r="CI289" s="204"/>
      <c r="CJ289" s="204"/>
      <c r="CK289" s="204"/>
      <c r="CL289" s="204"/>
      <c r="CM289" s="204"/>
      <c r="CN289" s="204"/>
      <c r="CO289" s="204"/>
      <c r="CP289" s="204"/>
      <c r="CQ289" s="204"/>
      <c r="CR289" s="204"/>
      <c r="CS289" s="204"/>
      <c r="CT289" s="204"/>
      <c r="CU289" s="204"/>
      <c r="CV289" s="204"/>
      <c r="CW289" s="204"/>
      <c r="CX289" s="204"/>
      <c r="CY289" s="204"/>
      <c r="CZ289" s="204"/>
      <c r="DA289" s="206">
        <f>SUM(CF307,CY307,CF316,CY316,CY343,CK336,CY324,CF324,CK338)*BY289</f>
        <v>17</v>
      </c>
      <c r="DB289" s="206"/>
      <c r="DC289" s="206"/>
      <c r="DD289" s="208"/>
      <c r="DF289" s="122"/>
      <c r="DG289" s="58"/>
      <c r="DH289" s="58"/>
      <c r="DI289" s="58"/>
      <c r="DJ289" s="58"/>
      <c r="DK289" s="58"/>
      <c r="DL289" s="58"/>
      <c r="DM289" s="58"/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8"/>
      <c r="DY289" s="58"/>
      <c r="DZ289" s="58"/>
      <c r="EA289" s="58"/>
      <c r="EB289" s="58"/>
      <c r="EC289" s="58"/>
      <c r="ED289" s="58"/>
      <c r="EE289" s="58"/>
      <c r="EF289" s="58"/>
      <c r="EG289" s="58"/>
      <c r="EH289" s="58"/>
      <c r="EI289" s="123"/>
    </row>
    <row r="290" spans="3:139" ht="6.95" customHeight="1" thickBot="1" x14ac:dyDescent="0.2">
      <c r="AD290" s="80"/>
      <c r="AE290" s="81"/>
      <c r="AF290" s="81"/>
      <c r="AG290" s="81"/>
      <c r="AH290" s="81"/>
      <c r="AI290" s="203"/>
      <c r="AJ290" s="203"/>
      <c r="AK290" s="203"/>
      <c r="AL290" s="203"/>
      <c r="AM290" s="203"/>
      <c r="AN290" s="203"/>
      <c r="AO290" s="203"/>
      <c r="AP290" s="203"/>
      <c r="AQ290" s="203"/>
      <c r="AR290" s="205"/>
      <c r="AS290" s="205"/>
      <c r="AT290" s="205"/>
      <c r="AU290" s="205"/>
      <c r="AV290" s="205"/>
      <c r="AW290" s="205"/>
      <c r="AX290" s="205"/>
      <c r="AY290" s="205"/>
      <c r="AZ290" s="205"/>
      <c r="BA290" s="205"/>
      <c r="BB290" s="205"/>
      <c r="BC290" s="205"/>
      <c r="BD290" s="205"/>
      <c r="BE290" s="205"/>
      <c r="BF290" s="205"/>
      <c r="BG290" s="205"/>
      <c r="BH290" s="205"/>
      <c r="BI290" s="205"/>
      <c r="BJ290" s="205"/>
      <c r="BK290" s="205"/>
      <c r="BL290" s="205"/>
      <c r="BM290" s="207"/>
      <c r="BN290" s="207"/>
      <c r="BO290" s="207"/>
      <c r="BP290" s="209"/>
      <c r="BQ290" s="110"/>
      <c r="BR290" s="80"/>
      <c r="BS290" s="81"/>
      <c r="BT290" s="81"/>
      <c r="BU290" s="81"/>
      <c r="BV290" s="81"/>
      <c r="BW290" s="203"/>
      <c r="BX290" s="203"/>
      <c r="BY290" s="203"/>
      <c r="BZ290" s="203"/>
      <c r="CA290" s="203"/>
      <c r="CB290" s="203"/>
      <c r="CC290" s="203"/>
      <c r="CD290" s="203"/>
      <c r="CE290" s="203"/>
      <c r="CF290" s="205"/>
      <c r="CG290" s="205"/>
      <c r="CH290" s="205"/>
      <c r="CI290" s="205"/>
      <c r="CJ290" s="205"/>
      <c r="CK290" s="205"/>
      <c r="CL290" s="205"/>
      <c r="CM290" s="205"/>
      <c r="CN290" s="205"/>
      <c r="CO290" s="205"/>
      <c r="CP290" s="205"/>
      <c r="CQ290" s="205"/>
      <c r="CR290" s="205"/>
      <c r="CS290" s="205"/>
      <c r="CT290" s="205"/>
      <c r="CU290" s="205"/>
      <c r="CV290" s="205"/>
      <c r="CW290" s="205"/>
      <c r="CX290" s="205"/>
      <c r="CY290" s="205"/>
      <c r="CZ290" s="205"/>
      <c r="DA290" s="207"/>
      <c r="DB290" s="207"/>
      <c r="DC290" s="207"/>
      <c r="DD290" s="209"/>
      <c r="DF290" s="124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125"/>
    </row>
    <row r="291" spans="3:139" ht="6.95" customHeight="1" x14ac:dyDescent="0.15">
      <c r="AD291" s="52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"/>
      <c r="BI291" s="1"/>
      <c r="BJ291" s="1"/>
      <c r="BK291" s="1"/>
      <c r="BL291" s="1"/>
      <c r="BM291" s="1"/>
      <c r="BN291" s="92"/>
      <c r="BO291" s="92"/>
      <c r="BP291" s="98"/>
      <c r="BQ291" s="110"/>
      <c r="BR291" s="5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1"/>
      <c r="CW291" s="1"/>
      <c r="CX291" s="1"/>
      <c r="CY291" s="1"/>
      <c r="CZ291" s="1"/>
      <c r="DA291" s="1"/>
      <c r="DB291" s="92"/>
      <c r="DC291" s="92"/>
      <c r="DD291" s="98"/>
      <c r="DF291" s="124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125"/>
    </row>
    <row r="292" spans="3:139" ht="6.95" customHeight="1" x14ac:dyDescent="0.15">
      <c r="AD292" s="52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"/>
      <c r="BI292" s="1"/>
      <c r="BJ292" s="1"/>
      <c r="BK292" s="1"/>
      <c r="BL292" s="1"/>
      <c r="BM292" s="1"/>
      <c r="BN292" s="1"/>
      <c r="BO292" s="1"/>
      <c r="BP292" s="99"/>
      <c r="BQ292" s="110"/>
      <c r="BR292" s="5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1"/>
      <c r="CW292" s="1"/>
      <c r="CX292" s="1"/>
      <c r="CY292" s="1"/>
      <c r="CZ292" s="1"/>
      <c r="DA292" s="1"/>
      <c r="DB292" s="1"/>
      <c r="DC292" s="1"/>
      <c r="DD292" s="99"/>
      <c r="DF292" s="124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125"/>
    </row>
    <row r="293" spans="3:139" ht="6.95" customHeight="1" x14ac:dyDescent="0.15">
      <c r="AD293" s="52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"/>
      <c r="BI293" s="1"/>
      <c r="BJ293" s="1"/>
      <c r="BK293" s="1"/>
      <c r="BL293" s="1"/>
      <c r="BM293" s="1"/>
      <c r="BN293" s="1"/>
      <c r="BO293" s="1"/>
      <c r="BP293" s="99"/>
      <c r="BQ293" s="110"/>
      <c r="BR293" s="5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1"/>
      <c r="CW293" s="1"/>
      <c r="CX293" s="1"/>
      <c r="CY293" s="1"/>
      <c r="CZ293" s="1"/>
      <c r="DA293" s="1"/>
      <c r="DB293" s="1"/>
      <c r="DC293" s="1"/>
      <c r="DD293" s="99"/>
      <c r="DF293" s="124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125"/>
    </row>
    <row r="294" spans="3:139" ht="6.95" customHeight="1" x14ac:dyDescent="0.15"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D294" s="52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"/>
      <c r="BI294" s="1"/>
      <c r="BJ294" s="1"/>
      <c r="BK294" s="1"/>
      <c r="BL294" s="1"/>
      <c r="BM294" s="1"/>
      <c r="BN294" s="1"/>
      <c r="BO294" s="1"/>
      <c r="BP294" s="99"/>
      <c r="BQ294" s="110"/>
      <c r="BR294" s="5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1"/>
      <c r="CW294" s="1"/>
      <c r="CX294" s="1"/>
      <c r="CY294" s="1"/>
      <c r="CZ294" s="1"/>
      <c r="DA294" s="1"/>
      <c r="DB294" s="1"/>
      <c r="DC294" s="1"/>
      <c r="DD294" s="99"/>
      <c r="DF294" s="124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125"/>
    </row>
    <row r="295" spans="3:139" ht="6.95" customHeight="1" x14ac:dyDescent="0.15"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D295" s="52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"/>
      <c r="BI295" s="1"/>
      <c r="BJ295" s="1"/>
      <c r="BK295" s="1"/>
      <c r="BL295" s="1"/>
      <c r="BM295" s="1"/>
      <c r="BN295" s="1"/>
      <c r="BO295" s="1"/>
      <c r="BP295" s="99"/>
      <c r="BQ295" s="110"/>
      <c r="BR295" s="5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1"/>
      <c r="CW295" s="1"/>
      <c r="CX295" s="1"/>
      <c r="CY295" s="1"/>
      <c r="CZ295" s="1"/>
      <c r="DA295" s="1"/>
      <c r="DB295" s="1"/>
      <c r="DC295" s="1"/>
      <c r="DD295" s="99"/>
      <c r="DF295" s="124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125"/>
    </row>
    <row r="296" spans="3:139" ht="6.95" customHeight="1" x14ac:dyDescent="0.15"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D296" s="52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"/>
      <c r="BI296" s="1"/>
      <c r="BJ296" s="1"/>
      <c r="BK296" s="1"/>
      <c r="BL296" s="1"/>
      <c r="BM296" s="1"/>
      <c r="BN296" s="1"/>
      <c r="BO296" s="1"/>
      <c r="BP296" s="99"/>
      <c r="BQ296" s="110"/>
      <c r="BR296" s="5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1"/>
      <c r="CW296" s="1"/>
      <c r="CX296" s="1"/>
      <c r="CY296" s="1"/>
      <c r="CZ296" s="1"/>
      <c r="DA296" s="1"/>
      <c r="DB296" s="1"/>
      <c r="DC296" s="1"/>
      <c r="DD296" s="99"/>
      <c r="DF296" s="124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125"/>
    </row>
    <row r="297" spans="3:139" ht="6.95" customHeight="1" x14ac:dyDescent="0.15"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D297" s="52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"/>
      <c r="BI297" s="1"/>
      <c r="BJ297" s="1"/>
      <c r="BK297" s="1"/>
      <c r="BL297" s="1"/>
      <c r="BM297" s="1"/>
      <c r="BN297" s="1"/>
      <c r="BO297" s="1"/>
      <c r="BP297" s="99"/>
      <c r="BQ297" s="110"/>
      <c r="BR297" s="5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1"/>
      <c r="CW297" s="1"/>
      <c r="CX297" s="1"/>
      <c r="CY297" s="1"/>
      <c r="CZ297" s="1"/>
      <c r="DA297" s="1"/>
      <c r="DB297" s="1"/>
      <c r="DC297" s="1"/>
      <c r="DD297" s="99"/>
      <c r="DF297" s="124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125"/>
    </row>
    <row r="298" spans="3:139" ht="6.95" customHeight="1" x14ac:dyDescent="0.15"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D298" s="210">
        <v>3</v>
      </c>
      <c r="AE298" s="211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"/>
      <c r="BI298" s="1"/>
      <c r="BJ298" s="1"/>
      <c r="BK298" s="1"/>
      <c r="BL298" s="1"/>
      <c r="BM298" s="1"/>
      <c r="BN298" s="1"/>
      <c r="BO298" s="1"/>
      <c r="BP298" s="99"/>
      <c r="BQ298" s="110"/>
      <c r="BR298" s="210">
        <v>4</v>
      </c>
      <c r="BS298" s="211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1"/>
      <c r="CW298" s="1"/>
      <c r="CX298" s="1"/>
      <c r="CY298" s="1"/>
      <c r="CZ298" s="1"/>
      <c r="DA298" s="1"/>
      <c r="DB298" s="1"/>
      <c r="DC298" s="1"/>
      <c r="DD298" s="99"/>
      <c r="DF298" s="124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125"/>
    </row>
    <row r="299" spans="3:139" ht="6.95" customHeight="1" thickBot="1" x14ac:dyDescent="0.2"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D299" s="212"/>
      <c r="AE299" s="21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100"/>
      <c r="BI299" s="100"/>
      <c r="BJ299" s="100"/>
      <c r="BK299" s="100"/>
      <c r="BL299" s="100"/>
      <c r="BM299" s="100"/>
      <c r="BN299" s="100"/>
      <c r="BO299" s="100"/>
      <c r="BP299" s="101"/>
      <c r="BQ299" s="110"/>
      <c r="BR299" s="212"/>
      <c r="BS299" s="21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  <c r="CD299" s="53"/>
      <c r="CE299" s="53"/>
      <c r="CF299" s="53"/>
      <c r="CG299" s="53"/>
      <c r="CH299" s="53"/>
      <c r="CI299" s="53"/>
      <c r="CJ299" s="53"/>
      <c r="CK299" s="53"/>
      <c r="CL299" s="53"/>
      <c r="CM299" s="53"/>
      <c r="CN299" s="53"/>
      <c r="CO299" s="53"/>
      <c r="CP299" s="53"/>
      <c r="CQ299" s="53"/>
      <c r="CR299" s="53"/>
      <c r="CS299" s="53"/>
      <c r="CT299" s="53"/>
      <c r="CU299" s="53"/>
      <c r="CV299" s="100"/>
      <c r="CW299" s="100"/>
      <c r="CX299" s="100"/>
      <c r="CY299" s="100"/>
      <c r="CZ299" s="100"/>
      <c r="DA299" s="100"/>
      <c r="DB299" s="100"/>
      <c r="DC299" s="100"/>
      <c r="DD299" s="101"/>
      <c r="DF299" s="124"/>
      <c r="DG299" s="82"/>
      <c r="DH299" s="82"/>
      <c r="DI299" s="82"/>
      <c r="DJ299" s="82"/>
      <c r="DK299" s="82"/>
      <c r="DL299" s="82"/>
      <c r="DM299" s="82"/>
      <c r="DN299" s="82"/>
      <c r="DO299" s="82"/>
      <c r="DP299" s="2"/>
      <c r="DQ299" s="2"/>
      <c r="DR299" s="82"/>
      <c r="DS299" s="82"/>
      <c r="DT299" s="82"/>
      <c r="DU299" s="82"/>
      <c r="DV299" s="82"/>
      <c r="DW299" s="82"/>
      <c r="DX299" s="82"/>
      <c r="DY299" s="82"/>
      <c r="DZ299" s="82"/>
      <c r="EA299" s="82"/>
      <c r="EB299" s="82"/>
      <c r="EC299" s="82"/>
      <c r="ED299" s="82"/>
      <c r="EE299" s="82"/>
      <c r="EF299" s="82"/>
      <c r="EG299" s="82"/>
      <c r="EH299" s="82"/>
      <c r="EI299" s="126"/>
    </row>
    <row r="300" spans="3:139" ht="6.95" customHeight="1" x14ac:dyDescent="0.15"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D300" s="52"/>
      <c r="AE300" s="186"/>
      <c r="AF300" s="214" t="s">
        <v>28</v>
      </c>
      <c r="AG300" s="214"/>
      <c r="AH300" s="214"/>
      <c r="AI300" s="214"/>
      <c r="AJ300" s="82"/>
      <c r="AK300" s="82"/>
      <c r="AL300" s="82"/>
      <c r="AM300" s="82"/>
      <c r="AN300" s="82"/>
      <c r="AO300" s="186"/>
      <c r="AP300" s="186"/>
      <c r="AQ300" s="82"/>
      <c r="AR300" s="82"/>
      <c r="AS300" s="82"/>
      <c r="AT300" s="82"/>
      <c r="AU300" s="82"/>
      <c r="AV300" s="82"/>
      <c r="AW300" s="82"/>
      <c r="AX300" s="82"/>
      <c r="AY300" s="214"/>
      <c r="AZ300" s="214"/>
      <c r="BA300" s="214"/>
      <c r="BB300" s="214"/>
      <c r="BC300" s="82"/>
      <c r="BD300" s="82"/>
      <c r="BE300" s="82"/>
      <c r="BF300" s="82"/>
      <c r="BG300" s="82"/>
      <c r="BH300" s="186"/>
      <c r="BI300" s="186"/>
      <c r="BJ300" s="82"/>
      <c r="BK300" s="82"/>
      <c r="BL300" s="82"/>
      <c r="BM300" s="82"/>
      <c r="BN300" s="82"/>
      <c r="BO300" s="82"/>
      <c r="BP300" s="99"/>
      <c r="BQ300" s="110"/>
      <c r="BR300" s="52"/>
      <c r="BS300" s="2"/>
      <c r="BT300" s="214" t="s">
        <v>26</v>
      </c>
      <c r="BU300" s="214"/>
      <c r="BV300" s="214"/>
      <c r="BW300" s="214"/>
      <c r="BX300" s="82"/>
      <c r="BY300" s="82"/>
      <c r="BZ300" s="82"/>
      <c r="CA300" s="82"/>
      <c r="CB300" s="82"/>
      <c r="CC300" s="2"/>
      <c r="CD300" s="2"/>
      <c r="CE300" s="82"/>
      <c r="CF300" s="82"/>
      <c r="CG300" s="82"/>
      <c r="CH300" s="82"/>
      <c r="CI300" s="82"/>
      <c r="CJ300" s="82"/>
      <c r="CK300" s="82"/>
      <c r="CL300" s="82"/>
      <c r="CM300" s="214" t="s">
        <v>26</v>
      </c>
      <c r="CN300" s="214"/>
      <c r="CO300" s="214"/>
      <c r="CP300" s="214"/>
      <c r="CQ300" s="82"/>
      <c r="CR300" s="82"/>
      <c r="CS300" s="82"/>
      <c r="CT300" s="82"/>
      <c r="CU300" s="82"/>
      <c r="CV300" s="2"/>
      <c r="CW300" s="2"/>
      <c r="CX300" s="82"/>
      <c r="CY300" s="82"/>
      <c r="CZ300" s="82"/>
      <c r="DA300" s="82"/>
      <c r="DB300" s="82"/>
      <c r="DC300" s="82"/>
      <c r="DD300" s="99"/>
      <c r="DF300" s="127"/>
      <c r="DG300" s="82"/>
      <c r="DH300" s="82"/>
      <c r="DI300" s="82"/>
      <c r="DJ300" s="82"/>
      <c r="DK300" s="82"/>
      <c r="DL300" s="82"/>
      <c r="DM300" s="82"/>
      <c r="DN300" s="82"/>
      <c r="DO300" s="82"/>
      <c r="DP300" s="2"/>
      <c r="DQ300" s="2"/>
      <c r="DR300" s="82"/>
      <c r="DS300" s="82"/>
      <c r="DT300" s="82"/>
      <c r="DU300" s="82"/>
      <c r="DV300" s="82"/>
      <c r="DW300" s="82"/>
      <c r="DX300" s="82"/>
      <c r="DY300" s="82"/>
      <c r="DZ300" s="82"/>
      <c r="EA300" s="82"/>
      <c r="EB300" s="82"/>
      <c r="EC300" s="82"/>
      <c r="ED300" s="82"/>
      <c r="EE300" s="82"/>
      <c r="EF300" s="82"/>
      <c r="EG300" s="82"/>
      <c r="EH300" s="82"/>
      <c r="EI300" s="126"/>
    </row>
    <row r="301" spans="3:139" ht="6.95" customHeight="1" x14ac:dyDescent="0.15"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D301" s="56"/>
      <c r="AE301" s="3"/>
      <c r="AF301" s="197"/>
      <c r="AG301" s="197"/>
      <c r="AH301" s="197"/>
      <c r="AI301" s="197"/>
      <c r="AJ301" s="82"/>
      <c r="AK301" s="197"/>
      <c r="AL301" s="197"/>
      <c r="AM301" s="197"/>
      <c r="AN301" s="197"/>
      <c r="AO301" s="186"/>
      <c r="AP301" s="186"/>
      <c r="AQ301" s="82"/>
      <c r="AR301" s="82"/>
      <c r="AS301" s="82"/>
      <c r="AT301" s="82"/>
      <c r="AU301" s="82"/>
      <c r="AV301" s="82"/>
      <c r="AW301" s="82"/>
      <c r="AX301" s="82"/>
      <c r="AY301" s="197"/>
      <c r="AZ301" s="197"/>
      <c r="BA301" s="197"/>
      <c r="BB301" s="197"/>
      <c r="BC301" s="82"/>
      <c r="BD301" s="197"/>
      <c r="BE301" s="197"/>
      <c r="BF301" s="197"/>
      <c r="BG301" s="197"/>
      <c r="BH301" s="186"/>
      <c r="BI301" s="186"/>
      <c r="BJ301" s="82"/>
      <c r="BK301" s="82"/>
      <c r="BL301" s="82"/>
      <c r="BM301" s="82"/>
      <c r="BN301" s="82"/>
      <c r="BO301" s="82"/>
      <c r="BP301" s="99"/>
      <c r="BQ301" s="110"/>
      <c r="BR301" s="56"/>
      <c r="BS301" s="3"/>
      <c r="BT301" s="197"/>
      <c r="BU301" s="197"/>
      <c r="BV301" s="197"/>
      <c r="BW301" s="197"/>
      <c r="BX301" s="82"/>
      <c r="BY301" s="197">
        <f>IF(BT300="D16",750, IF(BT300="D13",600))</f>
        <v>750</v>
      </c>
      <c r="BZ301" s="197"/>
      <c r="CA301" s="197"/>
      <c r="CB301" s="197"/>
      <c r="CC301" s="2"/>
      <c r="CD301" s="2"/>
      <c r="CE301" s="82"/>
      <c r="CF301" s="82"/>
      <c r="CG301" s="82"/>
      <c r="CH301" s="82"/>
      <c r="CI301" s="82"/>
      <c r="CJ301" s="82"/>
      <c r="CK301" s="82"/>
      <c r="CL301" s="82"/>
      <c r="CM301" s="197"/>
      <c r="CN301" s="197"/>
      <c r="CO301" s="197"/>
      <c r="CP301" s="197"/>
      <c r="CQ301" s="82"/>
      <c r="CR301" s="197">
        <f>IF(CM300="D16",750, IF(CM300="D13",600))</f>
        <v>750</v>
      </c>
      <c r="CS301" s="197"/>
      <c r="CT301" s="197"/>
      <c r="CU301" s="197"/>
      <c r="CV301" s="2"/>
      <c r="CW301" s="2"/>
      <c r="CX301" s="82"/>
      <c r="CY301" s="82"/>
      <c r="CZ301" s="82"/>
      <c r="DA301" s="82"/>
      <c r="DB301" s="82"/>
      <c r="DC301" s="82"/>
      <c r="DD301" s="99"/>
      <c r="DF301" s="127"/>
      <c r="DG301" s="85"/>
      <c r="DH301" s="85"/>
      <c r="DI301" s="85"/>
      <c r="DJ301" s="85"/>
      <c r="DK301" s="85"/>
      <c r="DL301" s="82"/>
      <c r="DM301" s="82"/>
      <c r="DN301" s="82"/>
      <c r="DO301" s="82"/>
      <c r="DP301" s="85"/>
      <c r="DQ301" s="85"/>
      <c r="DR301" s="85"/>
      <c r="DS301" s="85"/>
      <c r="DT301" s="85"/>
      <c r="DU301" s="85"/>
      <c r="DV301" s="82"/>
      <c r="DW301" s="82"/>
      <c r="DX301" s="82"/>
      <c r="DY301" s="82"/>
      <c r="DZ301" s="85"/>
      <c r="EA301" s="85"/>
      <c r="EB301" s="85"/>
      <c r="EC301" s="85"/>
      <c r="ED301" s="85"/>
      <c r="EE301" s="82"/>
      <c r="EF301" s="82"/>
      <c r="EG301" s="82"/>
      <c r="EH301" s="82"/>
      <c r="EI301" s="128"/>
    </row>
    <row r="302" spans="3:139" ht="6.95" customHeight="1" x14ac:dyDescent="0.15"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D302" s="56"/>
      <c r="AE302" s="3"/>
      <c r="AF302" s="85"/>
      <c r="AG302" s="85"/>
      <c r="AH302" s="85"/>
      <c r="AI302" s="85"/>
      <c r="AJ302" s="85"/>
      <c r="AK302" s="197"/>
      <c r="AL302" s="197"/>
      <c r="AM302" s="197"/>
      <c r="AN302" s="197"/>
      <c r="AO302" s="85"/>
      <c r="AP302" s="85"/>
      <c r="AQ302" s="85"/>
      <c r="AR302" s="85"/>
      <c r="AS302" s="85"/>
      <c r="AT302" s="85"/>
      <c r="AU302" s="82"/>
      <c r="AV302" s="82"/>
      <c r="AW302" s="82"/>
      <c r="AX302" s="82"/>
      <c r="AY302" s="85"/>
      <c r="AZ302" s="85"/>
      <c r="BA302" s="85"/>
      <c r="BB302" s="85"/>
      <c r="BC302" s="85"/>
      <c r="BD302" s="197"/>
      <c r="BE302" s="197"/>
      <c r="BF302" s="197"/>
      <c r="BG302" s="197"/>
      <c r="BH302" s="85"/>
      <c r="BI302" s="85"/>
      <c r="BJ302" s="85"/>
      <c r="BK302" s="85"/>
      <c r="BL302" s="85"/>
      <c r="BM302" s="85"/>
      <c r="BN302" s="85"/>
      <c r="BO302" s="85"/>
      <c r="BP302" s="99"/>
      <c r="BQ302" s="110"/>
      <c r="BR302" s="56"/>
      <c r="BS302" s="3"/>
      <c r="BT302" s="85"/>
      <c r="BU302" s="85"/>
      <c r="BV302" s="85"/>
      <c r="BW302" s="85"/>
      <c r="BX302" s="85"/>
      <c r="BY302" s="197"/>
      <c r="BZ302" s="197"/>
      <c r="CA302" s="197"/>
      <c r="CB302" s="197"/>
      <c r="CC302" s="85"/>
      <c r="CD302" s="85"/>
      <c r="CE302" s="85"/>
      <c r="CF302" s="85"/>
      <c r="CG302" s="85"/>
      <c r="CH302" s="85"/>
      <c r="CI302" s="82"/>
      <c r="CJ302" s="82"/>
      <c r="CK302" s="82"/>
      <c r="CL302" s="82"/>
      <c r="CM302" s="85"/>
      <c r="CN302" s="85"/>
      <c r="CO302" s="85"/>
      <c r="CP302" s="85"/>
      <c r="CQ302" s="85"/>
      <c r="CR302" s="197"/>
      <c r="CS302" s="197"/>
      <c r="CT302" s="197"/>
      <c r="CU302" s="197"/>
      <c r="CV302" s="85"/>
      <c r="CW302" s="85"/>
      <c r="CX302" s="85"/>
      <c r="CY302" s="85"/>
      <c r="CZ302" s="85"/>
      <c r="DA302" s="85"/>
      <c r="DB302" s="85"/>
      <c r="DC302" s="85"/>
      <c r="DD302" s="99"/>
      <c r="DF302" s="127"/>
      <c r="DG302" s="3"/>
      <c r="DH302" s="3"/>
      <c r="DI302" s="3"/>
      <c r="DJ302" s="3"/>
      <c r="DK302" s="3"/>
      <c r="DL302" s="2"/>
      <c r="DM302" s="2"/>
      <c r="DN302" s="85"/>
      <c r="DO302" s="85"/>
      <c r="DP302" s="85"/>
      <c r="DQ302" s="85"/>
      <c r="DR302" s="85"/>
      <c r="DS302" s="3"/>
      <c r="DT302" s="3"/>
      <c r="DU302" s="3"/>
      <c r="DV302" s="2"/>
      <c r="DW302" s="2"/>
      <c r="DX302" s="85"/>
      <c r="DY302" s="85"/>
      <c r="DZ302" s="3"/>
      <c r="EA302" s="3"/>
      <c r="EB302" s="3"/>
      <c r="EC302" s="3"/>
      <c r="ED302" s="3"/>
      <c r="EE302" s="2"/>
      <c r="EF302" s="2"/>
      <c r="EG302" s="85"/>
      <c r="EH302" s="85"/>
      <c r="EI302" s="128"/>
    </row>
    <row r="303" spans="3:139" ht="6.95" customHeight="1" x14ac:dyDescent="0.15"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D303" s="56"/>
      <c r="AE303" s="3"/>
      <c r="AF303" s="199">
        <f>CHOOSE(SUM((AD288&gt;={700,750,800,850,900,950})*1), 565,615,665,715,765,815)</f>
        <v>615</v>
      </c>
      <c r="AG303" s="199"/>
      <c r="AH303" s="199"/>
      <c r="AI303" s="199"/>
      <c r="AJ303" s="3"/>
      <c r="AK303" s="186"/>
      <c r="AL303" s="186"/>
      <c r="AM303" s="85"/>
      <c r="AN303" s="85"/>
      <c r="AO303" s="215"/>
      <c r="AP303" s="215"/>
      <c r="AQ303" s="215"/>
      <c r="AR303" s="215"/>
      <c r="AS303" s="3"/>
      <c r="AT303" s="3"/>
      <c r="AU303" s="186"/>
      <c r="AV303" s="186"/>
      <c r="AW303" s="85"/>
      <c r="AX303" s="85"/>
      <c r="AY303" s="3"/>
      <c r="AZ303" s="3"/>
      <c r="BA303" s="3"/>
      <c r="BB303" s="3"/>
      <c r="BC303" s="3"/>
      <c r="BD303" s="186"/>
      <c r="BE303" s="186"/>
      <c r="BF303" s="85"/>
      <c r="BG303" s="85"/>
      <c r="BH303" s="215"/>
      <c r="BI303" s="215"/>
      <c r="BJ303" s="215"/>
      <c r="BK303" s="215"/>
      <c r="BL303" s="3"/>
      <c r="BM303" s="3"/>
      <c r="BN303" s="3"/>
      <c r="BO303" s="3"/>
      <c r="BP303" s="99"/>
      <c r="BQ303" s="110"/>
      <c r="BR303" s="56"/>
      <c r="BS303" s="3"/>
      <c r="BT303" s="3"/>
      <c r="BU303" s="3"/>
      <c r="BV303" s="3"/>
      <c r="BW303" s="3"/>
      <c r="BX303" s="3"/>
      <c r="BY303" s="2"/>
      <c r="BZ303" s="2"/>
      <c r="CA303" s="85"/>
      <c r="CB303" s="85"/>
      <c r="CC303" s="215">
        <f>CHOOSE(SUM((BR288&gt;={700,750,800,850,900,950})*1), 515,565,615,665,715,765)</f>
        <v>565</v>
      </c>
      <c r="CD303" s="215"/>
      <c r="CE303" s="215"/>
      <c r="CF303" s="215"/>
      <c r="CG303" s="3"/>
      <c r="CH303" s="3"/>
      <c r="CI303" s="2"/>
      <c r="CJ303" s="2"/>
      <c r="CK303" s="85"/>
      <c r="CL303" s="85"/>
      <c r="CM303" s="3"/>
      <c r="CN303" s="3"/>
      <c r="CO303" s="3"/>
      <c r="CP303" s="3"/>
      <c r="CQ303" s="3"/>
      <c r="CR303" s="2"/>
      <c r="CS303" s="2"/>
      <c r="CT303" s="85"/>
      <c r="CU303" s="85"/>
      <c r="CV303" s="215">
        <f>CC303-100</f>
        <v>465</v>
      </c>
      <c r="CW303" s="215"/>
      <c r="CX303" s="215"/>
      <c r="CY303" s="215"/>
      <c r="CZ303" s="3"/>
      <c r="DA303" s="3"/>
      <c r="DB303" s="3"/>
      <c r="DC303" s="3"/>
      <c r="DD303" s="99"/>
      <c r="DF303" s="127"/>
      <c r="DG303" s="3"/>
      <c r="DH303" s="3"/>
      <c r="DI303" s="3"/>
      <c r="DJ303" s="3"/>
      <c r="DK303" s="3"/>
      <c r="DL303" s="4"/>
      <c r="DM303" s="4"/>
      <c r="DN303" s="85"/>
      <c r="DO303" s="85"/>
      <c r="DP303" s="85"/>
      <c r="DQ303" s="85"/>
      <c r="DR303" s="85"/>
      <c r="DS303" s="3"/>
      <c r="DT303" s="3"/>
      <c r="DU303" s="3"/>
      <c r="DV303" s="4"/>
      <c r="DW303" s="4"/>
      <c r="DX303" s="85"/>
      <c r="DY303" s="85"/>
      <c r="DZ303" s="3"/>
      <c r="EA303" s="3"/>
      <c r="EB303" s="3"/>
      <c r="EC303" s="3"/>
      <c r="ED303" s="3"/>
      <c r="EE303" s="4"/>
      <c r="EF303" s="4"/>
      <c r="EG303" s="85"/>
      <c r="EH303" s="85"/>
      <c r="EI303" s="128"/>
    </row>
    <row r="304" spans="3:139" ht="6.95" customHeight="1" x14ac:dyDescent="0.15"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D304" s="56"/>
      <c r="AE304" s="3"/>
      <c r="AF304" s="199"/>
      <c r="AG304" s="199"/>
      <c r="AH304" s="199"/>
      <c r="AI304" s="199"/>
      <c r="AJ304" s="3"/>
      <c r="AK304" s="4"/>
      <c r="AL304" s="4"/>
      <c r="AM304" s="85"/>
      <c r="AN304" s="85"/>
      <c r="AO304" s="215"/>
      <c r="AP304" s="215"/>
      <c r="AQ304" s="215"/>
      <c r="AR304" s="215"/>
      <c r="AS304" s="3"/>
      <c r="AT304" s="3"/>
      <c r="AU304" s="4"/>
      <c r="AV304" s="4"/>
      <c r="AW304" s="85"/>
      <c r="AX304" s="85"/>
      <c r="AY304" s="3"/>
      <c r="AZ304" s="3"/>
      <c r="BA304" s="3"/>
      <c r="BB304" s="3"/>
      <c r="BC304" s="3"/>
      <c r="BD304" s="4"/>
      <c r="BE304" s="4"/>
      <c r="BF304" s="85"/>
      <c r="BG304" s="85"/>
      <c r="BH304" s="215"/>
      <c r="BI304" s="215"/>
      <c r="BJ304" s="215"/>
      <c r="BK304" s="215"/>
      <c r="BL304" s="3"/>
      <c r="BM304" s="3"/>
      <c r="BN304" s="3"/>
      <c r="BO304" s="3"/>
      <c r="BP304" s="99"/>
      <c r="BQ304" s="110"/>
      <c r="BR304" s="56"/>
      <c r="BS304" s="3"/>
      <c r="BT304" s="3"/>
      <c r="BU304" s="3"/>
      <c r="BV304" s="3"/>
      <c r="BW304" s="3"/>
      <c r="BX304" s="3"/>
      <c r="BY304" s="4"/>
      <c r="BZ304" s="4"/>
      <c r="CA304" s="85"/>
      <c r="CB304" s="85"/>
      <c r="CC304" s="215"/>
      <c r="CD304" s="215"/>
      <c r="CE304" s="215"/>
      <c r="CF304" s="215"/>
      <c r="CG304" s="3"/>
      <c r="CH304" s="3"/>
      <c r="CI304" s="4"/>
      <c r="CJ304" s="4"/>
      <c r="CK304" s="85"/>
      <c r="CL304" s="85"/>
      <c r="CM304" s="3"/>
      <c r="CN304" s="3"/>
      <c r="CO304" s="3"/>
      <c r="CP304" s="3"/>
      <c r="CQ304" s="3"/>
      <c r="CR304" s="4"/>
      <c r="CS304" s="4"/>
      <c r="CT304" s="85"/>
      <c r="CU304" s="85"/>
      <c r="CV304" s="215"/>
      <c r="CW304" s="215"/>
      <c r="CX304" s="215"/>
      <c r="CY304" s="215"/>
      <c r="CZ304" s="3"/>
      <c r="DA304" s="3"/>
      <c r="DB304" s="3"/>
      <c r="DC304" s="3"/>
      <c r="DD304" s="99"/>
      <c r="DF304" s="127"/>
      <c r="DG304" s="3"/>
      <c r="DH304" s="3"/>
      <c r="DI304" s="3"/>
      <c r="DJ304" s="3"/>
      <c r="DK304" s="3"/>
      <c r="DL304" s="4"/>
      <c r="DM304" s="4"/>
      <c r="DN304" s="84"/>
      <c r="DO304" s="84"/>
      <c r="DP304" s="84"/>
      <c r="DQ304" s="84"/>
      <c r="DR304" s="84"/>
      <c r="DS304" s="3"/>
      <c r="DT304" s="3"/>
      <c r="DU304" s="3"/>
      <c r="DV304" s="4"/>
      <c r="DW304" s="4"/>
      <c r="DX304" s="84"/>
      <c r="DY304" s="84"/>
      <c r="DZ304" s="3"/>
      <c r="EA304" s="3"/>
      <c r="EB304" s="3"/>
      <c r="EC304" s="3"/>
      <c r="ED304" s="3"/>
      <c r="EE304" s="4"/>
      <c r="EF304" s="4"/>
      <c r="EG304" s="84"/>
      <c r="EH304" s="84"/>
      <c r="EI304" s="129"/>
    </row>
    <row r="305" spans="3:139" ht="6.95" customHeight="1" x14ac:dyDescent="0.15"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D305" s="56"/>
      <c r="AE305" s="3"/>
      <c r="AF305" s="3"/>
      <c r="AG305" s="3"/>
      <c r="AH305" s="3"/>
      <c r="AI305" s="3"/>
      <c r="AJ305" s="3"/>
      <c r="AK305" s="4"/>
      <c r="AL305" s="4"/>
      <c r="AM305" s="84"/>
      <c r="AN305" s="84"/>
      <c r="AO305" s="200"/>
      <c r="AP305" s="200"/>
      <c r="AQ305" s="200"/>
      <c r="AR305" s="200"/>
      <c r="AS305" s="3"/>
      <c r="AT305" s="3"/>
      <c r="AU305" s="4"/>
      <c r="AV305" s="4"/>
      <c r="AW305" s="84"/>
      <c r="AX305" s="84"/>
      <c r="AY305" s="3"/>
      <c r="AZ305" s="3"/>
      <c r="BA305" s="3"/>
      <c r="BB305" s="3"/>
      <c r="BC305" s="3"/>
      <c r="BD305" s="4"/>
      <c r="BE305" s="4"/>
      <c r="BF305" s="84"/>
      <c r="BG305" s="84"/>
      <c r="BH305" s="200"/>
      <c r="BI305" s="200"/>
      <c r="BJ305" s="200"/>
      <c r="BK305" s="200"/>
      <c r="BL305" s="3"/>
      <c r="BM305" s="3"/>
      <c r="BN305" s="3"/>
      <c r="BO305" s="3"/>
      <c r="BP305" s="99"/>
      <c r="BQ305" s="110"/>
      <c r="BR305" s="56"/>
      <c r="BS305" s="3"/>
      <c r="BT305" s="3"/>
      <c r="BU305" s="3"/>
      <c r="BV305" s="3"/>
      <c r="BW305" s="3"/>
      <c r="BX305" s="3"/>
      <c r="BY305" s="4"/>
      <c r="BZ305" s="4"/>
      <c r="CA305" s="84"/>
      <c r="CB305" s="84"/>
      <c r="CC305" s="200" t="s">
        <v>29</v>
      </c>
      <c r="CD305" s="200"/>
      <c r="CE305" s="200"/>
      <c r="CF305" s="200"/>
      <c r="CG305" s="3"/>
      <c r="CH305" s="3"/>
      <c r="CI305" s="4"/>
      <c r="CJ305" s="4"/>
      <c r="CK305" s="84"/>
      <c r="CL305" s="84"/>
      <c r="CM305" s="3"/>
      <c r="CN305" s="3"/>
      <c r="CO305" s="3"/>
      <c r="CP305" s="3"/>
      <c r="CQ305" s="3"/>
      <c r="CR305" s="4"/>
      <c r="CS305" s="4"/>
      <c r="CT305" s="84"/>
      <c r="CU305" s="84"/>
      <c r="CV305" s="200" t="s">
        <v>29</v>
      </c>
      <c r="CW305" s="200"/>
      <c r="CX305" s="200"/>
      <c r="CY305" s="200"/>
      <c r="CZ305" s="3"/>
      <c r="DA305" s="3"/>
      <c r="DB305" s="3"/>
      <c r="DC305" s="3"/>
      <c r="DD305" s="99"/>
      <c r="DF305" s="127"/>
      <c r="DG305" s="3"/>
      <c r="DH305" s="3"/>
      <c r="DI305" s="3"/>
      <c r="DJ305" s="3"/>
      <c r="DK305" s="84"/>
      <c r="DL305" s="84"/>
      <c r="DM305" s="84"/>
      <c r="DN305" s="84"/>
      <c r="DO305" s="84"/>
      <c r="DP305" s="84"/>
      <c r="DQ305" s="84"/>
      <c r="DR305" s="84"/>
      <c r="DS305" s="3"/>
      <c r="DT305" s="84"/>
      <c r="DU305" s="84"/>
      <c r="DV305" s="84"/>
      <c r="DW305" s="84"/>
      <c r="DX305" s="84"/>
      <c r="DY305" s="84"/>
      <c r="DZ305" s="3"/>
      <c r="EA305" s="3"/>
      <c r="EB305" s="3"/>
      <c r="EC305" s="3"/>
      <c r="ED305" s="84"/>
      <c r="EE305" s="84"/>
      <c r="EF305" s="84"/>
      <c r="EG305" s="84"/>
      <c r="EH305" s="84"/>
      <c r="EI305" s="129"/>
    </row>
    <row r="306" spans="3:139" ht="6.95" customHeight="1" x14ac:dyDescent="0.15"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D306" s="56"/>
      <c r="AE306" s="3"/>
      <c r="AF306" s="3"/>
      <c r="AG306" s="3"/>
      <c r="AH306" s="3"/>
      <c r="AI306" s="3"/>
      <c r="AJ306" s="84"/>
      <c r="AK306" s="200"/>
      <c r="AL306" s="200"/>
      <c r="AM306" s="200"/>
      <c r="AN306" s="200"/>
      <c r="AO306" s="200"/>
      <c r="AP306" s="200"/>
      <c r="AQ306" s="200"/>
      <c r="AR306" s="200"/>
      <c r="AS306" s="84"/>
      <c r="AT306" s="84"/>
      <c r="AU306" s="84"/>
      <c r="AV306" s="84"/>
      <c r="AW306" s="84"/>
      <c r="AX306" s="84"/>
      <c r="AY306" s="3"/>
      <c r="AZ306" s="3"/>
      <c r="BA306" s="3"/>
      <c r="BB306" s="3"/>
      <c r="BC306" s="84"/>
      <c r="BD306" s="200"/>
      <c r="BE306" s="200"/>
      <c r="BF306" s="200"/>
      <c r="BG306" s="200"/>
      <c r="BH306" s="200"/>
      <c r="BI306" s="200"/>
      <c r="BJ306" s="200"/>
      <c r="BK306" s="200"/>
      <c r="BL306" s="84"/>
      <c r="BM306" s="84"/>
      <c r="BN306" s="3"/>
      <c r="BO306" s="84"/>
      <c r="BP306" s="99"/>
      <c r="BQ306" s="110"/>
      <c r="BR306" s="56"/>
      <c r="BS306" s="3"/>
      <c r="BT306" s="3"/>
      <c r="BU306" s="3"/>
      <c r="BV306" s="3"/>
      <c r="BW306" s="3"/>
      <c r="BX306" s="84"/>
      <c r="BY306" s="200">
        <f>IF(BT300="D13",CHOOSE(SUM((CC303&gt;={515,565,615,665,715,765})*1), 300, 250, 200, 150, 100, 100), CHOOSE(SUM((CC303&gt;={515,565,615,665,715,765})*1), 450, 400, 350, 300, 250, 200))</f>
        <v>400</v>
      </c>
      <c r="BZ306" s="200"/>
      <c r="CA306" s="200"/>
      <c r="CB306" s="200"/>
      <c r="CC306" s="200"/>
      <c r="CD306" s="200"/>
      <c r="CE306" s="200"/>
      <c r="CF306" s="200"/>
      <c r="CG306" s="84"/>
      <c r="CH306" s="84"/>
      <c r="CI306" s="84"/>
      <c r="CJ306" s="84"/>
      <c r="CK306" s="84"/>
      <c r="CL306" s="84"/>
      <c r="CM306" s="3"/>
      <c r="CN306" s="3"/>
      <c r="CO306" s="3"/>
      <c r="CP306" s="3"/>
      <c r="CQ306" s="84"/>
      <c r="CR306" s="200">
        <f>IF(CM300="D13",CHOOSE(SUM((CV303&gt;={415,465,515,565,615,665})*1), 400, 350, 300, 250, 200, 150), CHOOSE(SUM((CV303&gt;={415,465,515,565,615,665})*1), 550, 500, 450, 400, 350, 300))</f>
        <v>500</v>
      </c>
      <c r="CS306" s="200"/>
      <c r="CT306" s="200"/>
      <c r="CU306" s="200"/>
      <c r="CV306" s="200"/>
      <c r="CW306" s="200"/>
      <c r="CX306" s="200"/>
      <c r="CY306" s="200"/>
      <c r="CZ306" s="84"/>
      <c r="DA306" s="84"/>
      <c r="DB306" s="3"/>
      <c r="DC306" s="84"/>
      <c r="DD306" s="99"/>
      <c r="DF306" s="127"/>
      <c r="DG306" s="3"/>
      <c r="DH306" s="3"/>
      <c r="DI306" s="3"/>
      <c r="DJ306" s="3"/>
      <c r="DK306" s="84"/>
      <c r="DL306" s="84"/>
      <c r="DM306" s="84"/>
      <c r="DN306" s="84"/>
      <c r="DO306" s="84"/>
      <c r="DP306" s="88"/>
      <c r="DQ306" s="88"/>
      <c r="DR306" s="88"/>
      <c r="DS306" s="88"/>
      <c r="DT306" s="88"/>
      <c r="DU306" s="88"/>
      <c r="DV306" s="88"/>
      <c r="DW306" s="84"/>
      <c r="DX306" s="84"/>
      <c r="DY306" s="84"/>
      <c r="DZ306" s="3"/>
      <c r="EA306" s="3"/>
      <c r="EB306" s="3"/>
      <c r="EC306" s="3"/>
      <c r="ED306" s="84"/>
      <c r="EE306" s="84"/>
      <c r="EF306" s="84"/>
      <c r="EG306" s="84"/>
      <c r="EH306" s="84"/>
      <c r="EI306" s="130"/>
    </row>
    <row r="307" spans="3:139" ht="6.95" customHeight="1" x14ac:dyDescent="0.15"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D307" s="56"/>
      <c r="AE307" s="3"/>
      <c r="AF307" s="3"/>
      <c r="AG307" s="3"/>
      <c r="AH307" s="3"/>
      <c r="AI307" s="3"/>
      <c r="AJ307" s="84"/>
      <c r="AK307" s="200"/>
      <c r="AL307" s="200"/>
      <c r="AM307" s="200"/>
      <c r="AN307" s="200"/>
      <c r="AO307" s="196" t="s">
        <v>42</v>
      </c>
      <c r="AP307" s="196"/>
      <c r="AQ307" s="196"/>
      <c r="AR307" s="196">
        <v>6</v>
      </c>
      <c r="AS307" s="196"/>
      <c r="AT307" s="196" t="s">
        <v>43</v>
      </c>
      <c r="AU307" s="196"/>
      <c r="AV307" s="196"/>
      <c r="AW307" s="84"/>
      <c r="AX307" s="84"/>
      <c r="AY307" s="3"/>
      <c r="AZ307" s="3"/>
      <c r="BA307" s="3"/>
      <c r="BB307" s="3"/>
      <c r="BC307" s="84"/>
      <c r="BD307" s="200"/>
      <c r="BE307" s="200"/>
      <c r="BF307" s="200"/>
      <c r="BG307" s="200"/>
      <c r="BH307" s="196"/>
      <c r="BI307" s="196"/>
      <c r="BJ307" s="196"/>
      <c r="BK307" s="196"/>
      <c r="BL307" s="196"/>
      <c r="BM307" s="196"/>
      <c r="BN307" s="196"/>
      <c r="BO307" s="196"/>
      <c r="BP307" s="99"/>
      <c r="BQ307" s="110"/>
      <c r="BR307" s="56"/>
      <c r="BS307" s="3"/>
      <c r="BT307" s="3"/>
      <c r="BU307" s="3"/>
      <c r="BV307" s="3"/>
      <c r="BW307" s="3"/>
      <c r="BX307" s="84"/>
      <c r="BY307" s="200"/>
      <c r="BZ307" s="200"/>
      <c r="CA307" s="200"/>
      <c r="CB307" s="200"/>
      <c r="CC307" s="196" t="s">
        <v>42</v>
      </c>
      <c r="CD307" s="196"/>
      <c r="CE307" s="196"/>
      <c r="CF307" s="196">
        <v>1</v>
      </c>
      <c r="CG307" s="196"/>
      <c r="CH307" s="196" t="s">
        <v>43</v>
      </c>
      <c r="CI307" s="196"/>
      <c r="CJ307" s="196"/>
      <c r="CK307" s="84"/>
      <c r="CL307" s="84"/>
      <c r="CM307" s="3"/>
      <c r="CN307" s="3"/>
      <c r="CO307" s="3"/>
      <c r="CP307" s="3"/>
      <c r="CQ307" s="84"/>
      <c r="CR307" s="200"/>
      <c r="CS307" s="200"/>
      <c r="CT307" s="200"/>
      <c r="CU307" s="200"/>
      <c r="CV307" s="196" t="s">
        <v>42</v>
      </c>
      <c r="CW307" s="196"/>
      <c r="CX307" s="196"/>
      <c r="CY307" s="196">
        <v>1</v>
      </c>
      <c r="CZ307" s="196"/>
      <c r="DA307" s="196" t="s">
        <v>43</v>
      </c>
      <c r="DB307" s="196"/>
      <c r="DC307" s="196"/>
      <c r="DD307" s="99"/>
      <c r="DF307" s="124"/>
      <c r="DG307" s="2"/>
      <c r="DH307" s="2"/>
      <c r="DI307" s="2"/>
      <c r="DJ307" s="2"/>
      <c r="DK307" s="2"/>
      <c r="DL307" s="2"/>
      <c r="DM307" s="88"/>
      <c r="DN307" s="88"/>
      <c r="DO307" s="88"/>
      <c r="DP307" s="88"/>
      <c r="DQ307" s="88"/>
      <c r="DR307" s="88"/>
      <c r="DS307" s="88"/>
      <c r="DT307" s="88"/>
      <c r="DU307" s="88"/>
      <c r="DV307" s="88"/>
      <c r="DW307" s="88"/>
      <c r="DX307" s="88"/>
      <c r="DY307" s="88"/>
      <c r="DZ307" s="2"/>
      <c r="EA307" s="2"/>
      <c r="EB307" s="2"/>
      <c r="EC307" s="2"/>
      <c r="ED307" s="2"/>
      <c r="EE307" s="2"/>
      <c r="EF307" s="88"/>
      <c r="EG307" s="88"/>
      <c r="EH307" s="88"/>
      <c r="EI307" s="130"/>
    </row>
    <row r="308" spans="3:139" ht="6.95" customHeight="1" x14ac:dyDescent="0.15"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D308" s="52"/>
      <c r="AE308" s="186"/>
      <c r="AF308" s="186"/>
      <c r="AG308" s="186"/>
      <c r="AH308" s="186"/>
      <c r="AI308" s="186"/>
      <c r="AJ308" s="186"/>
      <c r="AK308" s="186"/>
      <c r="AL308" s="88"/>
      <c r="AM308" s="88"/>
      <c r="AN308" s="88"/>
      <c r="AO308" s="196"/>
      <c r="AP308" s="196"/>
      <c r="AQ308" s="196"/>
      <c r="AR308" s="196"/>
      <c r="AS308" s="196"/>
      <c r="AT308" s="196"/>
      <c r="AU308" s="196"/>
      <c r="AV308" s="196"/>
      <c r="AW308" s="88"/>
      <c r="AX308" s="88"/>
      <c r="AY308" s="186"/>
      <c r="AZ308" s="186"/>
      <c r="BA308" s="186"/>
      <c r="BB308" s="186"/>
      <c r="BC308" s="186"/>
      <c r="BD308" s="186"/>
      <c r="BE308" s="88"/>
      <c r="BF308" s="88"/>
      <c r="BG308" s="88"/>
      <c r="BH308" s="196"/>
      <c r="BI308" s="196"/>
      <c r="BJ308" s="196"/>
      <c r="BK308" s="196"/>
      <c r="BL308" s="196"/>
      <c r="BM308" s="196"/>
      <c r="BN308" s="196"/>
      <c r="BO308" s="196"/>
      <c r="BP308" s="99"/>
      <c r="BQ308" s="110"/>
      <c r="BR308" s="52"/>
      <c r="BS308" s="2"/>
      <c r="BT308" s="2"/>
      <c r="BU308" s="2"/>
      <c r="BV308" s="2"/>
      <c r="BW308" s="2"/>
      <c r="BX308" s="2"/>
      <c r="BY308" s="2"/>
      <c r="BZ308" s="88"/>
      <c r="CA308" s="88"/>
      <c r="CB308" s="88"/>
      <c r="CC308" s="196"/>
      <c r="CD308" s="196"/>
      <c r="CE308" s="196"/>
      <c r="CF308" s="196"/>
      <c r="CG308" s="196"/>
      <c r="CH308" s="196"/>
      <c r="CI308" s="196"/>
      <c r="CJ308" s="196"/>
      <c r="CK308" s="88"/>
      <c r="CL308" s="88"/>
      <c r="CM308" s="2"/>
      <c r="CN308" s="2"/>
      <c r="CO308" s="2"/>
      <c r="CP308" s="2"/>
      <c r="CQ308" s="2"/>
      <c r="CR308" s="2"/>
      <c r="CS308" s="88"/>
      <c r="CT308" s="88"/>
      <c r="CU308" s="88"/>
      <c r="CV308" s="196"/>
      <c r="CW308" s="196"/>
      <c r="CX308" s="196"/>
      <c r="CY308" s="196"/>
      <c r="CZ308" s="196"/>
      <c r="DA308" s="196"/>
      <c r="DB308" s="196"/>
      <c r="DC308" s="196"/>
      <c r="DD308" s="99"/>
      <c r="DF308" s="127"/>
      <c r="DG308" s="82"/>
      <c r="DH308" s="82"/>
      <c r="DI308" s="82"/>
      <c r="DJ308" s="2"/>
      <c r="DK308" s="82"/>
      <c r="DL308" s="82"/>
      <c r="DM308" s="82"/>
      <c r="DN308" s="2"/>
      <c r="DO308" s="2"/>
      <c r="DP308" s="2"/>
      <c r="DQ308" s="2"/>
      <c r="DR308" s="2"/>
      <c r="DS308" s="2"/>
      <c r="DT308" s="2"/>
      <c r="DU308" s="2"/>
      <c r="DV308" s="82"/>
      <c r="DW308" s="88"/>
      <c r="DX308" s="88"/>
      <c r="DY308" s="3"/>
      <c r="DZ308" s="82"/>
      <c r="EA308" s="82"/>
      <c r="EB308" s="82"/>
      <c r="EC308" s="82"/>
      <c r="ED308" s="82"/>
      <c r="EE308" s="82"/>
      <c r="EF308" s="3"/>
      <c r="EG308" s="3"/>
      <c r="EH308" s="3"/>
      <c r="EI308" s="131"/>
    </row>
    <row r="309" spans="3:139" ht="6.95" customHeight="1" x14ac:dyDescent="0.15"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D309" s="83"/>
      <c r="AE309" s="82"/>
      <c r="AF309" s="197" t="s">
        <v>28</v>
      </c>
      <c r="AG309" s="197"/>
      <c r="AH309" s="197"/>
      <c r="AI309" s="197"/>
      <c r="AJ309" s="82"/>
      <c r="AK309" s="82"/>
      <c r="AL309" s="82"/>
      <c r="AM309" s="186"/>
      <c r="AN309" s="186"/>
      <c r="AO309" s="186"/>
      <c r="AP309" s="186"/>
      <c r="AQ309" s="186"/>
      <c r="AR309" s="186"/>
      <c r="AS309" s="186"/>
      <c r="AT309" s="186"/>
      <c r="AU309" s="3"/>
      <c r="AV309" s="82"/>
      <c r="AW309" s="82"/>
      <c r="AX309" s="3"/>
      <c r="AY309" s="197" t="s">
        <v>27</v>
      </c>
      <c r="AZ309" s="197"/>
      <c r="BA309" s="197"/>
      <c r="BB309" s="197"/>
      <c r="BC309" s="82"/>
      <c r="BD309" s="82"/>
      <c r="BE309" s="3"/>
      <c r="BF309" s="3"/>
      <c r="BG309" s="3"/>
      <c r="BH309" s="3"/>
      <c r="BI309" s="198"/>
      <c r="BJ309" s="198"/>
      <c r="BK309" s="198"/>
      <c r="BL309" s="198"/>
      <c r="BM309" s="1"/>
      <c r="BN309" s="1"/>
      <c r="BO309" s="1"/>
      <c r="BP309" s="99"/>
      <c r="BQ309" s="110"/>
      <c r="BR309" s="83"/>
      <c r="BS309" s="2"/>
      <c r="BT309" s="197" t="s">
        <v>26</v>
      </c>
      <c r="BU309" s="197"/>
      <c r="BV309" s="197"/>
      <c r="BW309" s="197"/>
      <c r="BX309" s="82"/>
      <c r="BY309" s="82"/>
      <c r="BZ309" s="82"/>
      <c r="CA309" s="82"/>
      <c r="CB309" s="82"/>
      <c r="CC309" s="2"/>
      <c r="CD309" s="2"/>
      <c r="CE309" s="82"/>
      <c r="CF309" s="82"/>
      <c r="CG309" s="82"/>
      <c r="CH309" s="82"/>
      <c r="CI309" s="82"/>
      <c r="CJ309" s="82"/>
      <c r="CK309" s="82"/>
      <c r="CL309" s="82"/>
      <c r="CM309" s="197" t="s">
        <v>30</v>
      </c>
      <c r="CN309" s="197"/>
      <c r="CO309" s="197"/>
      <c r="CP309" s="197"/>
      <c r="CQ309" s="82"/>
      <c r="CR309" s="82"/>
      <c r="CS309" s="82"/>
      <c r="CT309" s="82"/>
      <c r="CU309" s="82"/>
      <c r="CV309" s="2"/>
      <c r="CW309" s="2"/>
      <c r="CX309" s="82"/>
      <c r="CY309" s="82"/>
      <c r="CZ309" s="82"/>
      <c r="DA309" s="82"/>
      <c r="DB309" s="82"/>
      <c r="DC309" s="82"/>
      <c r="DD309" s="99"/>
      <c r="DF309" s="127"/>
      <c r="DG309" s="82"/>
      <c r="DH309" s="82"/>
      <c r="DI309" s="82"/>
      <c r="DJ309" s="2"/>
      <c r="DK309" s="82"/>
      <c r="DL309" s="82"/>
      <c r="DM309" s="82"/>
      <c r="DN309" s="2"/>
      <c r="DO309" s="2"/>
      <c r="DP309" s="2"/>
      <c r="DQ309" s="2"/>
      <c r="DR309" s="2"/>
      <c r="DS309" s="2"/>
      <c r="DT309" s="2"/>
      <c r="DU309" s="2"/>
      <c r="DV309" s="3"/>
      <c r="DW309" s="82"/>
      <c r="DX309" s="82"/>
      <c r="DY309" s="3"/>
      <c r="DZ309" s="82"/>
      <c r="EA309" s="82"/>
      <c r="EB309" s="82"/>
      <c r="EC309" s="82"/>
      <c r="ED309" s="82"/>
      <c r="EE309" s="82"/>
      <c r="EF309" s="3"/>
      <c r="EG309" s="3"/>
      <c r="EH309" s="3"/>
      <c r="EI309" s="131"/>
    </row>
    <row r="310" spans="3:139" ht="6.95" customHeight="1" x14ac:dyDescent="0.15"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D310" s="56"/>
      <c r="AE310" s="3"/>
      <c r="AF310" s="197"/>
      <c r="AG310" s="197"/>
      <c r="AH310" s="197"/>
      <c r="AI310" s="197"/>
      <c r="AJ310" s="82"/>
      <c r="AK310" s="82"/>
      <c r="AL310" s="82"/>
      <c r="AM310" s="186"/>
      <c r="AN310" s="186"/>
      <c r="AO310" s="186"/>
      <c r="AP310" s="186"/>
      <c r="AQ310" s="186"/>
      <c r="AR310" s="186"/>
      <c r="AS310" s="186"/>
      <c r="AT310" s="186"/>
      <c r="AU310" s="3"/>
      <c r="AV310" s="82"/>
      <c r="AW310" s="82"/>
      <c r="AX310" s="3"/>
      <c r="AY310" s="197"/>
      <c r="AZ310" s="197"/>
      <c r="BA310" s="197"/>
      <c r="BB310" s="197"/>
      <c r="BC310" s="82"/>
      <c r="BD310" s="82"/>
      <c r="BE310" s="3"/>
      <c r="BF310" s="3"/>
      <c r="BG310" s="3"/>
      <c r="BH310" s="3"/>
      <c r="BI310" s="198"/>
      <c r="BJ310" s="198"/>
      <c r="BK310" s="198"/>
      <c r="BL310" s="198"/>
      <c r="BM310" s="1"/>
      <c r="BN310" s="1"/>
      <c r="BO310" s="1"/>
      <c r="BP310" s="99"/>
      <c r="BQ310" s="110"/>
      <c r="BR310" s="56"/>
      <c r="BS310" s="3"/>
      <c r="BT310" s="197"/>
      <c r="BU310" s="197"/>
      <c r="BV310" s="197"/>
      <c r="BW310" s="197"/>
      <c r="BX310" s="82"/>
      <c r="BY310" s="197">
        <f>IF(BT309="D16",750, IF(BT309="D13",600))</f>
        <v>750</v>
      </c>
      <c r="BZ310" s="197"/>
      <c r="CA310" s="197"/>
      <c r="CB310" s="197"/>
      <c r="CC310" s="2"/>
      <c r="CD310" s="2"/>
      <c r="CE310" s="82"/>
      <c r="CF310" s="82"/>
      <c r="CG310" s="82"/>
      <c r="CH310" s="82"/>
      <c r="CI310" s="82"/>
      <c r="CJ310" s="82"/>
      <c r="CK310" s="82"/>
      <c r="CL310" s="82"/>
      <c r="CM310" s="197"/>
      <c r="CN310" s="197"/>
      <c r="CO310" s="197"/>
      <c r="CP310" s="197"/>
      <c r="CQ310" s="82"/>
      <c r="CR310" s="197">
        <f>IF(CM309="D16",750, IF(CM309="D13",600))</f>
        <v>600</v>
      </c>
      <c r="CS310" s="197"/>
      <c r="CT310" s="197"/>
      <c r="CU310" s="197"/>
      <c r="CV310" s="2"/>
      <c r="CW310" s="2"/>
      <c r="CX310" s="82"/>
      <c r="CY310" s="82"/>
      <c r="CZ310" s="82"/>
      <c r="DA310" s="82"/>
      <c r="DB310" s="82"/>
      <c r="DC310" s="82"/>
      <c r="DD310" s="99"/>
      <c r="DF310" s="127"/>
      <c r="DG310" s="3"/>
      <c r="DH310" s="3"/>
      <c r="DI310" s="3"/>
      <c r="DJ310" s="2"/>
      <c r="DK310" s="2"/>
      <c r="DL310" s="2"/>
      <c r="DM310" s="2"/>
      <c r="DN310" s="2"/>
      <c r="DO310" s="82"/>
      <c r="DP310" s="82"/>
      <c r="DQ310" s="82"/>
      <c r="DR310" s="82"/>
      <c r="DS310" s="82"/>
      <c r="DT310" s="82"/>
      <c r="DU310" s="2"/>
      <c r="DV310" s="3"/>
      <c r="DW310" s="82"/>
      <c r="DX310" s="82"/>
      <c r="DY310" s="82"/>
      <c r="DZ310" s="3"/>
      <c r="EA310" s="2"/>
      <c r="EB310" s="3"/>
      <c r="EC310" s="82"/>
      <c r="ED310" s="82"/>
      <c r="EE310" s="3"/>
      <c r="EF310" s="3"/>
      <c r="EG310" s="3"/>
      <c r="EH310" s="3"/>
      <c r="EI310" s="131"/>
    </row>
    <row r="311" spans="3:139" ht="6.95" customHeight="1" x14ac:dyDescent="0.15"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D311" s="56"/>
      <c r="AE311" s="3"/>
      <c r="AF311" s="3"/>
      <c r="AG311" s="3"/>
      <c r="AH311" s="3"/>
      <c r="AI311" s="186"/>
      <c r="AJ311" s="186"/>
      <c r="AK311" s="186"/>
      <c r="AL311" s="186"/>
      <c r="AM311" s="186"/>
      <c r="AN311" s="82"/>
      <c r="AO311" s="82"/>
      <c r="AP311" s="82"/>
      <c r="AQ311" s="82"/>
      <c r="AR311" s="82"/>
      <c r="AS311" s="82"/>
      <c r="AT311" s="186"/>
      <c r="AU311" s="3"/>
      <c r="AV311" s="82"/>
      <c r="AW311" s="82"/>
      <c r="AX311" s="3"/>
      <c r="AY311" s="3"/>
      <c r="AZ311" s="186"/>
      <c r="BA311" s="3"/>
      <c r="BB311" s="82"/>
      <c r="BC311" s="82"/>
      <c r="BD311" s="3"/>
      <c r="BE311" s="3"/>
      <c r="BF311" s="3"/>
      <c r="BG311" s="3"/>
      <c r="BH311" s="3"/>
      <c r="BI311" s="3"/>
      <c r="BJ311" s="3"/>
      <c r="BK311" s="3"/>
      <c r="BL311" s="3"/>
      <c r="BM311" s="1"/>
      <c r="BN311" s="1"/>
      <c r="BO311" s="1"/>
      <c r="BP311" s="99"/>
      <c r="BQ311" s="110"/>
      <c r="BR311" s="56"/>
      <c r="BS311" s="3"/>
      <c r="BT311" s="85"/>
      <c r="BU311" s="85"/>
      <c r="BV311" s="85"/>
      <c r="BW311" s="85"/>
      <c r="BX311" s="85"/>
      <c r="BY311" s="197"/>
      <c r="BZ311" s="197"/>
      <c r="CA311" s="197"/>
      <c r="CB311" s="197"/>
      <c r="CC311" s="85"/>
      <c r="CD311" s="85"/>
      <c r="CE311" s="85"/>
      <c r="CF311" s="85"/>
      <c r="CG311" s="85"/>
      <c r="CH311" s="85"/>
      <c r="CI311" s="82"/>
      <c r="CJ311" s="82"/>
      <c r="CK311" s="82"/>
      <c r="CL311" s="82"/>
      <c r="CM311" s="85"/>
      <c r="CN311" s="85"/>
      <c r="CO311" s="85"/>
      <c r="CP311" s="85"/>
      <c r="CQ311" s="85"/>
      <c r="CR311" s="197"/>
      <c r="CS311" s="197"/>
      <c r="CT311" s="197"/>
      <c r="CU311" s="197"/>
      <c r="CV311" s="85"/>
      <c r="CW311" s="85"/>
      <c r="CX311" s="85"/>
      <c r="CY311" s="85"/>
      <c r="CZ311" s="85"/>
      <c r="DA311" s="85"/>
      <c r="DB311" s="85"/>
      <c r="DC311" s="85"/>
      <c r="DD311" s="99"/>
      <c r="DF311" s="127"/>
      <c r="DG311" s="3"/>
      <c r="DH311" s="3"/>
      <c r="DI311" s="3"/>
      <c r="DJ311" s="4"/>
      <c r="DK311" s="4"/>
      <c r="DL311" s="4"/>
      <c r="DM311" s="4"/>
      <c r="DN311" s="4"/>
      <c r="DO311" s="82"/>
      <c r="DP311" s="82"/>
      <c r="DQ311" s="82"/>
      <c r="DR311" s="82"/>
      <c r="DS311" s="82"/>
      <c r="DT311" s="82"/>
      <c r="DU311" s="4"/>
      <c r="DV311" s="3"/>
      <c r="DW311" s="82"/>
      <c r="DX311" s="82"/>
      <c r="DY311" s="3"/>
      <c r="DZ311" s="3"/>
      <c r="EA311" s="2"/>
      <c r="EB311" s="3"/>
      <c r="EC311" s="3"/>
      <c r="ED311" s="3"/>
      <c r="EE311" s="3"/>
      <c r="EF311" s="3"/>
      <c r="EG311" s="3"/>
      <c r="EH311" s="3"/>
      <c r="EI311" s="132"/>
    </row>
    <row r="312" spans="3:139" ht="6.95" customHeight="1" x14ac:dyDescent="0.15"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D312" s="56"/>
      <c r="AE312" s="3"/>
      <c r="AF312" s="199">
        <f>CHOOSE(SUM((AD288&gt;={700,750,800,850,900,950})*1), 500,550,600,650,750,800)</f>
        <v>550</v>
      </c>
      <c r="AG312" s="199"/>
      <c r="AH312" s="199"/>
      <c r="AI312" s="199"/>
      <c r="AJ312" s="4"/>
      <c r="AK312" s="4"/>
      <c r="AL312" s="4"/>
      <c r="AM312" s="4"/>
      <c r="AN312" s="82"/>
      <c r="AO312" s="82"/>
      <c r="AP312" s="82"/>
      <c r="AQ312" s="82"/>
      <c r="AR312" s="82"/>
      <c r="AS312" s="82"/>
      <c r="AT312" s="4"/>
      <c r="AU312" s="3"/>
      <c r="AV312" s="3"/>
      <c r="AW312" s="3"/>
      <c r="AX312" s="3"/>
      <c r="AY312" s="3"/>
      <c r="AZ312" s="4"/>
      <c r="BA312" s="3"/>
      <c r="BB312" s="3"/>
      <c r="BC312" s="3"/>
      <c r="BD312" s="3"/>
      <c r="BE312" s="3"/>
      <c r="BF312" s="3"/>
      <c r="BG312" s="3"/>
      <c r="BH312" s="197">
        <f>CHOOSE(SUM(($BR$138&gt;={700,750})*1), 700,800)</f>
        <v>800</v>
      </c>
      <c r="BI312" s="197"/>
      <c r="BJ312" s="197"/>
      <c r="BK312" s="197"/>
      <c r="BL312" s="3"/>
      <c r="BM312" s="1"/>
      <c r="BN312" s="1"/>
      <c r="BO312" s="1"/>
      <c r="BP312" s="99"/>
      <c r="BQ312" s="110"/>
      <c r="BR312" s="56"/>
      <c r="BS312" s="3"/>
      <c r="BT312" s="3"/>
      <c r="BU312" s="3"/>
      <c r="BV312" s="3"/>
      <c r="BW312" s="3"/>
      <c r="BX312" s="3"/>
      <c r="BY312" s="2"/>
      <c r="BZ312" s="2"/>
      <c r="CA312" s="85"/>
      <c r="CB312" s="85"/>
      <c r="CC312" s="215">
        <f>CHOOSE(SUM((BR288&gt;={700,750,800,850,900,950})*1), 515,565,615,665,715,765)</f>
        <v>565</v>
      </c>
      <c r="CD312" s="215"/>
      <c r="CE312" s="215"/>
      <c r="CF312" s="215"/>
      <c r="CG312" s="3"/>
      <c r="CH312" s="3"/>
      <c r="CI312" s="2"/>
      <c r="CJ312" s="2"/>
      <c r="CK312" s="85"/>
      <c r="CL312" s="85"/>
      <c r="CM312" s="3"/>
      <c r="CN312" s="3"/>
      <c r="CO312" s="3"/>
      <c r="CP312" s="3"/>
      <c r="CQ312" s="3"/>
      <c r="CR312" s="2"/>
      <c r="CS312" s="2"/>
      <c r="CT312" s="85"/>
      <c r="CU312" s="85"/>
      <c r="CV312" s="215">
        <f>CC312-100</f>
        <v>465</v>
      </c>
      <c r="CW312" s="215"/>
      <c r="CX312" s="215"/>
      <c r="CY312" s="215"/>
      <c r="CZ312" s="3"/>
      <c r="DA312" s="3"/>
      <c r="DB312" s="3"/>
      <c r="DC312" s="3"/>
      <c r="DD312" s="99"/>
      <c r="DF312" s="127"/>
      <c r="DG312" s="3"/>
      <c r="DH312" s="3"/>
      <c r="DI312" s="3"/>
      <c r="DJ312" s="4"/>
      <c r="DK312" s="4"/>
      <c r="DL312" s="4"/>
      <c r="DM312" s="4"/>
      <c r="DN312" s="4"/>
      <c r="DO312" s="82"/>
      <c r="DP312" s="82"/>
      <c r="DQ312" s="82"/>
      <c r="DR312" s="4"/>
      <c r="DS312" s="4"/>
      <c r="DT312" s="4"/>
      <c r="DU312" s="4"/>
      <c r="DV312" s="3"/>
      <c r="DW312" s="3"/>
      <c r="DX312" s="3"/>
      <c r="DY312" s="3"/>
      <c r="DZ312" s="3"/>
      <c r="EA312" s="4"/>
      <c r="EB312" s="4"/>
      <c r="EC312" s="4"/>
      <c r="ED312" s="4"/>
      <c r="EE312" s="4"/>
      <c r="EF312" s="4"/>
      <c r="EG312" s="4"/>
      <c r="EH312" s="4"/>
      <c r="EI312" s="132"/>
    </row>
    <row r="313" spans="3:139" ht="6.95" customHeight="1" x14ac:dyDescent="0.15"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D313" s="56"/>
      <c r="AE313" s="3"/>
      <c r="AF313" s="199"/>
      <c r="AG313" s="199"/>
      <c r="AH313" s="199"/>
      <c r="AI313" s="199"/>
      <c r="AJ313" s="4"/>
      <c r="AK313" s="4"/>
      <c r="AL313" s="4"/>
      <c r="AM313" s="4"/>
      <c r="AN313" s="82"/>
      <c r="AO313" s="82"/>
      <c r="AP313" s="82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197"/>
      <c r="BI313" s="197"/>
      <c r="BJ313" s="197"/>
      <c r="BK313" s="197"/>
      <c r="BL313" s="4"/>
      <c r="BM313" s="1"/>
      <c r="BN313" s="1"/>
      <c r="BO313" s="1"/>
      <c r="BP313" s="99"/>
      <c r="BQ313" s="110"/>
      <c r="BR313" s="56"/>
      <c r="BS313" s="3"/>
      <c r="BT313" s="3"/>
      <c r="BU313" s="3"/>
      <c r="BV313" s="3"/>
      <c r="BW313" s="3"/>
      <c r="BX313" s="3"/>
      <c r="BY313" s="4"/>
      <c r="BZ313" s="4"/>
      <c r="CA313" s="85"/>
      <c r="CB313" s="85"/>
      <c r="CC313" s="215"/>
      <c r="CD313" s="215"/>
      <c r="CE313" s="215"/>
      <c r="CF313" s="215"/>
      <c r="CG313" s="3"/>
      <c r="CH313" s="3"/>
      <c r="CI313" s="4"/>
      <c r="CJ313" s="4"/>
      <c r="CK313" s="85"/>
      <c r="CL313" s="85"/>
      <c r="CM313" s="3"/>
      <c r="CN313" s="3"/>
      <c r="CO313" s="3"/>
      <c r="CP313" s="3"/>
      <c r="CQ313" s="3"/>
      <c r="CR313" s="4"/>
      <c r="CS313" s="4"/>
      <c r="CT313" s="85"/>
      <c r="CU313" s="85"/>
      <c r="CV313" s="215"/>
      <c r="CW313" s="215"/>
      <c r="CX313" s="215"/>
      <c r="CY313" s="215"/>
      <c r="CZ313" s="3"/>
      <c r="DA313" s="3"/>
      <c r="DB313" s="3"/>
      <c r="DC313" s="3"/>
      <c r="DD313" s="99"/>
      <c r="DF313" s="127"/>
      <c r="DG313" s="3"/>
      <c r="DH313" s="3"/>
      <c r="DI313" s="3"/>
      <c r="DJ313" s="4"/>
      <c r="DK313" s="4"/>
      <c r="DL313" s="4"/>
      <c r="DM313" s="4"/>
      <c r="DN313" s="88"/>
      <c r="DO313" s="88"/>
      <c r="DP313" s="88"/>
      <c r="DQ313" s="88"/>
      <c r="DR313" s="88"/>
      <c r="DS313" s="88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133"/>
    </row>
    <row r="314" spans="3:139" ht="6.95" customHeight="1" x14ac:dyDescent="0.15"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D314" s="56"/>
      <c r="AE314" s="3"/>
      <c r="AF314" s="3"/>
      <c r="AG314" s="3"/>
      <c r="AH314" s="3"/>
      <c r="AI314" s="4"/>
      <c r="AJ314" s="4"/>
      <c r="AK314" s="4"/>
      <c r="AL314" s="4"/>
      <c r="AM314" s="88"/>
      <c r="AN314" s="88"/>
      <c r="AO314" s="88"/>
      <c r="AP314" s="88"/>
      <c r="AQ314" s="88"/>
      <c r="AR314" s="88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1"/>
      <c r="BN314" s="1"/>
      <c r="BO314" s="1"/>
      <c r="BP314" s="99"/>
      <c r="BQ314" s="110"/>
      <c r="BR314" s="56"/>
      <c r="BS314" s="3"/>
      <c r="BT314" s="3"/>
      <c r="BU314" s="3"/>
      <c r="BV314" s="3"/>
      <c r="BW314" s="3"/>
      <c r="BX314" s="3"/>
      <c r="BY314" s="4"/>
      <c r="BZ314" s="4"/>
      <c r="CA314" s="84"/>
      <c r="CB314" s="84"/>
      <c r="CC314" s="200" t="s">
        <v>29</v>
      </c>
      <c r="CD314" s="200"/>
      <c r="CE314" s="200"/>
      <c r="CF314" s="200"/>
      <c r="CG314" s="3"/>
      <c r="CH314" s="3"/>
      <c r="CI314" s="4"/>
      <c r="CJ314" s="4"/>
      <c r="CK314" s="84"/>
      <c r="CL314" s="84"/>
      <c r="CM314" s="3"/>
      <c r="CN314" s="3"/>
      <c r="CO314" s="3"/>
      <c r="CP314" s="3"/>
      <c r="CQ314" s="3"/>
      <c r="CR314" s="4"/>
      <c r="CS314" s="4"/>
      <c r="CT314" s="84"/>
      <c r="CU314" s="84"/>
      <c r="CV314" s="200" t="s">
        <v>29</v>
      </c>
      <c r="CW314" s="200"/>
      <c r="CX314" s="200"/>
      <c r="CY314" s="200"/>
      <c r="CZ314" s="3"/>
      <c r="DA314" s="3"/>
      <c r="DB314" s="3"/>
      <c r="DC314" s="3"/>
      <c r="DD314" s="99"/>
      <c r="DF314" s="127"/>
      <c r="DG314" s="3"/>
      <c r="DH314" s="3"/>
      <c r="DI314" s="3"/>
      <c r="DJ314" s="4"/>
      <c r="DK314" s="4"/>
      <c r="DL314" s="84"/>
      <c r="DM314" s="84"/>
      <c r="DN314" s="88"/>
      <c r="DO314" s="88"/>
      <c r="DP314" s="88"/>
      <c r="DQ314" s="88"/>
      <c r="DR314" s="88"/>
      <c r="DS314" s="88"/>
      <c r="DT314" s="88"/>
      <c r="DU314" s="88"/>
      <c r="DV314" s="88"/>
      <c r="DW314" s="4"/>
      <c r="DX314" s="4"/>
      <c r="DY314" s="4"/>
      <c r="DZ314" s="4"/>
      <c r="EA314" s="4"/>
      <c r="EB314" s="4"/>
      <c r="EC314" s="84"/>
      <c r="ED314" s="84"/>
      <c r="EE314" s="84"/>
      <c r="EF314" s="4"/>
      <c r="EG314" s="4"/>
      <c r="EH314" s="88"/>
      <c r="EI314" s="130"/>
    </row>
    <row r="315" spans="3:139" ht="6.95" customHeight="1" x14ac:dyDescent="0.15"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D315" s="56"/>
      <c r="AE315" s="3"/>
      <c r="AF315" s="3"/>
      <c r="AG315" s="3"/>
      <c r="AH315" s="3"/>
      <c r="AI315" s="4"/>
      <c r="AJ315" s="4"/>
      <c r="AK315" s="84"/>
      <c r="AL315" s="84"/>
      <c r="AM315" s="88"/>
      <c r="AN315" s="88"/>
      <c r="AO315" s="196" t="s">
        <v>42</v>
      </c>
      <c r="AP315" s="196"/>
      <c r="AQ315" s="196"/>
      <c r="AR315" s="196">
        <v>27</v>
      </c>
      <c r="AS315" s="196"/>
      <c r="AT315" s="196" t="s">
        <v>43</v>
      </c>
      <c r="AU315" s="196"/>
      <c r="AV315" s="196"/>
      <c r="AW315" s="84"/>
      <c r="AX315" s="84"/>
      <c r="AY315" s="4"/>
      <c r="AZ315" s="88"/>
      <c r="BA315" s="4"/>
      <c r="BB315" s="200">
        <f>CHOOSE(SUM(($BR$138&gt;={700,750})*1), 300,200)</f>
        <v>200</v>
      </c>
      <c r="BC315" s="200"/>
      <c r="BD315" s="200"/>
      <c r="BE315" s="200"/>
      <c r="BF315" s="4"/>
      <c r="BG315" s="88"/>
      <c r="BH315" s="196" t="s">
        <v>42</v>
      </c>
      <c r="BI315" s="196"/>
      <c r="BJ315" s="196"/>
      <c r="BK315" s="196">
        <v>6</v>
      </c>
      <c r="BL315" s="196"/>
      <c r="BM315" s="196" t="s">
        <v>43</v>
      </c>
      <c r="BN315" s="196"/>
      <c r="BO315" s="196"/>
      <c r="BP315" s="99"/>
      <c r="BQ315" s="110"/>
      <c r="BR315" s="56"/>
      <c r="BS315" s="3"/>
      <c r="BT315" s="3"/>
      <c r="BU315" s="3"/>
      <c r="BV315" s="3"/>
      <c r="BW315" s="3"/>
      <c r="BX315" s="84"/>
      <c r="BY315" s="200">
        <f>IF(BT309="D13",CHOOSE(SUM((CC312&gt;={515,565,615,665,715,765})*1), 300, 250, 200, 150, 100, 100), CHOOSE(SUM((CC312&gt;={515,565,615,665,715,765})*1), 450, 400, 350, 300, 250, 200))</f>
        <v>400</v>
      </c>
      <c r="BZ315" s="200"/>
      <c r="CA315" s="200"/>
      <c r="CB315" s="200"/>
      <c r="CC315" s="200"/>
      <c r="CD315" s="200"/>
      <c r="CE315" s="200"/>
      <c r="CF315" s="200"/>
      <c r="CG315" s="84"/>
      <c r="CH315" s="84"/>
      <c r="CI315" s="84"/>
      <c r="CJ315" s="84"/>
      <c r="CK315" s="84"/>
      <c r="CL315" s="84"/>
      <c r="CM315" s="3"/>
      <c r="CN315" s="3"/>
      <c r="CO315" s="3"/>
      <c r="CP315" s="3"/>
      <c r="CQ315" s="84"/>
      <c r="CR315" s="200">
        <f>IF(CM309="D13",CHOOSE(SUM((CV312&gt;={415,465,515,565,615,665})*1), 400, 350, 300, 250, 200, 150), CHOOSE(SUM((CV312&gt;={415,465,515,565,615,665})*1), 550, 500, 450, 400, 350, 300))</f>
        <v>350</v>
      </c>
      <c r="CS315" s="200"/>
      <c r="CT315" s="200"/>
      <c r="CU315" s="200"/>
      <c r="CV315" s="200"/>
      <c r="CW315" s="200"/>
      <c r="CX315" s="200"/>
      <c r="CY315" s="200"/>
      <c r="CZ315" s="84"/>
      <c r="DA315" s="84"/>
      <c r="DB315" s="3"/>
      <c r="DC315" s="84"/>
      <c r="DD315" s="99"/>
      <c r="DF315" s="124"/>
      <c r="DG315" s="2"/>
      <c r="DH315" s="2"/>
      <c r="DI315" s="2"/>
      <c r="DJ315" s="2"/>
      <c r="DK315" s="2"/>
      <c r="DL315" s="84"/>
      <c r="DM315" s="84"/>
      <c r="DN315" s="88"/>
      <c r="DO315" s="88"/>
      <c r="DP315" s="88"/>
      <c r="DQ315" s="88"/>
      <c r="DR315" s="88"/>
      <c r="DS315" s="88"/>
      <c r="DT315" s="88"/>
      <c r="DU315" s="88"/>
      <c r="DV315" s="88"/>
      <c r="DW315" s="84"/>
      <c r="DX315" s="84"/>
      <c r="DY315" s="84"/>
      <c r="DZ315" s="4"/>
      <c r="EA315" s="88"/>
      <c r="EB315" s="4"/>
      <c r="EC315" s="84"/>
      <c r="ED315" s="84"/>
      <c r="EE315" s="84"/>
      <c r="EF315" s="4"/>
      <c r="EG315" s="4"/>
      <c r="EH315" s="88"/>
      <c r="EI315" s="130"/>
    </row>
    <row r="316" spans="3:139" ht="6.95" customHeight="1" x14ac:dyDescent="0.15"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D316" s="56"/>
      <c r="AE316" s="3"/>
      <c r="AF316" s="186"/>
      <c r="AG316" s="186"/>
      <c r="AH316" s="186"/>
      <c r="AI316" s="186"/>
      <c r="AJ316" s="186"/>
      <c r="AK316" s="84"/>
      <c r="AL316" s="84"/>
      <c r="AM316" s="88"/>
      <c r="AN316" s="88"/>
      <c r="AO316" s="196"/>
      <c r="AP316" s="196"/>
      <c r="AQ316" s="196"/>
      <c r="AR316" s="196"/>
      <c r="AS316" s="196"/>
      <c r="AT316" s="196"/>
      <c r="AU316" s="196"/>
      <c r="AV316" s="196"/>
      <c r="AW316" s="84"/>
      <c r="AX316" s="84"/>
      <c r="AY316" s="4"/>
      <c r="AZ316" s="88"/>
      <c r="BA316" s="4"/>
      <c r="BB316" s="200"/>
      <c r="BC316" s="200"/>
      <c r="BD316" s="200"/>
      <c r="BE316" s="200"/>
      <c r="BF316" s="4"/>
      <c r="BG316" s="88"/>
      <c r="BH316" s="196"/>
      <c r="BI316" s="196"/>
      <c r="BJ316" s="196"/>
      <c r="BK316" s="196"/>
      <c r="BL316" s="196"/>
      <c r="BM316" s="196"/>
      <c r="BN316" s="196"/>
      <c r="BO316" s="196"/>
      <c r="BP316" s="99"/>
      <c r="BQ316" s="110"/>
      <c r="BR316" s="56"/>
      <c r="BS316" s="3"/>
      <c r="BT316" s="3"/>
      <c r="BU316" s="3"/>
      <c r="BV316" s="3"/>
      <c r="BW316" s="3"/>
      <c r="BX316" s="84"/>
      <c r="BY316" s="200"/>
      <c r="BZ316" s="200"/>
      <c r="CA316" s="200"/>
      <c r="CB316" s="200"/>
      <c r="CC316" s="196" t="s">
        <v>42</v>
      </c>
      <c r="CD316" s="196"/>
      <c r="CE316" s="196"/>
      <c r="CF316" s="196">
        <v>1</v>
      </c>
      <c r="CG316" s="196"/>
      <c r="CH316" s="196" t="s">
        <v>43</v>
      </c>
      <c r="CI316" s="196"/>
      <c r="CJ316" s="196"/>
      <c r="CK316" s="84"/>
      <c r="CL316" s="84"/>
      <c r="CM316" s="3"/>
      <c r="CN316" s="3"/>
      <c r="CO316" s="3"/>
      <c r="CP316" s="3"/>
      <c r="CQ316" s="84"/>
      <c r="CR316" s="200"/>
      <c r="CS316" s="200"/>
      <c r="CT316" s="200"/>
      <c r="CU316" s="200"/>
      <c r="CV316" s="196" t="s">
        <v>42</v>
      </c>
      <c r="CW316" s="196"/>
      <c r="CX316" s="196"/>
      <c r="CY316" s="196"/>
      <c r="CZ316" s="196"/>
      <c r="DA316" s="196" t="s">
        <v>43</v>
      </c>
      <c r="DB316" s="196"/>
      <c r="DC316" s="196"/>
      <c r="DD316" s="99"/>
      <c r="DF316" s="124"/>
      <c r="DG316" s="2"/>
      <c r="DH316" s="2"/>
      <c r="DI316" s="2"/>
      <c r="DJ316" s="2"/>
      <c r="DK316" s="2"/>
      <c r="DL316" s="84"/>
      <c r="DM316" s="84"/>
      <c r="DN316" s="88"/>
      <c r="DO316" s="88"/>
      <c r="DP316" s="88"/>
      <c r="DQ316" s="88"/>
      <c r="DR316" s="88"/>
      <c r="DS316" s="88"/>
      <c r="DT316" s="88"/>
      <c r="DU316" s="88"/>
      <c r="DV316" s="4"/>
      <c r="DW316" s="84"/>
      <c r="DX316" s="84"/>
      <c r="DY316" s="84"/>
      <c r="DZ316" s="4"/>
      <c r="EA316" s="88"/>
      <c r="EB316" s="4"/>
      <c r="EC316" s="84"/>
      <c r="ED316" s="84"/>
      <c r="EE316" s="84"/>
      <c r="EF316" s="4"/>
      <c r="EG316" s="4"/>
      <c r="EH316" s="88"/>
      <c r="EI316" s="130"/>
    </row>
    <row r="317" spans="3:139" ht="6.95" customHeight="1" x14ac:dyDescent="0.15"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D317" s="52"/>
      <c r="AE317" s="186"/>
      <c r="AF317" s="186"/>
      <c r="AG317" s="186"/>
      <c r="AH317" s="186"/>
      <c r="AI317" s="186"/>
      <c r="AJ317" s="186"/>
      <c r="AK317" s="84"/>
      <c r="AL317" s="84"/>
      <c r="AM317" s="88"/>
      <c r="AN317" s="88"/>
      <c r="AO317" s="103"/>
      <c r="AP317" s="103"/>
      <c r="AQ317" s="103"/>
      <c r="AR317" s="103"/>
      <c r="AS317" s="103"/>
      <c r="AT317" s="103"/>
      <c r="AU317" s="103"/>
      <c r="AV317" s="103"/>
      <c r="AW317" s="84"/>
      <c r="AX317" s="84"/>
      <c r="AY317" s="4"/>
      <c r="AZ317" s="88"/>
      <c r="BA317" s="4"/>
      <c r="BB317" s="107"/>
      <c r="BC317" s="107"/>
      <c r="BD317" s="107"/>
      <c r="BE317" s="107"/>
      <c r="BF317" s="4"/>
      <c r="BG317" s="88"/>
      <c r="BH317" s="103"/>
      <c r="BI317" s="103"/>
      <c r="BJ317" s="103"/>
      <c r="BK317" s="103"/>
      <c r="BL317" s="103"/>
      <c r="BM317" s="103"/>
      <c r="BN317" s="103"/>
      <c r="BO317" s="103"/>
      <c r="BP317" s="99"/>
      <c r="BQ317" s="110"/>
      <c r="BR317" s="52"/>
      <c r="BS317" s="2"/>
      <c r="BT317" s="2"/>
      <c r="BU317" s="2"/>
      <c r="BV317" s="2"/>
      <c r="BW317" s="2"/>
      <c r="BX317" s="2"/>
      <c r="BY317" s="2"/>
      <c r="BZ317" s="88"/>
      <c r="CA317" s="88"/>
      <c r="CB317" s="88"/>
      <c r="CC317" s="196"/>
      <c r="CD317" s="196"/>
      <c r="CE317" s="196"/>
      <c r="CF317" s="196"/>
      <c r="CG317" s="196"/>
      <c r="CH317" s="196"/>
      <c r="CI317" s="196"/>
      <c r="CJ317" s="196"/>
      <c r="CK317" s="88"/>
      <c r="CL317" s="88"/>
      <c r="CM317" s="2"/>
      <c r="CN317" s="2"/>
      <c r="CO317" s="2"/>
      <c r="CP317" s="2"/>
      <c r="CQ317" s="2"/>
      <c r="CR317" s="2"/>
      <c r="CS317" s="88"/>
      <c r="CT317" s="88"/>
      <c r="CU317" s="88"/>
      <c r="CV317" s="196"/>
      <c r="CW317" s="196"/>
      <c r="CX317" s="196"/>
      <c r="CY317" s="196"/>
      <c r="CZ317" s="196"/>
      <c r="DA317" s="196"/>
      <c r="DB317" s="196"/>
      <c r="DC317" s="196"/>
      <c r="DD317" s="99"/>
      <c r="DF317" s="127"/>
      <c r="DG317" s="96"/>
      <c r="DH317" s="96"/>
      <c r="DI317" s="96"/>
      <c r="DJ317" s="86"/>
      <c r="DK317" s="96"/>
      <c r="DL317" s="96"/>
      <c r="DM317" s="96"/>
      <c r="DN317" s="96"/>
      <c r="DO317" s="87"/>
      <c r="DP317" s="88"/>
      <c r="DQ317" s="88"/>
      <c r="DR317" s="88"/>
      <c r="DS317" s="88"/>
      <c r="DT317" s="88"/>
      <c r="DU317" s="88"/>
      <c r="DV317" s="88"/>
      <c r="DW317" s="88"/>
      <c r="DX317" s="88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125"/>
    </row>
    <row r="318" spans="3:139" ht="6.95" customHeight="1" x14ac:dyDescent="0.15"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D318" s="56"/>
      <c r="AE318" s="3"/>
      <c r="AF318" s="3"/>
      <c r="AG318" s="3"/>
      <c r="AH318" s="3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1"/>
      <c r="BI318" s="1"/>
      <c r="BJ318" s="1"/>
      <c r="BK318" s="1"/>
      <c r="BL318" s="1"/>
      <c r="BM318" s="1"/>
      <c r="BN318" s="1"/>
      <c r="BO318" s="1"/>
      <c r="BP318" s="99"/>
      <c r="BQ318" s="110"/>
      <c r="BR318" s="83"/>
      <c r="BS318" s="82"/>
      <c r="BT318" s="197" t="s">
        <v>28</v>
      </c>
      <c r="BU318" s="197"/>
      <c r="BV318" s="197"/>
      <c r="BW318" s="197"/>
      <c r="BX318" s="82"/>
      <c r="BY318" s="82"/>
      <c r="BZ318" s="82"/>
      <c r="CA318" s="2"/>
      <c r="CB318" s="2"/>
      <c r="CC318" s="2"/>
      <c r="CD318" s="2"/>
      <c r="CE318" s="2"/>
      <c r="CF318" s="2"/>
      <c r="CG318" s="2"/>
      <c r="CH318" s="2"/>
      <c r="CI318" s="3"/>
      <c r="CJ318" s="82"/>
      <c r="CK318" s="88"/>
      <c r="CL318" s="88"/>
      <c r="CM318" s="197" t="s">
        <v>27</v>
      </c>
      <c r="CN318" s="197"/>
      <c r="CO318" s="197"/>
      <c r="CP318" s="197"/>
      <c r="CQ318" s="82"/>
      <c r="CR318" s="82"/>
      <c r="CS318" s="3"/>
      <c r="CT318" s="3"/>
      <c r="CU318" s="3"/>
      <c r="CV318" s="3"/>
      <c r="CW318" s="198"/>
      <c r="CX318" s="198"/>
      <c r="CY318" s="198"/>
      <c r="CZ318" s="198"/>
      <c r="DA318" s="1"/>
      <c r="DB318" s="1"/>
      <c r="DC318" s="1"/>
      <c r="DD318" s="99"/>
      <c r="DF318" s="127"/>
      <c r="DG318" s="96"/>
      <c r="DH318" s="96"/>
      <c r="DI318" s="96"/>
      <c r="DJ318" s="86"/>
      <c r="DK318" s="96"/>
      <c r="DL318" s="96"/>
      <c r="DM318" s="96"/>
      <c r="DN318" s="96"/>
      <c r="DO318" s="87"/>
      <c r="DP318" s="88"/>
      <c r="DQ318" s="88"/>
      <c r="DR318" s="88"/>
      <c r="DS318" s="88"/>
      <c r="DT318" s="88"/>
      <c r="DU318" s="88"/>
      <c r="DV318" s="88"/>
      <c r="DW318" s="88"/>
      <c r="DX318" s="88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125"/>
    </row>
    <row r="319" spans="3:139" ht="6.95" customHeight="1" x14ac:dyDescent="0.15"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D319" s="56"/>
      <c r="AE319" s="3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3"/>
      <c r="AQ319" s="103"/>
      <c r="AR319" s="103"/>
      <c r="AS319" s="103"/>
      <c r="AT319" s="103"/>
      <c r="AU319" s="103"/>
      <c r="AV319" s="103"/>
      <c r="AW319" s="103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1"/>
      <c r="BI319" s="1"/>
      <c r="BJ319" s="1"/>
      <c r="BK319" s="1"/>
      <c r="BL319" s="1"/>
      <c r="BM319" s="1"/>
      <c r="BN319" s="1"/>
      <c r="BO319" s="1"/>
      <c r="BP319" s="99"/>
      <c r="BQ319" s="110"/>
      <c r="BR319" s="56"/>
      <c r="BS319" s="3"/>
      <c r="BT319" s="197"/>
      <c r="BU319" s="197"/>
      <c r="BV319" s="197"/>
      <c r="BW319" s="197"/>
      <c r="BX319" s="82"/>
      <c r="BY319" s="82"/>
      <c r="BZ319" s="82"/>
      <c r="CA319" s="2"/>
      <c r="CB319" s="2"/>
      <c r="CC319" s="2"/>
      <c r="CD319" s="2"/>
      <c r="CE319" s="2"/>
      <c r="CF319" s="2"/>
      <c r="CG319" s="2"/>
      <c r="CH319" s="2"/>
      <c r="CI319" s="3"/>
      <c r="CJ319" s="82"/>
      <c r="CK319" s="82"/>
      <c r="CL319" s="3"/>
      <c r="CM319" s="197"/>
      <c r="CN319" s="197"/>
      <c r="CO319" s="197"/>
      <c r="CP319" s="197"/>
      <c r="CQ319" s="82"/>
      <c r="CR319" s="82"/>
      <c r="CS319" s="3"/>
      <c r="CT319" s="3"/>
      <c r="CU319" s="3"/>
      <c r="CV319" s="3"/>
      <c r="CW319" s="198"/>
      <c r="CX319" s="198"/>
      <c r="CY319" s="198"/>
      <c r="CZ319" s="198"/>
      <c r="DA319" s="1"/>
      <c r="DB319" s="1"/>
      <c r="DC319" s="1"/>
      <c r="DD319" s="99"/>
      <c r="DF319" s="127"/>
      <c r="DG319" s="96"/>
      <c r="DH319" s="96"/>
      <c r="DI319" s="96"/>
      <c r="DJ319" s="86"/>
      <c r="DK319" s="96"/>
      <c r="DL319" s="96"/>
      <c r="DM319" s="96"/>
      <c r="DN319" s="96"/>
      <c r="DO319" s="96"/>
      <c r="DP319" s="96"/>
      <c r="DQ319" s="4"/>
      <c r="DR319" s="88"/>
      <c r="DS319" s="88"/>
      <c r="DT319" s="88"/>
      <c r="DU319" s="88"/>
      <c r="DV319" s="88"/>
      <c r="DW319" s="88"/>
      <c r="DX319" s="88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125"/>
    </row>
    <row r="320" spans="3:139" ht="6.95" customHeight="1" x14ac:dyDescent="0.15"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D320" s="56"/>
      <c r="AE320" s="3"/>
      <c r="AF320" s="200" t="s">
        <v>44</v>
      </c>
      <c r="AG320" s="200"/>
      <c r="AH320" s="200"/>
      <c r="AI320" s="200"/>
      <c r="AJ320" s="106"/>
      <c r="AK320" s="106"/>
      <c r="AL320" s="106"/>
      <c r="AM320" s="106"/>
      <c r="AN320" s="106"/>
      <c r="AO320" s="106"/>
      <c r="AP320" s="103"/>
      <c r="AQ320" s="103"/>
      <c r="AR320" s="103"/>
      <c r="AS320" s="103"/>
      <c r="AT320" s="103"/>
      <c r="AU320" s="103"/>
      <c r="AV320" s="103"/>
      <c r="AW320" s="103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1"/>
      <c r="BI320" s="1"/>
      <c r="BJ320" s="1"/>
      <c r="BK320" s="1"/>
      <c r="BL320" s="1"/>
      <c r="BM320" s="1"/>
      <c r="BN320" s="1"/>
      <c r="BO320" s="1"/>
      <c r="BP320" s="99"/>
      <c r="BQ320" s="110"/>
      <c r="BR320" s="56"/>
      <c r="BS320" s="3"/>
      <c r="BT320" s="3"/>
      <c r="BU320" s="3"/>
      <c r="BV320" s="3"/>
      <c r="BW320" s="2"/>
      <c r="BX320" s="2"/>
      <c r="BY320" s="2"/>
      <c r="BZ320" s="2"/>
      <c r="CA320" s="2"/>
      <c r="CB320" s="82"/>
      <c r="CC320" s="82"/>
      <c r="CD320" s="82"/>
      <c r="CE320" s="82"/>
      <c r="CF320" s="82"/>
      <c r="CG320" s="82"/>
      <c r="CH320" s="2"/>
      <c r="CI320" s="3"/>
      <c r="CJ320" s="82"/>
      <c r="CK320" s="82"/>
      <c r="CL320" s="3"/>
      <c r="CM320" s="3"/>
      <c r="CN320" s="2"/>
      <c r="CO320" s="3"/>
      <c r="CP320" s="82"/>
      <c r="CQ320" s="82"/>
      <c r="CR320" s="3"/>
      <c r="CS320" s="3"/>
      <c r="CT320" s="3"/>
      <c r="CU320" s="3"/>
      <c r="CV320" s="3"/>
      <c r="CW320" s="3"/>
      <c r="CX320" s="3"/>
      <c r="CY320" s="3"/>
      <c r="CZ320" s="3"/>
      <c r="DA320" s="1"/>
      <c r="DB320" s="1"/>
      <c r="DC320" s="1"/>
      <c r="DD320" s="99"/>
      <c r="DF320" s="127"/>
      <c r="DG320" s="96"/>
      <c r="DH320" s="96"/>
      <c r="DI320" s="96"/>
      <c r="DJ320" s="86"/>
      <c r="DK320" s="96"/>
      <c r="DL320" s="96"/>
      <c r="DM320" s="96"/>
      <c r="DN320" s="96"/>
      <c r="DO320" s="96"/>
      <c r="DP320" s="96"/>
      <c r="DQ320" s="4"/>
      <c r="DR320" s="88"/>
      <c r="DS320" s="88"/>
      <c r="DT320" s="88"/>
      <c r="DU320" s="88"/>
      <c r="DV320" s="88"/>
      <c r="DW320" s="88"/>
      <c r="DX320" s="88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125"/>
    </row>
    <row r="321" spans="3:139" ht="6.95" customHeight="1" x14ac:dyDescent="0.15"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D321" s="56"/>
      <c r="AE321" s="3"/>
      <c r="AF321" s="200"/>
      <c r="AG321" s="200"/>
      <c r="AH321" s="200"/>
      <c r="AI321" s="200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1"/>
      <c r="BI321" s="1"/>
      <c r="BJ321" s="96"/>
      <c r="BK321" s="96"/>
      <c r="BL321" s="199">
        <f>CHOOSE(SUM((AD288&gt;={700,750,800,850,900,950})*1), 140,190,240,290,340,390)</f>
        <v>190</v>
      </c>
      <c r="BM321" s="199"/>
      <c r="BN321" s="199"/>
      <c r="BO321" s="199"/>
      <c r="BP321" s="99"/>
      <c r="BQ321" s="110"/>
      <c r="BR321" s="56"/>
      <c r="BS321" s="3"/>
      <c r="BT321" s="199">
        <f>CHOOSE(SUM((BR288&gt;={700,750,800,850,900,950})*1), 500,550,600,650,700,750)</f>
        <v>550</v>
      </c>
      <c r="BU321" s="199"/>
      <c r="BV321" s="199"/>
      <c r="BW321" s="199"/>
      <c r="BX321" s="4"/>
      <c r="BY321" s="4"/>
      <c r="BZ321" s="4"/>
      <c r="CA321" s="4"/>
      <c r="CB321" s="82"/>
      <c r="CC321" s="82"/>
      <c r="CD321" s="82"/>
      <c r="CE321" s="82"/>
      <c r="CF321" s="82"/>
      <c r="CG321" s="82"/>
      <c r="CH321" s="4"/>
      <c r="CI321" s="3"/>
      <c r="CJ321" s="3"/>
      <c r="CK321" s="82"/>
      <c r="CL321" s="3"/>
      <c r="CM321" s="3"/>
      <c r="CN321" s="4"/>
      <c r="CO321" s="3"/>
      <c r="CP321" s="3"/>
      <c r="CQ321" s="3"/>
      <c r="CR321" s="3"/>
      <c r="CS321" s="3"/>
      <c r="CT321" s="3"/>
      <c r="CU321" s="3"/>
      <c r="CV321" s="197">
        <f>CHOOSE(SUM(($BR$138&gt;={700,750})*1), 700,800)</f>
        <v>800</v>
      </c>
      <c r="CW321" s="197"/>
      <c r="CX321" s="197"/>
      <c r="CY321" s="197"/>
      <c r="CZ321" s="3"/>
      <c r="DA321" s="1"/>
      <c r="DB321" s="1"/>
      <c r="DC321" s="1"/>
      <c r="DD321" s="99"/>
      <c r="DF321" s="127"/>
      <c r="DG321" s="96"/>
      <c r="DH321" s="96"/>
      <c r="DI321" s="96"/>
      <c r="DJ321" s="4"/>
      <c r="DK321" s="96"/>
      <c r="DL321" s="96"/>
      <c r="DM321" s="96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125"/>
    </row>
    <row r="322" spans="3:139" ht="6.95" customHeight="1" x14ac:dyDescent="0.15">
      <c r="AD322" s="56"/>
      <c r="AE322" s="3"/>
      <c r="AF322" s="106"/>
      <c r="AG322" s="106"/>
      <c r="AH322" s="106"/>
      <c r="AI322" s="106"/>
      <c r="AJ322" s="104"/>
      <c r="AK322" s="105"/>
      <c r="AL322" s="105"/>
      <c r="AM322" s="105"/>
      <c r="AN322" s="105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1"/>
      <c r="BI322" s="1"/>
      <c r="BJ322" s="96"/>
      <c r="BK322" s="96"/>
      <c r="BL322" s="199"/>
      <c r="BM322" s="199"/>
      <c r="BN322" s="199"/>
      <c r="BO322" s="199"/>
      <c r="BP322" s="99"/>
      <c r="BQ322" s="110"/>
      <c r="BR322" s="56"/>
      <c r="BS322" s="3"/>
      <c r="BT322" s="199"/>
      <c r="BU322" s="199"/>
      <c r="BV322" s="199"/>
      <c r="BW322" s="199"/>
      <c r="BX322" s="4"/>
      <c r="BY322" s="4"/>
      <c r="BZ322" s="4"/>
      <c r="CA322" s="4"/>
      <c r="CB322" s="82"/>
      <c r="CC322" s="82"/>
      <c r="CD322" s="82"/>
      <c r="CE322" s="4"/>
      <c r="CF322" s="4"/>
      <c r="CG322" s="4"/>
      <c r="CH322" s="4"/>
      <c r="CI322" s="4"/>
      <c r="CJ322" s="4"/>
      <c r="CK322" s="3"/>
      <c r="CL322" s="3"/>
      <c r="CM322" s="4"/>
      <c r="CN322" s="4"/>
      <c r="CO322" s="4"/>
      <c r="CP322" s="4"/>
      <c r="CQ322" s="4"/>
      <c r="CR322" s="4"/>
      <c r="CS322" s="4"/>
      <c r="CT322" s="4"/>
      <c r="CU322" s="4"/>
      <c r="CV322" s="197"/>
      <c r="CW322" s="197"/>
      <c r="CX322" s="197"/>
      <c r="CY322" s="197"/>
      <c r="CZ322" s="4"/>
      <c r="DA322" s="1"/>
      <c r="DB322" s="1"/>
      <c r="DC322" s="1"/>
      <c r="DD322" s="99"/>
      <c r="DF322" s="127"/>
      <c r="DG322" s="96"/>
      <c r="DH322" s="96"/>
      <c r="DI322" s="96"/>
      <c r="DJ322" s="4"/>
      <c r="DK322" s="96"/>
      <c r="DL322" s="96"/>
      <c r="DM322" s="96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125"/>
    </row>
    <row r="323" spans="3:139" ht="6.95" customHeight="1" x14ac:dyDescent="0.15">
      <c r="AD323" s="56"/>
      <c r="AE323" s="3"/>
      <c r="AF323" s="197" t="s">
        <v>44</v>
      </c>
      <c r="AG323" s="197"/>
      <c r="AH323" s="197"/>
      <c r="AI323" s="197"/>
      <c r="AJ323" s="104"/>
      <c r="AK323" s="105"/>
      <c r="AL323" s="105"/>
      <c r="AM323" s="105"/>
      <c r="AN323" s="105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1"/>
      <c r="BI323" s="1"/>
      <c r="BJ323" s="96"/>
      <c r="BK323" s="96"/>
      <c r="BL323" s="96"/>
      <c r="BM323" s="96"/>
      <c r="BN323" s="110"/>
      <c r="BO323" s="1"/>
      <c r="BP323" s="99"/>
      <c r="BQ323" s="110"/>
      <c r="BR323" s="56"/>
      <c r="BS323" s="3"/>
      <c r="BT323" s="3"/>
      <c r="BU323" s="3"/>
      <c r="BV323" s="3"/>
      <c r="BW323" s="4"/>
      <c r="BX323" s="4"/>
      <c r="BY323" s="4"/>
      <c r="BZ323" s="4"/>
      <c r="CA323" s="88"/>
      <c r="CB323" s="88"/>
      <c r="CC323" s="88"/>
      <c r="CD323" s="88"/>
      <c r="CE323" s="88"/>
      <c r="CF323" s="88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1"/>
      <c r="DB323" s="1"/>
      <c r="DC323" s="1"/>
      <c r="DD323" s="99"/>
      <c r="DF323" s="127"/>
      <c r="DG323" s="3"/>
      <c r="DH323" s="3"/>
      <c r="DI323" s="3"/>
      <c r="DJ323" s="4"/>
      <c r="DK323" s="4"/>
      <c r="DL323" s="4"/>
      <c r="DM323" s="96"/>
      <c r="DN323" s="96"/>
      <c r="DO323" s="96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125"/>
    </row>
    <row r="324" spans="3:139" ht="6.95" customHeight="1" x14ac:dyDescent="0.15">
      <c r="AD324" s="56"/>
      <c r="AE324" s="3"/>
      <c r="AF324" s="197"/>
      <c r="AG324" s="197"/>
      <c r="AH324" s="197"/>
      <c r="AI324" s="197"/>
      <c r="AJ324" s="4"/>
      <c r="AK324" s="4"/>
      <c r="AL324" s="105"/>
      <c r="AM324" s="105"/>
      <c r="AN324" s="105"/>
      <c r="AO324" s="105"/>
      <c r="AP324" s="105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1"/>
      <c r="BI324" s="1"/>
      <c r="BJ324" s="1"/>
      <c r="BK324" s="1"/>
      <c r="BL324" s="110"/>
      <c r="BM324" s="110"/>
      <c r="BN324" s="110"/>
      <c r="BO324" s="1"/>
      <c r="BP324" s="99"/>
      <c r="BQ324" s="110"/>
      <c r="BR324" s="56"/>
      <c r="BS324" s="3"/>
      <c r="BT324" s="3"/>
      <c r="BU324" s="3"/>
      <c r="BV324" s="3"/>
      <c r="BW324" s="4"/>
      <c r="BX324" s="4"/>
      <c r="BY324" s="84"/>
      <c r="BZ324" s="84"/>
      <c r="CA324" s="88"/>
      <c r="CB324" s="88"/>
      <c r="CC324" s="196" t="s">
        <v>42</v>
      </c>
      <c r="CD324" s="196"/>
      <c r="CE324" s="196"/>
      <c r="CF324" s="196">
        <v>6</v>
      </c>
      <c r="CG324" s="196"/>
      <c r="CH324" s="196" t="s">
        <v>43</v>
      </c>
      <c r="CI324" s="196"/>
      <c r="CJ324" s="196"/>
      <c r="CK324" s="4"/>
      <c r="CL324" s="4"/>
      <c r="CM324" s="4"/>
      <c r="CN324" s="88"/>
      <c r="CO324" s="4"/>
      <c r="CP324" s="200">
        <f>CHOOSE(SUM(($BR$138&gt;={700,750})*1), 300,200)</f>
        <v>200</v>
      </c>
      <c r="CQ324" s="200"/>
      <c r="CR324" s="200"/>
      <c r="CS324" s="200"/>
      <c r="CT324" s="4"/>
      <c r="CU324" s="88"/>
      <c r="CV324" s="196" t="s">
        <v>42</v>
      </c>
      <c r="CW324" s="196"/>
      <c r="CX324" s="196"/>
      <c r="CY324" s="196">
        <v>2</v>
      </c>
      <c r="CZ324" s="196"/>
      <c r="DA324" s="196" t="s">
        <v>43</v>
      </c>
      <c r="DB324" s="196"/>
      <c r="DC324" s="196"/>
      <c r="DD324" s="99"/>
      <c r="DF324" s="127"/>
      <c r="DG324" s="3"/>
      <c r="DH324" s="3"/>
      <c r="DI324" s="3"/>
      <c r="DJ324" s="4"/>
      <c r="DK324" s="4"/>
      <c r="DL324" s="4"/>
      <c r="DM324" s="96"/>
      <c r="DN324" s="96"/>
      <c r="DO324" s="96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125"/>
    </row>
    <row r="325" spans="3:139" ht="6.95" customHeight="1" x14ac:dyDescent="0.15">
      <c r="AD325" s="56"/>
      <c r="AE325" s="3"/>
      <c r="AF325" s="106"/>
      <c r="AG325" s="106"/>
      <c r="AH325" s="106"/>
      <c r="AI325" s="106"/>
      <c r="AJ325" s="4"/>
      <c r="AK325" s="4"/>
      <c r="AL325" s="105"/>
      <c r="AM325" s="105"/>
      <c r="AN325" s="105"/>
      <c r="AO325" s="105"/>
      <c r="AP325" s="105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196"/>
      <c r="BI325" s="196"/>
      <c r="BJ325" s="196"/>
      <c r="BK325" s="196"/>
      <c r="BL325" s="196"/>
      <c r="BM325" s="196"/>
      <c r="BN325" s="196"/>
      <c r="BO325" s="196"/>
      <c r="BP325" s="99"/>
      <c r="BQ325" s="110"/>
      <c r="BR325" s="56"/>
      <c r="BS325" s="3"/>
      <c r="BT325" s="2"/>
      <c r="BU325" s="2"/>
      <c r="BV325" s="2"/>
      <c r="BW325" s="2"/>
      <c r="BX325" s="2"/>
      <c r="BY325" s="84"/>
      <c r="BZ325" s="84"/>
      <c r="CA325" s="88"/>
      <c r="CB325" s="88"/>
      <c r="CC325" s="196"/>
      <c r="CD325" s="196"/>
      <c r="CE325" s="196"/>
      <c r="CF325" s="196"/>
      <c r="CG325" s="196"/>
      <c r="CH325" s="196"/>
      <c r="CI325" s="196"/>
      <c r="CJ325" s="196"/>
      <c r="CK325" s="84"/>
      <c r="CL325" s="84"/>
      <c r="CM325" s="4"/>
      <c r="CN325" s="88"/>
      <c r="CO325" s="4"/>
      <c r="CP325" s="200"/>
      <c r="CQ325" s="200"/>
      <c r="CR325" s="200"/>
      <c r="CS325" s="200"/>
      <c r="CT325" s="4"/>
      <c r="CU325" s="88"/>
      <c r="CV325" s="196"/>
      <c r="CW325" s="196"/>
      <c r="CX325" s="196"/>
      <c r="CY325" s="196"/>
      <c r="CZ325" s="196"/>
      <c r="DA325" s="196"/>
      <c r="DB325" s="196"/>
      <c r="DC325" s="196"/>
      <c r="DD325" s="99"/>
      <c r="DF325" s="127"/>
      <c r="DG325" s="3"/>
      <c r="DH325" s="3"/>
      <c r="DI325" s="96"/>
      <c r="DJ325" s="96"/>
      <c r="DK325" s="96"/>
      <c r="DL325" s="4"/>
      <c r="DM325" s="4"/>
      <c r="DN325" s="4"/>
      <c r="DO325" s="4"/>
      <c r="DP325" s="88"/>
      <c r="DQ325" s="88"/>
      <c r="DR325" s="88"/>
      <c r="DS325" s="88"/>
      <c r="DT325" s="88"/>
      <c r="DU325" s="88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125"/>
    </row>
    <row r="326" spans="3:139" ht="6.95" customHeight="1" x14ac:dyDescent="0.15">
      <c r="AD326" s="56"/>
      <c r="AE326" s="3"/>
      <c r="AF326" s="3"/>
      <c r="AG326" s="3"/>
      <c r="AH326" s="105"/>
      <c r="AI326" s="105"/>
      <c r="AJ326" s="105"/>
      <c r="AK326" s="105"/>
      <c r="AL326" s="4"/>
      <c r="AM326" s="4"/>
      <c r="AN326" s="4"/>
      <c r="AO326" s="103"/>
      <c r="AP326" s="103"/>
      <c r="AQ326" s="103"/>
      <c r="AR326" s="103"/>
      <c r="AS326" s="103"/>
      <c r="AT326" s="103"/>
      <c r="AU326" s="103"/>
      <c r="AV326" s="103"/>
      <c r="AW326" s="103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196"/>
      <c r="BI326" s="196"/>
      <c r="BJ326" s="196"/>
      <c r="BK326" s="196"/>
      <c r="BL326" s="196"/>
      <c r="BM326" s="196"/>
      <c r="BN326" s="196"/>
      <c r="BO326" s="196"/>
      <c r="BP326" s="99"/>
      <c r="BQ326" s="110"/>
      <c r="BR326" s="52"/>
      <c r="BS326" s="2"/>
      <c r="BT326" s="2"/>
      <c r="BU326" s="2"/>
      <c r="BV326" s="2"/>
      <c r="BW326" s="2"/>
      <c r="BX326" s="2"/>
      <c r="BY326" s="84"/>
      <c r="BZ326" s="84"/>
      <c r="CA326" s="88"/>
      <c r="CB326" s="88"/>
      <c r="CC326" s="103"/>
      <c r="CD326" s="103"/>
      <c r="CE326" s="103"/>
      <c r="CF326" s="103"/>
      <c r="CG326" s="103"/>
      <c r="CH326" s="103"/>
      <c r="CI326" s="103"/>
      <c r="CJ326" s="103"/>
      <c r="CK326" s="84"/>
      <c r="CL326" s="84"/>
      <c r="CM326" s="4"/>
      <c r="CN326" s="4"/>
      <c r="CO326" s="4"/>
      <c r="CP326" s="4"/>
      <c r="CQ326" s="4"/>
      <c r="CR326" s="4"/>
      <c r="CS326" s="4"/>
      <c r="CT326" s="4"/>
      <c r="CU326" s="4"/>
      <c r="CV326" s="1"/>
      <c r="CW326" s="1"/>
      <c r="CX326" s="1"/>
      <c r="CY326" s="1"/>
      <c r="CZ326" s="1"/>
      <c r="DA326" s="1"/>
      <c r="DB326" s="1"/>
      <c r="DC326" s="1"/>
      <c r="DD326" s="99"/>
      <c r="DF326" s="127"/>
      <c r="DG326" s="3"/>
      <c r="DH326" s="3"/>
      <c r="DI326" s="96"/>
      <c r="DJ326" s="96"/>
      <c r="DK326" s="96"/>
      <c r="DL326" s="4"/>
      <c r="DM326" s="4"/>
      <c r="DN326" s="4"/>
      <c r="DO326" s="4"/>
      <c r="DP326" s="88"/>
      <c r="DQ326" s="88"/>
      <c r="DR326" s="88"/>
      <c r="DS326" s="88"/>
      <c r="DT326" s="88"/>
      <c r="DU326" s="88"/>
      <c r="DV326" s="88"/>
      <c r="DW326" s="88"/>
      <c r="DX326" s="88"/>
      <c r="DY326" s="88"/>
      <c r="DZ326" s="4"/>
      <c r="EA326" s="4"/>
      <c r="EB326" s="4"/>
      <c r="EC326" s="4"/>
      <c r="ED326" s="4"/>
      <c r="EE326" s="4"/>
      <c r="EF326" s="4"/>
      <c r="EG326" s="4"/>
      <c r="EH326" s="4"/>
      <c r="EI326" s="125"/>
    </row>
    <row r="327" spans="3:139" ht="6.95" customHeight="1" x14ac:dyDescent="0.15">
      <c r="AD327" s="56"/>
      <c r="AE327" s="3"/>
      <c r="AF327" s="198"/>
      <c r="AG327" s="198"/>
      <c r="AH327" s="198"/>
      <c r="AI327" s="198"/>
      <c r="AJ327" s="105"/>
      <c r="AK327" s="105"/>
      <c r="AL327" s="218"/>
      <c r="AM327" s="218"/>
      <c r="AN327" s="218"/>
      <c r="AO327" s="218"/>
      <c r="AP327" s="218"/>
      <c r="AQ327" s="218"/>
      <c r="AR327" s="218"/>
      <c r="AS327" s="103"/>
      <c r="AT327" s="196"/>
      <c r="AU327" s="196"/>
      <c r="AV327" s="196"/>
      <c r="AW327" s="196"/>
      <c r="AX327" s="196"/>
      <c r="AY327" s="196"/>
      <c r="AZ327" s="196"/>
      <c r="BA327" s="196"/>
      <c r="BB327" s="4"/>
      <c r="BC327" s="4"/>
      <c r="BD327" s="4"/>
      <c r="BE327" s="4"/>
      <c r="BF327" s="4"/>
      <c r="BG327" s="4"/>
      <c r="BH327" s="196" t="s">
        <v>42</v>
      </c>
      <c r="BI327" s="196"/>
      <c r="BJ327" s="196"/>
      <c r="BK327" s="196">
        <v>3</v>
      </c>
      <c r="BL327" s="196"/>
      <c r="BM327" s="196" t="s">
        <v>43</v>
      </c>
      <c r="BN327" s="196"/>
      <c r="BO327" s="196"/>
      <c r="BP327" s="99"/>
      <c r="BQ327" s="110"/>
      <c r="BR327" s="56"/>
      <c r="BS327" s="3"/>
      <c r="BT327" s="2"/>
      <c r="BU327" s="2"/>
      <c r="BV327" s="2"/>
      <c r="BW327" s="2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1"/>
      <c r="CW327" s="1"/>
      <c r="CX327" s="1"/>
      <c r="CY327" s="1"/>
      <c r="CZ327" s="1"/>
      <c r="DA327" s="1"/>
      <c r="DB327" s="1"/>
      <c r="DC327" s="1"/>
      <c r="DD327" s="99"/>
      <c r="DF327" s="127"/>
      <c r="DG327" s="82"/>
      <c r="DH327" s="82"/>
      <c r="DI327" s="82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125"/>
    </row>
    <row r="328" spans="3:139" ht="6.95" customHeight="1" x14ac:dyDescent="0.15">
      <c r="AD328" s="56"/>
      <c r="AE328" s="3"/>
      <c r="AF328" s="198"/>
      <c r="AG328" s="198"/>
      <c r="AH328" s="198"/>
      <c r="AI328" s="198"/>
      <c r="AJ328" s="4"/>
      <c r="AK328" s="4"/>
      <c r="AL328" s="218"/>
      <c r="AM328" s="218"/>
      <c r="AN328" s="218"/>
      <c r="AO328" s="218"/>
      <c r="AP328" s="218"/>
      <c r="AQ328" s="218"/>
      <c r="AR328" s="218"/>
      <c r="AS328" s="103"/>
      <c r="AT328" s="196"/>
      <c r="AU328" s="196"/>
      <c r="AV328" s="196"/>
      <c r="AW328" s="196"/>
      <c r="AX328" s="196"/>
      <c r="AY328" s="196"/>
      <c r="AZ328" s="196"/>
      <c r="BA328" s="196"/>
      <c r="BB328" s="4"/>
      <c r="BC328" s="4"/>
      <c r="BD328" s="4"/>
      <c r="BE328" s="4"/>
      <c r="BF328" s="4"/>
      <c r="BG328" s="4"/>
      <c r="BH328" s="196"/>
      <c r="BI328" s="196"/>
      <c r="BJ328" s="196"/>
      <c r="BK328" s="196"/>
      <c r="BL328" s="196"/>
      <c r="BM328" s="196"/>
      <c r="BN328" s="196"/>
      <c r="BO328" s="196"/>
      <c r="BP328" s="99"/>
      <c r="BQ328" s="110"/>
      <c r="BR328" s="56"/>
      <c r="BS328" s="3"/>
      <c r="BT328" s="2"/>
      <c r="BU328" s="2"/>
      <c r="BV328" s="2"/>
      <c r="BW328" s="2"/>
      <c r="BX328" s="106"/>
      <c r="BY328" s="106"/>
      <c r="BZ328" s="106"/>
      <c r="CA328" s="106"/>
      <c r="CB328" s="106"/>
      <c r="CC328" s="106"/>
      <c r="CD328" s="103"/>
      <c r="CE328" s="103"/>
      <c r="CF328" s="103"/>
      <c r="CG328" s="103"/>
      <c r="CH328" s="103"/>
      <c r="CI328" s="103"/>
      <c r="CJ328" s="103"/>
      <c r="CK328" s="103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1"/>
      <c r="CW328" s="1"/>
      <c r="CX328" s="1"/>
      <c r="CY328" s="1"/>
      <c r="CZ328" s="1"/>
      <c r="DA328" s="1"/>
      <c r="DB328" s="1"/>
      <c r="DC328" s="1"/>
      <c r="DD328" s="147"/>
      <c r="DF328" s="134"/>
      <c r="DG328" s="135"/>
      <c r="DH328" s="135"/>
      <c r="DI328" s="135"/>
      <c r="DJ328" s="136"/>
      <c r="DK328" s="136"/>
      <c r="DL328" s="136"/>
      <c r="DM328" s="136"/>
      <c r="DN328" s="136"/>
      <c r="DO328" s="136"/>
      <c r="DP328" s="136"/>
      <c r="DQ328" s="136"/>
      <c r="DR328" s="136"/>
      <c r="DS328" s="136"/>
      <c r="DT328" s="136"/>
      <c r="DU328" s="136"/>
      <c r="DV328" s="136"/>
      <c r="DW328" s="136"/>
      <c r="DX328" s="136"/>
      <c r="DY328" s="136"/>
      <c r="DZ328" s="136"/>
      <c r="EA328" s="136"/>
      <c r="EB328" s="136"/>
      <c r="EC328" s="136"/>
      <c r="ED328" s="136"/>
      <c r="EE328" s="136"/>
      <c r="EF328" s="136"/>
      <c r="EG328" s="136"/>
      <c r="EH328" s="136"/>
      <c r="EI328" s="137"/>
    </row>
    <row r="329" spans="3:139" ht="6.95" customHeight="1" x14ac:dyDescent="0.15">
      <c r="AD329" s="56"/>
      <c r="AE329" s="3"/>
      <c r="AF329" s="198" t="s">
        <v>44</v>
      </c>
      <c r="AG329" s="198"/>
      <c r="AH329" s="198"/>
      <c r="AI329" s="198"/>
      <c r="AJ329" s="105"/>
      <c r="AK329" s="105"/>
      <c r="AL329" s="218">
        <v>2000</v>
      </c>
      <c r="AM329" s="218"/>
      <c r="AN329" s="218"/>
      <c r="AO329" s="218"/>
      <c r="AP329" s="218"/>
      <c r="AQ329" s="218"/>
      <c r="AR329" s="218"/>
      <c r="AS329" s="103"/>
      <c r="AT329" s="196" t="s">
        <v>42</v>
      </c>
      <c r="AU329" s="196"/>
      <c r="AV329" s="196"/>
      <c r="AW329" s="196">
        <v>4</v>
      </c>
      <c r="AX329" s="196"/>
      <c r="AY329" s="196" t="s">
        <v>43</v>
      </c>
      <c r="AZ329" s="196"/>
      <c r="BA329" s="196"/>
      <c r="BB329" s="4"/>
      <c r="BC329" s="4"/>
      <c r="BD329" s="4"/>
      <c r="BE329" s="4"/>
      <c r="BF329" s="4"/>
      <c r="BG329" s="4"/>
      <c r="BH329" s="1"/>
      <c r="BI329" s="1"/>
      <c r="BJ329" s="1"/>
      <c r="BK329" s="1"/>
      <c r="BL329" s="1"/>
      <c r="BM329" s="1"/>
      <c r="BN329" s="1"/>
      <c r="BO329" s="1"/>
      <c r="BP329" s="99"/>
      <c r="BQ329" s="110"/>
      <c r="BR329" s="56"/>
      <c r="BS329" s="3"/>
      <c r="BT329" s="2"/>
      <c r="BU329" s="2"/>
      <c r="BV329" s="2"/>
      <c r="BW329" s="2"/>
      <c r="BX329" s="106"/>
      <c r="BY329" s="106"/>
      <c r="BZ329" s="106"/>
      <c r="CA329" s="106"/>
      <c r="CB329" s="106"/>
      <c r="CC329" s="106"/>
      <c r="CD329" s="103"/>
      <c r="CE329" s="103"/>
      <c r="CF329" s="103"/>
      <c r="CG329" s="103"/>
      <c r="CH329" s="103"/>
      <c r="CI329" s="103"/>
      <c r="CJ329" s="103"/>
      <c r="CK329" s="103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1"/>
      <c r="CW329" s="1"/>
      <c r="CX329" s="1"/>
      <c r="CY329" s="1"/>
      <c r="CZ329" s="1"/>
      <c r="DA329" s="1"/>
      <c r="DB329" s="1"/>
      <c r="DC329" s="1"/>
      <c r="DD329" s="147"/>
    </row>
    <row r="330" spans="3:139" ht="6.95" customHeight="1" x14ac:dyDescent="0.15">
      <c r="AD330" s="56"/>
      <c r="AE330" s="3"/>
      <c r="AF330" s="198"/>
      <c r="AG330" s="198"/>
      <c r="AH330" s="198"/>
      <c r="AI330" s="198"/>
      <c r="AJ330" s="4"/>
      <c r="AK330" s="4"/>
      <c r="AL330" s="218"/>
      <c r="AM330" s="218"/>
      <c r="AN330" s="218"/>
      <c r="AO330" s="218"/>
      <c r="AP330" s="218"/>
      <c r="AQ330" s="218"/>
      <c r="AR330" s="218"/>
      <c r="AS330" s="103"/>
      <c r="AT330" s="196"/>
      <c r="AU330" s="196"/>
      <c r="AV330" s="196"/>
      <c r="AW330" s="196"/>
      <c r="AX330" s="196"/>
      <c r="AY330" s="196"/>
      <c r="AZ330" s="196"/>
      <c r="BA330" s="196"/>
      <c r="BB330" s="4"/>
      <c r="BC330" s="4"/>
      <c r="BD330" s="4"/>
      <c r="BE330" s="4"/>
      <c r="BF330" s="4"/>
      <c r="BG330" s="4"/>
      <c r="BH330" s="1"/>
      <c r="BI330" s="1"/>
      <c r="BJ330" s="1"/>
      <c r="BK330" s="1"/>
      <c r="BL330" s="1"/>
      <c r="BM330" s="1"/>
      <c r="BN330" s="1"/>
      <c r="BO330" s="1"/>
      <c r="BP330" s="99"/>
      <c r="BQ330" s="110"/>
      <c r="BR330" s="56"/>
      <c r="BS330" s="3"/>
      <c r="BT330" s="193" t="s">
        <v>44</v>
      </c>
      <c r="BU330" s="193"/>
      <c r="BV330" s="193"/>
      <c r="BW330" s="193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1"/>
      <c r="CW330" s="1"/>
      <c r="CX330" s="199">
        <f>CHOOSE(SUM((BR288&gt;={700,750,800,850,900,950})*1), 140,190,240,290,340,390)</f>
        <v>190</v>
      </c>
      <c r="CY330" s="199"/>
      <c r="CZ330" s="199"/>
      <c r="DA330" s="199"/>
      <c r="DB330" s="1"/>
      <c r="DC330" s="1"/>
      <c r="DD330" s="147"/>
    </row>
    <row r="331" spans="3:139" ht="6.95" customHeight="1" x14ac:dyDescent="0.15">
      <c r="AD331" s="56"/>
      <c r="AE331" s="3"/>
      <c r="AF331" s="193" t="s">
        <v>44</v>
      </c>
      <c r="AG331" s="193"/>
      <c r="AH331" s="193"/>
      <c r="AI331" s="193"/>
      <c r="AJ331" s="4"/>
      <c r="AK331" s="4"/>
      <c r="AL331" s="218" t="s">
        <v>47</v>
      </c>
      <c r="AM331" s="218"/>
      <c r="AN331" s="218"/>
      <c r="AO331" s="218"/>
      <c r="AP331" s="218"/>
      <c r="AQ331" s="218"/>
      <c r="AR331" s="218"/>
      <c r="AS331" s="103"/>
      <c r="AT331" s="196" t="s">
        <v>42</v>
      </c>
      <c r="AU331" s="196"/>
      <c r="AV331" s="196"/>
      <c r="AW331" s="196"/>
      <c r="AX331" s="196"/>
      <c r="AY331" s="196" t="s">
        <v>43</v>
      </c>
      <c r="AZ331" s="196"/>
      <c r="BA331" s="196"/>
      <c r="BB331" s="4"/>
      <c r="BC331" s="4"/>
      <c r="BD331" s="4"/>
      <c r="BE331" s="4"/>
      <c r="BF331" s="4"/>
      <c r="BG331" s="4"/>
      <c r="BH331" s="1"/>
      <c r="BI331" s="1"/>
      <c r="BJ331" s="1"/>
      <c r="BK331" s="1"/>
      <c r="BL331" s="1"/>
      <c r="BM331" s="1"/>
      <c r="BN331" s="1"/>
      <c r="BO331" s="1"/>
      <c r="BP331" s="99"/>
      <c r="BQ331" s="110"/>
      <c r="BR331" s="56"/>
      <c r="BS331" s="3"/>
      <c r="BT331" s="193"/>
      <c r="BU331" s="193"/>
      <c r="BV331" s="193"/>
      <c r="BW331" s="193"/>
      <c r="BX331" s="104"/>
      <c r="BY331" s="105"/>
      <c r="BZ331" s="105"/>
      <c r="CA331" s="105"/>
      <c r="CB331" s="105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1"/>
      <c r="CW331" s="1"/>
      <c r="CX331" s="199"/>
      <c r="CY331" s="199"/>
      <c r="CZ331" s="199"/>
      <c r="DA331" s="199"/>
      <c r="DB331" s="1"/>
      <c r="DC331" s="1"/>
      <c r="DD331" s="147"/>
    </row>
    <row r="332" spans="3:139" ht="6.95" customHeight="1" x14ac:dyDescent="0.15">
      <c r="AD332" s="56"/>
      <c r="AE332" s="3"/>
      <c r="AF332" s="193"/>
      <c r="AG332" s="193"/>
      <c r="AH332" s="193"/>
      <c r="AI332" s="193"/>
      <c r="AJ332" s="4"/>
      <c r="AK332" s="4"/>
      <c r="AL332" s="218"/>
      <c r="AM332" s="218"/>
      <c r="AN332" s="218"/>
      <c r="AO332" s="218"/>
      <c r="AP332" s="218"/>
      <c r="AQ332" s="218"/>
      <c r="AR332" s="218"/>
      <c r="AS332" s="103"/>
      <c r="AT332" s="196"/>
      <c r="AU332" s="196"/>
      <c r="AV332" s="196"/>
      <c r="AW332" s="196"/>
      <c r="AX332" s="196"/>
      <c r="AY332" s="196"/>
      <c r="AZ332" s="196"/>
      <c r="BA332" s="196"/>
      <c r="BB332" s="4"/>
      <c r="BC332" s="4"/>
      <c r="BD332" s="4"/>
      <c r="BE332" s="4"/>
      <c r="BF332" s="4"/>
      <c r="BG332" s="4"/>
      <c r="BH332" s="1"/>
      <c r="BI332" s="1"/>
      <c r="BJ332" s="1"/>
      <c r="BK332" s="1"/>
      <c r="BL332" s="1"/>
      <c r="BM332" s="1"/>
      <c r="BN332" s="1"/>
      <c r="BO332" s="1"/>
      <c r="BP332" s="99"/>
      <c r="BQ332" s="110"/>
      <c r="BR332" s="56"/>
      <c r="BS332" s="3"/>
      <c r="BT332" s="2"/>
      <c r="BU332" s="2"/>
      <c r="BV332" s="2"/>
      <c r="BW332" s="2"/>
      <c r="BX332" s="104"/>
      <c r="BY332" s="105"/>
      <c r="BZ332" s="105"/>
      <c r="CA332" s="105"/>
      <c r="CB332" s="105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1"/>
      <c r="CW332" s="1"/>
      <c r="CX332" s="96"/>
      <c r="CY332" s="96"/>
      <c r="CZ332" s="96"/>
      <c r="DA332" s="96"/>
      <c r="DB332" s="110"/>
      <c r="DC332" s="1"/>
      <c r="DD332" s="147"/>
    </row>
    <row r="333" spans="3:139" ht="6.95" customHeight="1" x14ac:dyDescent="0.15">
      <c r="AD333" s="56"/>
      <c r="AE333" s="3"/>
      <c r="AF333" s="105"/>
      <c r="AG333" s="105"/>
      <c r="AH333" s="105"/>
      <c r="AI333" s="105"/>
      <c r="AJ333" s="4"/>
      <c r="AK333" s="4"/>
      <c r="AL333" s="105"/>
      <c r="AM333" s="105"/>
      <c r="AN333" s="105"/>
      <c r="AO333" s="105"/>
      <c r="AP333" s="105"/>
      <c r="AQ333" s="105"/>
      <c r="AR333" s="105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87"/>
      <c r="BC333" s="187"/>
      <c r="BD333" s="187"/>
      <c r="BE333" s="4"/>
      <c r="BF333" s="4"/>
      <c r="BG333" s="4"/>
      <c r="BH333" s="1"/>
      <c r="BI333" s="1"/>
      <c r="BJ333" s="1"/>
      <c r="BK333" s="1"/>
      <c r="BL333" s="1"/>
      <c r="BM333" s="1"/>
      <c r="BN333" s="1"/>
      <c r="BO333" s="1"/>
      <c r="BP333" s="99"/>
      <c r="BQ333" s="110"/>
      <c r="BR333" s="56"/>
      <c r="BS333" s="3"/>
      <c r="BT333" s="2"/>
      <c r="BU333" s="2"/>
      <c r="BV333" s="2"/>
      <c r="BW333" s="2"/>
      <c r="BX333" s="4"/>
      <c r="BY333" s="4"/>
      <c r="BZ333" s="105"/>
      <c r="CA333" s="105"/>
      <c r="CB333" s="105"/>
      <c r="CC333" s="105"/>
      <c r="CD333" s="105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1"/>
      <c r="CW333" s="1"/>
      <c r="CX333" s="1"/>
      <c r="CY333" s="1"/>
      <c r="CZ333" s="110"/>
      <c r="DA333" s="110"/>
      <c r="DB333" s="110"/>
      <c r="DC333" s="1"/>
      <c r="DD333" s="147"/>
    </row>
    <row r="334" spans="3:139" ht="6.95" customHeight="1" x14ac:dyDescent="0.15">
      <c r="AD334" s="56"/>
      <c r="AE334" s="3"/>
      <c r="AF334" s="193" t="s">
        <v>56</v>
      </c>
      <c r="AG334" s="193"/>
      <c r="AH334" s="193"/>
      <c r="AI334" s="193"/>
      <c r="AJ334" s="4"/>
      <c r="AK334" s="4"/>
      <c r="AL334" s="105"/>
      <c r="AM334" s="105"/>
      <c r="AN334" s="105"/>
      <c r="AO334" s="105"/>
      <c r="AP334" s="105"/>
      <c r="AQ334" s="105"/>
      <c r="AR334" s="105"/>
      <c r="AS334" s="103"/>
      <c r="AT334" s="103"/>
      <c r="AU334" s="103"/>
      <c r="AV334" s="103"/>
      <c r="AW334" s="103"/>
      <c r="AX334" s="103"/>
      <c r="AY334" s="103"/>
      <c r="AZ334" s="103"/>
      <c r="BA334" s="103"/>
      <c r="BB334" s="187"/>
      <c r="BC334" s="187"/>
      <c r="BD334" s="187"/>
      <c r="BE334" s="88"/>
      <c r="BF334" s="88"/>
      <c r="BG334" s="88"/>
      <c r="BH334" s="103"/>
      <c r="BI334" s="103"/>
      <c r="BJ334" s="103"/>
      <c r="BK334" s="103"/>
      <c r="BL334" s="103"/>
      <c r="BM334" s="103"/>
      <c r="BN334" s="103"/>
      <c r="BO334" s="103"/>
      <c r="BP334" s="99"/>
      <c r="BQ334" s="110"/>
      <c r="BR334" s="56"/>
      <c r="BS334" s="3"/>
      <c r="BT334" s="193" t="s">
        <v>44</v>
      </c>
      <c r="BU334" s="193"/>
      <c r="BV334" s="193"/>
      <c r="BW334" s="193"/>
      <c r="BX334" s="4"/>
      <c r="BY334" s="4"/>
      <c r="BZ334" s="105"/>
      <c r="CA334" s="105"/>
      <c r="CB334" s="105"/>
      <c r="CC334" s="105"/>
      <c r="CD334" s="105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196" t="s">
        <v>42</v>
      </c>
      <c r="CW334" s="196"/>
      <c r="CX334" s="196"/>
      <c r="CY334" s="196">
        <v>1</v>
      </c>
      <c r="CZ334" s="196"/>
      <c r="DA334" s="196" t="s">
        <v>43</v>
      </c>
      <c r="DB334" s="196"/>
      <c r="DC334" s="196"/>
      <c r="DD334" s="147"/>
    </row>
    <row r="335" spans="3:139" ht="6.95" customHeight="1" x14ac:dyDescent="0.15">
      <c r="AD335" s="56"/>
      <c r="AE335" s="3"/>
      <c r="AF335" s="193"/>
      <c r="AG335" s="193"/>
      <c r="AH335" s="193"/>
      <c r="AI335" s="193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187"/>
      <c r="BC335" s="187"/>
      <c r="BD335" s="187"/>
      <c r="BE335" s="88"/>
      <c r="BF335" s="88"/>
      <c r="BG335" s="88"/>
      <c r="BH335" s="103"/>
      <c r="BI335" s="103"/>
      <c r="BJ335" s="103"/>
      <c r="BK335" s="103"/>
      <c r="BL335" s="103"/>
      <c r="BM335" s="103"/>
      <c r="BN335" s="103"/>
      <c r="BO335" s="103"/>
      <c r="BP335" s="99"/>
      <c r="BQ335" s="110"/>
      <c r="BR335" s="56"/>
      <c r="BS335" s="3"/>
      <c r="BT335" s="193"/>
      <c r="BU335" s="193"/>
      <c r="BV335" s="193"/>
      <c r="BW335" s="193"/>
      <c r="BX335" s="105"/>
      <c r="BY335" s="105"/>
      <c r="BZ335" s="4"/>
      <c r="CA335" s="4"/>
      <c r="CB335" s="4"/>
      <c r="CC335" s="103"/>
      <c r="CD335" s="103"/>
      <c r="CE335" s="103"/>
      <c r="CF335" s="103"/>
      <c r="CG335" s="103"/>
      <c r="CH335" s="103"/>
      <c r="CI335" s="103"/>
      <c r="CJ335" s="103"/>
      <c r="CK335" s="103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196"/>
      <c r="CW335" s="196"/>
      <c r="CX335" s="196"/>
      <c r="CY335" s="196"/>
      <c r="CZ335" s="196"/>
      <c r="DA335" s="196"/>
      <c r="DB335" s="196"/>
      <c r="DC335" s="196"/>
      <c r="DD335" s="147"/>
    </row>
    <row r="336" spans="3:139" ht="6.95" customHeight="1" x14ac:dyDescent="0.15">
      <c r="AD336" s="56"/>
      <c r="AE336" s="3"/>
      <c r="AF336" s="193"/>
      <c r="AG336" s="193"/>
      <c r="AH336" s="193"/>
      <c r="AI336" s="193"/>
      <c r="AJ336" s="194">
        <f>CHOOSE(SUM((AD288&gt;={700,750,800,850,900,950})*1), 205,255,305,355,405,455)</f>
        <v>255</v>
      </c>
      <c r="AK336" s="194"/>
      <c r="AL336" s="19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1"/>
      <c r="BI336" s="1"/>
      <c r="BJ336" s="1"/>
      <c r="BK336" s="1"/>
      <c r="BL336" s="1"/>
      <c r="BM336" s="1"/>
      <c r="BN336" s="1"/>
      <c r="BO336" s="1"/>
      <c r="BP336" s="99"/>
      <c r="BQ336" s="110"/>
      <c r="BR336" s="56"/>
      <c r="BS336" s="3"/>
      <c r="BT336" s="198" t="s">
        <v>44</v>
      </c>
      <c r="BU336" s="198"/>
      <c r="BV336" s="198"/>
      <c r="BW336" s="198"/>
      <c r="BX336" s="105"/>
      <c r="BY336" s="105"/>
      <c r="BZ336" s="218">
        <v>1800</v>
      </c>
      <c r="CA336" s="218"/>
      <c r="CB336" s="218"/>
      <c r="CC336" s="218"/>
      <c r="CD336" s="218"/>
      <c r="CE336" s="218"/>
      <c r="CF336" s="218"/>
      <c r="CG336" s="103"/>
      <c r="CH336" s="196" t="s">
        <v>42</v>
      </c>
      <c r="CI336" s="196"/>
      <c r="CJ336" s="196"/>
      <c r="CK336" s="196">
        <v>2</v>
      </c>
      <c r="CL336" s="196"/>
      <c r="CM336" s="196" t="s">
        <v>43</v>
      </c>
      <c r="CN336" s="196"/>
      <c r="CO336" s="196"/>
      <c r="CP336" s="4"/>
      <c r="CQ336" s="4"/>
      <c r="CR336" s="4"/>
      <c r="CS336" s="4"/>
      <c r="CT336" s="4"/>
      <c r="CU336" s="4"/>
      <c r="CV336" s="103"/>
      <c r="CW336" s="103"/>
      <c r="CX336" s="103"/>
      <c r="CY336" s="103"/>
      <c r="CZ336" s="103"/>
      <c r="DA336" s="103"/>
      <c r="DB336" s="103"/>
      <c r="DC336" s="103"/>
      <c r="DD336" s="99"/>
    </row>
    <row r="337" spans="27:139" ht="6.95" customHeight="1" x14ac:dyDescent="0.15">
      <c r="AD337" s="56"/>
      <c r="AE337" s="3"/>
      <c r="AF337" s="193"/>
      <c r="AG337" s="193"/>
      <c r="AH337" s="193"/>
      <c r="AI337" s="193"/>
      <c r="AJ337" s="194"/>
      <c r="AK337" s="194"/>
      <c r="AL337" s="19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195">
        <f>CHOOSE(SUM((AD288&gt;={700,750,800,850,900,950})*1), 290,360,430,500,570,640)</f>
        <v>360</v>
      </c>
      <c r="BC337" s="195"/>
      <c r="BD337" s="195"/>
      <c r="BE337" s="4"/>
      <c r="BF337" s="4"/>
      <c r="BG337" s="4"/>
      <c r="BH337" s="196" t="s">
        <v>42</v>
      </c>
      <c r="BI337" s="196"/>
      <c r="BJ337" s="196"/>
      <c r="BK337" s="196">
        <v>2</v>
      </c>
      <c r="BL337" s="196"/>
      <c r="BM337" s="196" t="s">
        <v>43</v>
      </c>
      <c r="BN337" s="196"/>
      <c r="BO337" s="196"/>
      <c r="BP337" s="99"/>
      <c r="BQ337" s="110"/>
      <c r="BR337" s="56"/>
      <c r="BS337" s="3"/>
      <c r="BT337" s="198"/>
      <c r="BU337" s="198"/>
      <c r="BV337" s="198"/>
      <c r="BW337" s="198"/>
      <c r="BX337" s="4"/>
      <c r="BY337" s="4"/>
      <c r="BZ337" s="218"/>
      <c r="CA337" s="218"/>
      <c r="CB337" s="218"/>
      <c r="CC337" s="218"/>
      <c r="CD337" s="218"/>
      <c r="CE337" s="218"/>
      <c r="CF337" s="218"/>
      <c r="CG337" s="103"/>
      <c r="CH337" s="196"/>
      <c r="CI337" s="196"/>
      <c r="CJ337" s="196"/>
      <c r="CK337" s="196"/>
      <c r="CL337" s="196"/>
      <c r="CM337" s="196"/>
      <c r="CN337" s="196"/>
      <c r="CO337" s="196"/>
      <c r="CP337" s="4"/>
      <c r="CQ337" s="4"/>
      <c r="CR337" s="4"/>
      <c r="CS337" s="4"/>
      <c r="CT337" s="4"/>
      <c r="CU337" s="4"/>
      <c r="CV337" s="1"/>
      <c r="CW337" s="1"/>
      <c r="CX337" s="1"/>
      <c r="CY337" s="1"/>
      <c r="CZ337" s="1"/>
      <c r="DA337" s="1"/>
      <c r="DB337" s="1"/>
      <c r="DC337" s="1"/>
      <c r="DD337" s="99"/>
    </row>
    <row r="338" spans="27:139" ht="6.95" customHeight="1" x14ac:dyDescent="0.15">
      <c r="AA338" s="89"/>
      <c r="AB338" s="89"/>
      <c r="AC338" s="99"/>
      <c r="AD338" s="56"/>
      <c r="AE338" s="3"/>
      <c r="AF338" s="3"/>
      <c r="AG338" s="3"/>
      <c r="AH338" s="3"/>
      <c r="AI338" s="4"/>
      <c r="AJ338" s="186"/>
      <c r="AK338" s="186"/>
      <c r="AL338" s="186"/>
      <c r="AM338" s="186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195"/>
      <c r="BC338" s="195"/>
      <c r="BD338" s="195"/>
      <c r="BE338" s="4"/>
      <c r="BF338" s="4"/>
      <c r="BG338" s="4"/>
      <c r="BH338" s="196"/>
      <c r="BI338" s="196"/>
      <c r="BJ338" s="196"/>
      <c r="BK338" s="196"/>
      <c r="BL338" s="196"/>
      <c r="BM338" s="196"/>
      <c r="BN338" s="196"/>
      <c r="BO338" s="196"/>
      <c r="BP338" s="99"/>
      <c r="BQ338" s="110"/>
      <c r="BR338" s="56"/>
      <c r="BS338" s="3"/>
      <c r="BT338" s="193" t="s">
        <v>44</v>
      </c>
      <c r="BU338" s="193"/>
      <c r="BV338" s="193"/>
      <c r="BW338" s="193"/>
      <c r="BX338" s="4"/>
      <c r="BY338" s="105"/>
      <c r="BZ338" s="218" t="s">
        <v>47</v>
      </c>
      <c r="CA338" s="218"/>
      <c r="CB338" s="218"/>
      <c r="CC338" s="218"/>
      <c r="CD338" s="218"/>
      <c r="CE338" s="218"/>
      <c r="CF338" s="218"/>
      <c r="CG338" s="103"/>
      <c r="CH338" s="196" t="s">
        <v>42</v>
      </c>
      <c r="CI338" s="196"/>
      <c r="CJ338" s="196"/>
      <c r="CK338" s="196"/>
      <c r="CL338" s="196"/>
      <c r="CM338" s="196" t="s">
        <v>43</v>
      </c>
      <c r="CN338" s="196"/>
      <c r="CO338" s="196"/>
      <c r="CP338" s="4"/>
      <c r="CQ338" s="4"/>
      <c r="CR338" s="4"/>
      <c r="CS338" s="4"/>
      <c r="CT338" s="4"/>
      <c r="CU338" s="4"/>
      <c r="CV338" s="1"/>
      <c r="CW338" s="1"/>
      <c r="CX338" s="1"/>
      <c r="CY338" s="1"/>
      <c r="CZ338" s="1"/>
      <c r="DA338" s="1"/>
      <c r="DB338" s="1"/>
      <c r="DC338" s="1"/>
      <c r="DD338" s="99"/>
      <c r="DF338" s="138"/>
      <c r="DG338" s="120"/>
      <c r="DH338" s="120"/>
      <c r="DI338" s="120"/>
      <c r="DJ338" s="120"/>
      <c r="DK338" s="120"/>
      <c r="DL338" s="120"/>
      <c r="DM338" s="120"/>
      <c r="DN338" s="120"/>
      <c r="DO338" s="120"/>
      <c r="DP338" s="120"/>
      <c r="DQ338" s="120"/>
      <c r="DR338" s="120"/>
      <c r="DS338" s="120"/>
      <c r="DT338" s="120"/>
      <c r="DU338" s="120"/>
      <c r="DV338" s="120"/>
      <c r="DW338" s="120"/>
      <c r="DX338" s="120"/>
      <c r="DY338" s="120"/>
      <c r="DZ338" s="120"/>
      <c r="EA338" s="120"/>
      <c r="EB338" s="120"/>
      <c r="EC338" s="120"/>
      <c r="ED338" s="120"/>
      <c r="EE338" s="120"/>
      <c r="EF338" s="120"/>
      <c r="EG338" s="120"/>
      <c r="EH338" s="120"/>
      <c r="EI338" s="121"/>
    </row>
    <row r="339" spans="27:139" ht="6.95" customHeight="1" x14ac:dyDescent="0.15">
      <c r="AA339" s="89"/>
      <c r="AB339" s="89"/>
      <c r="AC339" s="99"/>
      <c r="AD339" s="56"/>
      <c r="AE339" s="3"/>
      <c r="AF339" s="3"/>
      <c r="AG339" s="3"/>
      <c r="AH339" s="3"/>
      <c r="AI339" s="4"/>
      <c r="AJ339" s="186"/>
      <c r="AK339" s="186"/>
      <c r="AL339" s="186"/>
      <c r="AM339" s="186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187"/>
      <c r="BC339" s="187"/>
      <c r="BD339" s="187"/>
      <c r="BE339" s="88"/>
      <c r="BF339" s="88"/>
      <c r="BG339" s="88"/>
      <c r="BH339" s="103"/>
      <c r="BI339" s="103"/>
      <c r="BJ339" s="103"/>
      <c r="BK339" s="103"/>
      <c r="BL339" s="103"/>
      <c r="BM339" s="103"/>
      <c r="BN339" s="103"/>
      <c r="BO339" s="103"/>
      <c r="BP339" s="99"/>
      <c r="BQ339" s="110"/>
      <c r="BR339" s="56"/>
      <c r="BS339" s="3"/>
      <c r="BT339" s="193"/>
      <c r="BU339" s="193"/>
      <c r="BV339" s="193"/>
      <c r="BW339" s="193"/>
      <c r="BX339" s="4"/>
      <c r="BY339" s="4"/>
      <c r="BZ339" s="218"/>
      <c r="CA339" s="218"/>
      <c r="CB339" s="218"/>
      <c r="CC339" s="218"/>
      <c r="CD339" s="218"/>
      <c r="CE339" s="218"/>
      <c r="CF339" s="218"/>
      <c r="CG339" s="103"/>
      <c r="CH339" s="196"/>
      <c r="CI339" s="196"/>
      <c r="CJ339" s="196"/>
      <c r="CK339" s="196"/>
      <c r="CL339" s="196"/>
      <c r="CM339" s="196"/>
      <c r="CN339" s="196"/>
      <c r="CO339" s="196"/>
      <c r="CP339" s="4"/>
      <c r="CQ339" s="4"/>
      <c r="CR339" s="4"/>
      <c r="CS339" s="4"/>
      <c r="CT339" s="4"/>
      <c r="CU339" s="4"/>
      <c r="CV339" s="1"/>
      <c r="CW339" s="1"/>
      <c r="CX339" s="1"/>
      <c r="CY339" s="1"/>
      <c r="CZ339" s="1"/>
      <c r="DA339" s="1"/>
      <c r="DB339" s="1"/>
      <c r="DC339" s="1"/>
      <c r="DD339" s="99"/>
      <c r="DF339" s="122"/>
      <c r="DG339" s="58"/>
      <c r="DH339" s="58"/>
      <c r="DI339" s="58"/>
      <c r="DJ339" s="58"/>
      <c r="DK339" s="58"/>
      <c r="DL339" s="58"/>
      <c r="DM339" s="58"/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8"/>
      <c r="DY339" s="58"/>
      <c r="DZ339" s="58"/>
      <c r="EA339" s="58"/>
      <c r="EB339" s="58"/>
      <c r="EC339" s="58"/>
      <c r="ED339" s="58"/>
      <c r="EE339" s="58"/>
      <c r="EF339" s="58"/>
      <c r="EG339" s="58"/>
      <c r="EH339" s="58"/>
      <c r="EI339" s="123"/>
    </row>
    <row r="340" spans="27:139" ht="6.95" customHeight="1" thickBot="1" x14ac:dyDescent="0.2">
      <c r="AD340" s="57"/>
      <c r="AE340" s="51"/>
      <c r="AF340" s="51"/>
      <c r="AG340" s="51"/>
      <c r="AH340" s="51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183"/>
      <c r="BC340" s="183"/>
      <c r="BD340" s="183"/>
      <c r="BE340" s="184"/>
      <c r="BF340" s="184"/>
      <c r="BG340" s="184"/>
      <c r="BH340" s="185"/>
      <c r="BI340" s="185"/>
      <c r="BJ340" s="185"/>
      <c r="BK340" s="185"/>
      <c r="BL340" s="185"/>
      <c r="BM340" s="185"/>
      <c r="BN340" s="185"/>
      <c r="BO340" s="185"/>
      <c r="BP340" s="101"/>
      <c r="BQ340" s="110"/>
      <c r="BR340" s="56"/>
      <c r="BS340" s="3"/>
      <c r="BT340" s="193" t="s">
        <v>44</v>
      </c>
      <c r="BU340" s="193"/>
      <c r="BV340" s="193"/>
      <c r="BW340" s="193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1"/>
      <c r="CW340" s="1"/>
      <c r="CX340" s="1"/>
      <c r="CY340" s="1"/>
      <c r="CZ340" s="1"/>
      <c r="DA340" s="1"/>
      <c r="DB340" s="1"/>
      <c r="DC340" s="1"/>
      <c r="DD340" s="99"/>
      <c r="DF340" s="124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125"/>
    </row>
    <row r="341" spans="27:139" ht="6.95" customHeight="1" x14ac:dyDescent="0.15">
      <c r="AD341" s="56"/>
      <c r="AE341" s="3"/>
      <c r="AF341" s="105"/>
      <c r="AG341" s="105"/>
      <c r="AH341" s="105"/>
      <c r="AI341" s="105"/>
      <c r="AJ341" s="186"/>
      <c r="AK341" s="186"/>
      <c r="AL341" s="186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1"/>
      <c r="BI341" s="1"/>
      <c r="BJ341" s="1"/>
      <c r="BK341" s="1"/>
      <c r="BL341" s="1"/>
      <c r="BM341" s="1"/>
      <c r="BN341" s="1"/>
      <c r="BO341" s="1"/>
      <c r="BP341" s="99"/>
      <c r="BQ341" s="110"/>
      <c r="BR341" s="56"/>
      <c r="BS341" s="3"/>
      <c r="BT341" s="193"/>
      <c r="BU341" s="193"/>
      <c r="BV341" s="193"/>
      <c r="BW341" s="193"/>
      <c r="BX341" s="2"/>
      <c r="BY341" s="2"/>
      <c r="BZ341" s="2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1"/>
      <c r="CW341" s="1"/>
      <c r="CX341" s="1"/>
      <c r="CY341" s="1"/>
      <c r="CZ341" s="1"/>
      <c r="DA341" s="1"/>
      <c r="DB341" s="1"/>
      <c r="DC341" s="1"/>
      <c r="DD341" s="99"/>
      <c r="DF341" s="124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125"/>
    </row>
    <row r="342" spans="27:139" ht="6.95" customHeight="1" x14ac:dyDescent="0.15">
      <c r="AD342" s="56"/>
      <c r="AE342" s="3"/>
      <c r="AF342" s="3"/>
      <c r="AG342" s="3"/>
      <c r="AH342" s="3"/>
      <c r="AI342" s="4"/>
      <c r="AJ342" s="186"/>
      <c r="AK342" s="186"/>
      <c r="AL342" s="186"/>
      <c r="AM342" s="186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187"/>
      <c r="BC342" s="187"/>
      <c r="BD342" s="187"/>
      <c r="BE342" s="4"/>
      <c r="BF342" s="4"/>
      <c r="BG342" s="4"/>
      <c r="BH342" s="1"/>
      <c r="BI342" s="1"/>
      <c r="BJ342" s="1"/>
      <c r="BK342" s="1"/>
      <c r="BL342" s="1"/>
      <c r="BM342" s="1"/>
      <c r="BN342" s="1"/>
      <c r="BO342" s="1"/>
      <c r="BP342" s="99"/>
      <c r="BQ342" s="110"/>
      <c r="BR342" s="56"/>
      <c r="BS342" s="3"/>
      <c r="BT342" s="3"/>
      <c r="BU342" s="3"/>
      <c r="BV342" s="3"/>
      <c r="BW342" s="4"/>
      <c r="BX342" s="194">
        <f>CHOOSE(SUM((BR288&gt;={700,750,800,850,900,950})*1), 205,255,305,355,405,455)</f>
        <v>255</v>
      </c>
      <c r="BY342" s="194"/>
      <c r="BZ342" s="194"/>
      <c r="CA342" s="2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111"/>
      <c r="CQ342" s="111"/>
      <c r="CR342" s="111"/>
      <c r="CS342" s="4"/>
      <c r="CT342" s="4"/>
      <c r="CU342" s="4"/>
      <c r="CV342" s="1"/>
      <c r="CW342" s="1"/>
      <c r="CX342" s="1"/>
      <c r="CY342" s="1"/>
      <c r="CZ342" s="1"/>
      <c r="DA342" s="1"/>
      <c r="DB342" s="1"/>
      <c r="DC342" s="1"/>
      <c r="DD342" s="99"/>
      <c r="DF342" s="124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125"/>
    </row>
    <row r="343" spans="27:139" ht="6.95" customHeight="1" x14ac:dyDescent="0.15">
      <c r="AD343" s="56"/>
      <c r="AE343" s="3"/>
      <c r="AF343" s="3"/>
      <c r="AG343" s="3"/>
      <c r="AH343" s="3"/>
      <c r="AI343" s="4"/>
      <c r="AJ343" s="186"/>
      <c r="AK343" s="186"/>
      <c r="AL343" s="186"/>
      <c r="AM343" s="186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187"/>
      <c r="BC343" s="187"/>
      <c r="BD343" s="187"/>
      <c r="BE343" s="88"/>
      <c r="BF343" s="88"/>
      <c r="BG343" s="88"/>
      <c r="BH343" s="103"/>
      <c r="BI343" s="103"/>
      <c r="BJ343" s="103"/>
      <c r="BK343" s="103"/>
      <c r="BL343" s="103"/>
      <c r="BM343" s="103"/>
      <c r="BN343" s="103"/>
      <c r="BO343" s="103"/>
      <c r="BP343" s="99"/>
      <c r="BQ343" s="110"/>
      <c r="BR343" s="56"/>
      <c r="BS343" s="3"/>
      <c r="BT343" s="3"/>
      <c r="BU343" s="3"/>
      <c r="BV343" s="3"/>
      <c r="BW343" s="4"/>
      <c r="BX343" s="194"/>
      <c r="BY343" s="194"/>
      <c r="BZ343" s="194"/>
      <c r="CA343" s="2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195">
        <f>CHOOSE(SUM((BR288&gt;={700,750,800,850,900,950})*1), 290,360,430,500,570,640)</f>
        <v>360</v>
      </c>
      <c r="CQ343" s="195"/>
      <c r="CR343" s="195"/>
      <c r="CS343" s="88"/>
      <c r="CT343" s="88"/>
      <c r="CU343" s="88"/>
      <c r="CV343" s="196" t="s">
        <v>42</v>
      </c>
      <c r="CW343" s="196"/>
      <c r="CX343" s="196"/>
      <c r="CY343" s="196">
        <v>4</v>
      </c>
      <c r="CZ343" s="196"/>
      <c r="DA343" s="196" t="s">
        <v>43</v>
      </c>
      <c r="DB343" s="196"/>
      <c r="DC343" s="196"/>
      <c r="DD343" s="99"/>
      <c r="DF343" s="124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125"/>
    </row>
    <row r="344" spans="27:139" ht="6.95" customHeight="1" x14ac:dyDescent="0.15">
      <c r="AD344" s="56"/>
      <c r="AE344" s="3"/>
      <c r="AF344" s="3"/>
      <c r="AG344" s="3"/>
      <c r="AH344" s="3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187"/>
      <c r="BC344" s="187"/>
      <c r="BD344" s="187"/>
      <c r="BE344" s="88"/>
      <c r="BF344" s="88"/>
      <c r="BG344" s="88"/>
      <c r="BH344" s="103"/>
      <c r="BI344" s="103"/>
      <c r="BJ344" s="103"/>
      <c r="BK344" s="103"/>
      <c r="BL344" s="103"/>
      <c r="BM344" s="103"/>
      <c r="BN344" s="103"/>
      <c r="BO344" s="103"/>
      <c r="BP344" s="99"/>
      <c r="BQ344" s="110"/>
      <c r="BR344" s="56"/>
      <c r="BS344" s="3"/>
      <c r="BT344" s="3"/>
      <c r="BU344" s="3"/>
      <c r="BV344" s="3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195"/>
      <c r="CQ344" s="195"/>
      <c r="CR344" s="195"/>
      <c r="CS344" s="88"/>
      <c r="CT344" s="88"/>
      <c r="CU344" s="88"/>
      <c r="CV344" s="196"/>
      <c r="CW344" s="196"/>
      <c r="CX344" s="196"/>
      <c r="CY344" s="196"/>
      <c r="CZ344" s="196"/>
      <c r="DA344" s="196"/>
      <c r="DB344" s="196"/>
      <c r="DC344" s="196"/>
      <c r="DD344" s="99"/>
      <c r="DF344" s="124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125"/>
    </row>
    <row r="345" spans="27:139" ht="6.95" customHeight="1" thickBot="1" x14ac:dyDescent="0.2">
      <c r="AD345" s="57"/>
      <c r="AE345" s="51"/>
      <c r="AF345" s="51"/>
      <c r="AG345" s="51"/>
      <c r="AH345" s="51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100"/>
      <c r="BI345" s="100"/>
      <c r="BJ345" s="100"/>
      <c r="BK345" s="100"/>
      <c r="BL345" s="100"/>
      <c r="BM345" s="100"/>
      <c r="BN345" s="100"/>
      <c r="BO345" s="100"/>
      <c r="BP345" s="101"/>
      <c r="BQ345" s="110"/>
      <c r="BR345" s="57"/>
      <c r="BS345" s="51"/>
      <c r="BT345" s="51"/>
      <c r="BU345" s="51"/>
      <c r="BV345" s="51"/>
      <c r="BW345" s="55"/>
      <c r="BX345" s="55"/>
      <c r="BY345" s="55"/>
      <c r="BZ345" s="55"/>
      <c r="CA345" s="55"/>
      <c r="CB345" s="55"/>
      <c r="CC345" s="55"/>
      <c r="CD345" s="55"/>
      <c r="CE345" s="55"/>
      <c r="CF345" s="55"/>
      <c r="CG345" s="55"/>
      <c r="CH345" s="55"/>
      <c r="CI345" s="55"/>
      <c r="CJ345" s="55"/>
      <c r="CK345" s="55"/>
      <c r="CL345" s="55"/>
      <c r="CM345" s="55"/>
      <c r="CN345" s="55"/>
      <c r="CO345" s="55"/>
      <c r="CP345" s="55"/>
      <c r="CQ345" s="55"/>
      <c r="CR345" s="55"/>
      <c r="CS345" s="55"/>
      <c r="CT345" s="55"/>
      <c r="CU345" s="55"/>
      <c r="CV345" s="100"/>
      <c r="CW345" s="100"/>
      <c r="CX345" s="100"/>
      <c r="CY345" s="100"/>
      <c r="CZ345" s="100"/>
      <c r="DA345" s="100"/>
      <c r="DB345" s="100"/>
      <c r="DC345" s="100"/>
      <c r="DD345" s="101"/>
      <c r="DF345" s="124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125"/>
    </row>
    <row r="346" spans="27:139" ht="6.95" customHeight="1" thickBot="1" x14ac:dyDescent="0.2">
      <c r="AD346" s="216">
        <v>800</v>
      </c>
      <c r="AE346" s="216"/>
      <c r="AF346" s="216"/>
      <c r="BQ346" s="110"/>
      <c r="BR346" s="216">
        <v>800</v>
      </c>
      <c r="BS346" s="216"/>
      <c r="BT346" s="216"/>
      <c r="DF346" s="124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125"/>
    </row>
    <row r="347" spans="27:139" ht="6.95" customHeight="1" x14ac:dyDescent="0.15">
      <c r="AD347" s="108" t="s">
        <v>25</v>
      </c>
      <c r="AE347" s="109"/>
      <c r="AF347" s="109"/>
      <c r="AG347" s="109"/>
      <c r="AH347" s="109"/>
      <c r="AI347" s="202" t="s">
        <v>40</v>
      </c>
      <c r="AJ347" s="202"/>
      <c r="AK347" s="202">
        <v>1</v>
      </c>
      <c r="AL347" s="202"/>
      <c r="AM347" s="202" t="s">
        <v>41</v>
      </c>
      <c r="AN347" s="202"/>
      <c r="AO347" s="202"/>
      <c r="AP347" s="202"/>
      <c r="AQ347" s="202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6">
        <f>SUM(AR365,BK365,AR374,BK374,BK401,AW396,AW394,BK382,AR382)*AK347</f>
        <v>18</v>
      </c>
      <c r="BN347" s="206"/>
      <c r="BO347" s="206"/>
      <c r="BP347" s="208"/>
      <c r="BQ347" s="110"/>
      <c r="BR347" s="108" t="s">
        <v>25</v>
      </c>
      <c r="BS347" s="109"/>
      <c r="BT347" s="109"/>
      <c r="BU347" s="109"/>
      <c r="BV347" s="109"/>
      <c r="BW347" s="202" t="s">
        <v>40</v>
      </c>
      <c r="BX347" s="202"/>
      <c r="BY347" s="202">
        <v>1</v>
      </c>
      <c r="BZ347" s="202"/>
      <c r="CA347" s="202" t="s">
        <v>41</v>
      </c>
      <c r="CB347" s="202"/>
      <c r="CC347" s="202"/>
      <c r="CD347" s="202"/>
      <c r="CE347" s="202"/>
      <c r="CF347" s="204"/>
      <c r="CG347" s="204"/>
      <c r="CH347" s="204"/>
      <c r="CI347" s="204"/>
      <c r="CJ347" s="204"/>
      <c r="CK347" s="204"/>
      <c r="CL347" s="204"/>
      <c r="CM347" s="204"/>
      <c r="CN347" s="204"/>
      <c r="CO347" s="204"/>
      <c r="CP347" s="204"/>
      <c r="CQ347" s="204"/>
      <c r="CR347" s="204"/>
      <c r="CS347" s="204"/>
      <c r="CT347" s="204"/>
      <c r="CU347" s="204"/>
      <c r="CV347" s="204"/>
      <c r="CW347" s="204"/>
      <c r="CX347" s="204"/>
      <c r="CY347" s="204"/>
      <c r="CZ347" s="204"/>
      <c r="DA347" s="206">
        <f>SUM(CF365,CY365,CF374,CY374,CY401,CK396,CK394,CY382,CF382)*BY347</f>
        <v>18</v>
      </c>
      <c r="DB347" s="206"/>
      <c r="DC347" s="206"/>
      <c r="DD347" s="208"/>
      <c r="DF347" s="124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125"/>
    </row>
    <row r="348" spans="27:139" ht="6.95" customHeight="1" thickBot="1" x14ac:dyDescent="0.2">
      <c r="AD348" s="80"/>
      <c r="AE348" s="81"/>
      <c r="AF348" s="81"/>
      <c r="AG348" s="81"/>
      <c r="AH348" s="81"/>
      <c r="AI348" s="203"/>
      <c r="AJ348" s="203"/>
      <c r="AK348" s="203"/>
      <c r="AL348" s="203"/>
      <c r="AM348" s="203"/>
      <c r="AN348" s="203"/>
      <c r="AO348" s="203"/>
      <c r="AP348" s="203"/>
      <c r="AQ348" s="203"/>
      <c r="AR348" s="205"/>
      <c r="AS348" s="205"/>
      <c r="AT348" s="205"/>
      <c r="AU348" s="205"/>
      <c r="AV348" s="205"/>
      <c r="AW348" s="205"/>
      <c r="AX348" s="205"/>
      <c r="AY348" s="205"/>
      <c r="AZ348" s="205"/>
      <c r="BA348" s="205"/>
      <c r="BB348" s="205"/>
      <c r="BC348" s="205"/>
      <c r="BD348" s="205"/>
      <c r="BE348" s="205"/>
      <c r="BF348" s="205"/>
      <c r="BG348" s="205"/>
      <c r="BH348" s="205"/>
      <c r="BI348" s="205"/>
      <c r="BJ348" s="205"/>
      <c r="BK348" s="205"/>
      <c r="BL348" s="205"/>
      <c r="BM348" s="207"/>
      <c r="BN348" s="207"/>
      <c r="BO348" s="207"/>
      <c r="BP348" s="209"/>
      <c r="BQ348" s="110"/>
      <c r="BR348" s="80"/>
      <c r="BS348" s="81"/>
      <c r="BT348" s="81"/>
      <c r="BU348" s="81"/>
      <c r="BV348" s="81"/>
      <c r="BW348" s="203"/>
      <c r="BX348" s="203"/>
      <c r="BY348" s="203"/>
      <c r="BZ348" s="203"/>
      <c r="CA348" s="203"/>
      <c r="CB348" s="203"/>
      <c r="CC348" s="203"/>
      <c r="CD348" s="203"/>
      <c r="CE348" s="203"/>
      <c r="CF348" s="205"/>
      <c r="CG348" s="205"/>
      <c r="CH348" s="205"/>
      <c r="CI348" s="205"/>
      <c r="CJ348" s="205"/>
      <c r="CK348" s="205"/>
      <c r="CL348" s="205"/>
      <c r="CM348" s="205"/>
      <c r="CN348" s="205"/>
      <c r="CO348" s="205"/>
      <c r="CP348" s="205"/>
      <c r="CQ348" s="205"/>
      <c r="CR348" s="205"/>
      <c r="CS348" s="205"/>
      <c r="CT348" s="205"/>
      <c r="CU348" s="205"/>
      <c r="CV348" s="205"/>
      <c r="CW348" s="205"/>
      <c r="CX348" s="205"/>
      <c r="CY348" s="205"/>
      <c r="CZ348" s="205"/>
      <c r="DA348" s="207"/>
      <c r="DB348" s="207"/>
      <c r="DC348" s="207"/>
      <c r="DD348" s="209"/>
      <c r="DF348" s="124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125"/>
    </row>
    <row r="349" spans="27:139" ht="6.95" customHeight="1" x14ac:dyDescent="0.15">
      <c r="AD349" s="5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1"/>
      <c r="BI349" s="1"/>
      <c r="BJ349" s="1"/>
      <c r="BK349" s="1"/>
      <c r="BL349" s="1"/>
      <c r="BM349" s="1"/>
      <c r="BN349" s="92"/>
      <c r="BO349" s="92"/>
      <c r="BP349" s="98"/>
      <c r="BQ349" s="110"/>
      <c r="BR349" s="5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1"/>
      <c r="CW349" s="1"/>
      <c r="CX349" s="1"/>
      <c r="CY349" s="1"/>
      <c r="CZ349" s="1"/>
      <c r="DA349" s="1"/>
      <c r="DB349" s="92"/>
      <c r="DC349" s="92"/>
      <c r="DD349" s="98"/>
      <c r="DF349" s="124"/>
      <c r="DG349" s="82"/>
      <c r="DH349" s="82"/>
      <c r="DI349" s="82"/>
      <c r="DJ349" s="82"/>
      <c r="DK349" s="82"/>
      <c r="DL349" s="82"/>
      <c r="DM349" s="82"/>
      <c r="DN349" s="82"/>
      <c r="DO349" s="82"/>
      <c r="DP349" s="2"/>
      <c r="DQ349" s="2"/>
      <c r="DR349" s="82"/>
      <c r="DS349" s="82"/>
      <c r="DT349" s="82"/>
      <c r="DU349" s="82"/>
      <c r="DV349" s="82"/>
      <c r="DW349" s="82"/>
      <c r="DX349" s="82"/>
      <c r="DY349" s="82"/>
      <c r="DZ349" s="82"/>
      <c r="EA349" s="82"/>
      <c r="EB349" s="82"/>
      <c r="EC349" s="82"/>
      <c r="ED349" s="82"/>
      <c r="EE349" s="82"/>
      <c r="EF349" s="82"/>
      <c r="EG349" s="82"/>
      <c r="EH349" s="82"/>
      <c r="EI349" s="126"/>
    </row>
    <row r="350" spans="27:139" ht="6.95" customHeight="1" x14ac:dyDescent="0.15">
      <c r="AD350" s="5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1"/>
      <c r="BI350" s="1"/>
      <c r="BJ350" s="1"/>
      <c r="BK350" s="1"/>
      <c r="BL350" s="1"/>
      <c r="BM350" s="1"/>
      <c r="BN350" s="1"/>
      <c r="BO350" s="1"/>
      <c r="BP350" s="99"/>
      <c r="BQ350" s="110"/>
      <c r="BR350" s="5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1"/>
      <c r="CW350" s="1"/>
      <c r="CX350" s="1"/>
      <c r="CY350" s="1"/>
      <c r="CZ350" s="1"/>
      <c r="DA350" s="1"/>
      <c r="DB350" s="1"/>
      <c r="DC350" s="1"/>
      <c r="DD350" s="99"/>
      <c r="DF350" s="127"/>
      <c r="DG350" s="82"/>
      <c r="DH350" s="82"/>
      <c r="DI350" s="82"/>
      <c r="DJ350" s="82"/>
      <c r="DK350" s="82"/>
      <c r="DL350" s="82"/>
      <c r="DM350" s="82"/>
      <c r="DN350" s="82"/>
      <c r="DO350" s="82"/>
      <c r="DP350" s="2"/>
      <c r="DQ350" s="2"/>
      <c r="DR350" s="82"/>
      <c r="DS350" s="82"/>
      <c r="DT350" s="82"/>
      <c r="DU350" s="82"/>
      <c r="DV350" s="82"/>
      <c r="DW350" s="82"/>
      <c r="DX350" s="82"/>
      <c r="DY350" s="82"/>
      <c r="DZ350" s="82"/>
      <c r="EA350" s="82"/>
      <c r="EB350" s="82"/>
      <c r="EC350" s="82"/>
      <c r="ED350" s="82"/>
      <c r="EE350" s="82"/>
      <c r="EF350" s="82"/>
      <c r="EG350" s="82"/>
      <c r="EH350" s="82"/>
      <c r="EI350" s="126"/>
    </row>
    <row r="351" spans="27:139" ht="6.95" customHeight="1" x14ac:dyDescent="0.15">
      <c r="AD351" s="5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1"/>
      <c r="BI351" s="1"/>
      <c r="BJ351" s="1"/>
      <c r="BK351" s="1"/>
      <c r="BL351" s="1"/>
      <c r="BM351" s="1"/>
      <c r="BN351" s="1"/>
      <c r="BO351" s="1"/>
      <c r="BP351" s="99"/>
      <c r="BQ351" s="110"/>
      <c r="BR351" s="5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1"/>
      <c r="CW351" s="1"/>
      <c r="CX351" s="1"/>
      <c r="CY351" s="1"/>
      <c r="CZ351" s="1"/>
      <c r="DA351" s="1"/>
      <c r="DB351" s="1"/>
      <c r="DC351" s="1"/>
      <c r="DD351" s="99"/>
      <c r="DF351" s="127"/>
      <c r="DG351" s="85"/>
      <c r="DH351" s="85"/>
      <c r="DI351" s="85"/>
      <c r="DJ351" s="85"/>
      <c r="DK351" s="85"/>
      <c r="DL351" s="82"/>
      <c r="DM351" s="82"/>
      <c r="DN351" s="82"/>
      <c r="DO351" s="82"/>
      <c r="DP351" s="85"/>
      <c r="DQ351" s="85"/>
      <c r="DR351" s="85"/>
      <c r="DS351" s="85"/>
      <c r="DT351" s="85"/>
      <c r="DU351" s="85"/>
      <c r="DV351" s="82"/>
      <c r="DW351" s="82"/>
      <c r="DX351" s="82"/>
      <c r="DY351" s="82"/>
      <c r="DZ351" s="85"/>
      <c r="EA351" s="85"/>
      <c r="EB351" s="85"/>
      <c r="EC351" s="85"/>
      <c r="ED351" s="85"/>
      <c r="EE351" s="82"/>
      <c r="EF351" s="82"/>
      <c r="EG351" s="82"/>
      <c r="EH351" s="82"/>
      <c r="EI351" s="128"/>
    </row>
    <row r="352" spans="27:139" ht="6.95" customHeight="1" x14ac:dyDescent="0.15">
      <c r="AD352" s="5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1"/>
      <c r="BI352" s="1"/>
      <c r="BJ352" s="1"/>
      <c r="BK352" s="1"/>
      <c r="BL352" s="1"/>
      <c r="BM352" s="1"/>
      <c r="BN352" s="1"/>
      <c r="BO352" s="1"/>
      <c r="BP352" s="99"/>
      <c r="BQ352" s="110"/>
      <c r="BR352" s="5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1"/>
      <c r="CW352" s="1"/>
      <c r="CX352" s="1"/>
      <c r="CY352" s="1"/>
      <c r="CZ352" s="1"/>
      <c r="DA352" s="1"/>
      <c r="DB352" s="1"/>
      <c r="DC352" s="1"/>
      <c r="DD352" s="99"/>
      <c r="DF352" s="127"/>
      <c r="DG352" s="3"/>
      <c r="DH352" s="3"/>
      <c r="DI352" s="3"/>
      <c r="DJ352" s="3"/>
      <c r="DK352" s="3"/>
      <c r="DL352" s="2"/>
      <c r="DM352" s="2"/>
      <c r="DN352" s="85"/>
      <c r="DO352" s="85"/>
      <c r="DP352" s="85"/>
      <c r="DQ352" s="85"/>
      <c r="DR352" s="85"/>
      <c r="DS352" s="3"/>
      <c r="DT352" s="3"/>
      <c r="DU352" s="3"/>
      <c r="DV352" s="2"/>
      <c r="DW352" s="2"/>
      <c r="DX352" s="85"/>
      <c r="DY352" s="85"/>
      <c r="DZ352" s="3"/>
      <c r="EA352" s="3"/>
      <c r="EB352" s="3"/>
      <c r="EC352" s="3"/>
      <c r="ED352" s="3"/>
      <c r="EE352" s="2"/>
      <c r="EF352" s="2"/>
      <c r="EG352" s="85"/>
      <c r="EH352" s="85"/>
      <c r="EI352" s="128"/>
    </row>
    <row r="353" spans="30:139" ht="6.95" customHeight="1" x14ac:dyDescent="0.15">
      <c r="AD353" s="5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1"/>
      <c r="BI353" s="1"/>
      <c r="BJ353" s="1"/>
      <c r="BK353" s="1"/>
      <c r="BL353" s="1"/>
      <c r="BM353" s="1"/>
      <c r="BN353" s="1"/>
      <c r="BO353" s="1"/>
      <c r="BP353" s="99"/>
      <c r="BQ353" s="110"/>
      <c r="BR353" s="5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1"/>
      <c r="CW353" s="1"/>
      <c r="CX353" s="1"/>
      <c r="CY353" s="1"/>
      <c r="CZ353" s="1"/>
      <c r="DA353" s="1"/>
      <c r="DB353" s="1"/>
      <c r="DC353" s="1"/>
      <c r="DD353" s="99"/>
      <c r="DF353" s="127"/>
      <c r="DG353" s="3"/>
      <c r="DH353" s="3"/>
      <c r="DI353" s="3"/>
      <c r="DJ353" s="3"/>
      <c r="DK353" s="3"/>
      <c r="DL353" s="4"/>
      <c r="DM353" s="4"/>
      <c r="DN353" s="85"/>
      <c r="DO353" s="85"/>
      <c r="DP353" s="85"/>
      <c r="DQ353" s="85"/>
      <c r="DR353" s="85"/>
      <c r="DS353" s="3"/>
      <c r="DT353" s="3"/>
      <c r="DU353" s="3"/>
      <c r="DV353" s="4"/>
      <c r="DW353" s="4"/>
      <c r="DX353" s="85"/>
      <c r="DY353" s="85"/>
      <c r="DZ353" s="3"/>
      <c r="EA353" s="3"/>
      <c r="EB353" s="3"/>
      <c r="EC353" s="3"/>
      <c r="ED353" s="3"/>
      <c r="EE353" s="4"/>
      <c r="EF353" s="4"/>
      <c r="EG353" s="85"/>
      <c r="EH353" s="85"/>
      <c r="EI353" s="128"/>
    </row>
    <row r="354" spans="30:139" ht="6.95" customHeight="1" x14ac:dyDescent="0.15">
      <c r="AD354" s="5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1"/>
      <c r="BI354" s="1"/>
      <c r="BJ354" s="1"/>
      <c r="BK354" s="1"/>
      <c r="BL354" s="1"/>
      <c r="BM354" s="1"/>
      <c r="BN354" s="1"/>
      <c r="BO354" s="1"/>
      <c r="BP354" s="99"/>
      <c r="BQ354" s="110"/>
      <c r="BR354" s="5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1"/>
      <c r="CW354" s="1"/>
      <c r="CX354" s="1"/>
      <c r="CY354" s="1"/>
      <c r="CZ354" s="1"/>
      <c r="DA354" s="1"/>
      <c r="DB354" s="1"/>
      <c r="DC354" s="1"/>
      <c r="DD354" s="99"/>
      <c r="DF354" s="127"/>
      <c r="DG354" s="3"/>
      <c r="DH354" s="3"/>
      <c r="DI354" s="3"/>
      <c r="DJ354" s="3"/>
      <c r="DK354" s="3"/>
      <c r="DL354" s="4"/>
      <c r="DM354" s="4"/>
      <c r="DN354" s="84"/>
      <c r="DO354" s="84"/>
      <c r="DP354" s="84"/>
      <c r="DQ354" s="84"/>
      <c r="DR354" s="84"/>
      <c r="DS354" s="3"/>
      <c r="DT354" s="3"/>
      <c r="DU354" s="3"/>
      <c r="DV354" s="4"/>
      <c r="DW354" s="4"/>
      <c r="DX354" s="84"/>
      <c r="DY354" s="84"/>
      <c r="DZ354" s="3"/>
      <c r="EA354" s="3"/>
      <c r="EB354" s="3"/>
      <c r="EC354" s="3"/>
      <c r="ED354" s="3"/>
      <c r="EE354" s="4"/>
      <c r="EF354" s="4"/>
      <c r="EG354" s="84"/>
      <c r="EH354" s="84"/>
      <c r="EI354" s="129"/>
    </row>
    <row r="355" spans="30:139" ht="6.95" customHeight="1" x14ac:dyDescent="0.15">
      <c r="AD355" s="5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1"/>
      <c r="BI355" s="1"/>
      <c r="BJ355" s="1"/>
      <c r="BK355" s="1"/>
      <c r="BL355" s="1"/>
      <c r="BM355" s="1"/>
      <c r="BN355" s="1"/>
      <c r="BO355" s="1"/>
      <c r="BP355" s="99"/>
      <c r="BQ355" s="110"/>
      <c r="BR355" s="5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1"/>
      <c r="CW355" s="1"/>
      <c r="CX355" s="1"/>
      <c r="CY355" s="1"/>
      <c r="CZ355" s="1"/>
      <c r="DA355" s="1"/>
      <c r="DB355" s="1"/>
      <c r="DC355" s="1"/>
      <c r="DD355" s="99"/>
      <c r="DF355" s="127"/>
      <c r="DG355" s="3"/>
      <c r="DH355" s="3"/>
      <c r="DI355" s="3"/>
      <c r="DJ355" s="3"/>
      <c r="DK355" s="84"/>
      <c r="DL355" s="84"/>
      <c r="DM355" s="84"/>
      <c r="DN355" s="84"/>
      <c r="DO355" s="84"/>
      <c r="DP355" s="84"/>
      <c r="DQ355" s="84"/>
      <c r="DR355" s="84"/>
      <c r="DS355" s="3"/>
      <c r="DT355" s="84"/>
      <c r="DU355" s="84"/>
      <c r="DV355" s="84"/>
      <c r="DW355" s="84"/>
      <c r="DX355" s="84"/>
      <c r="DY355" s="84"/>
      <c r="DZ355" s="3"/>
      <c r="EA355" s="3"/>
      <c r="EB355" s="3"/>
      <c r="EC355" s="3"/>
      <c r="ED355" s="84"/>
      <c r="EE355" s="84"/>
      <c r="EF355" s="84"/>
      <c r="EG355" s="84"/>
      <c r="EH355" s="84"/>
      <c r="EI355" s="129"/>
    </row>
    <row r="356" spans="30:139" ht="6.95" customHeight="1" x14ac:dyDescent="0.15">
      <c r="AD356" s="210">
        <v>6</v>
      </c>
      <c r="AE356" s="211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1"/>
      <c r="BI356" s="1"/>
      <c r="BJ356" s="1"/>
      <c r="BK356" s="1"/>
      <c r="BL356" s="1"/>
      <c r="BM356" s="1"/>
      <c r="BN356" s="1"/>
      <c r="BO356" s="1"/>
      <c r="BP356" s="99"/>
      <c r="BQ356" s="110"/>
      <c r="BR356" s="210">
        <v>5</v>
      </c>
      <c r="BS356" s="211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1"/>
      <c r="CW356" s="1"/>
      <c r="CX356" s="1"/>
      <c r="CY356" s="1"/>
      <c r="CZ356" s="1"/>
      <c r="DA356" s="1"/>
      <c r="DB356" s="1"/>
      <c r="DC356" s="1"/>
      <c r="DD356" s="99"/>
      <c r="DF356" s="127"/>
      <c r="DG356" s="3"/>
      <c r="DH356" s="3"/>
      <c r="DI356" s="3"/>
      <c r="DJ356" s="3"/>
      <c r="DK356" s="84"/>
      <c r="DL356" s="84"/>
      <c r="DM356" s="84"/>
      <c r="DN356" s="84"/>
      <c r="DO356" s="84"/>
      <c r="DP356" s="88"/>
      <c r="DQ356" s="88"/>
      <c r="DR356" s="88"/>
      <c r="DS356" s="88"/>
      <c r="DT356" s="88"/>
      <c r="DU356" s="88"/>
      <c r="DV356" s="88"/>
      <c r="DW356" s="84"/>
      <c r="DX356" s="84"/>
      <c r="DY356" s="84"/>
      <c r="DZ356" s="3"/>
      <c r="EA356" s="3"/>
      <c r="EB356" s="3"/>
      <c r="EC356" s="3"/>
      <c r="ED356" s="84"/>
      <c r="EE356" s="84"/>
      <c r="EF356" s="84"/>
      <c r="EG356" s="84"/>
      <c r="EH356" s="84"/>
      <c r="EI356" s="130"/>
    </row>
    <row r="357" spans="30:139" ht="6.95" customHeight="1" thickBot="1" x14ac:dyDescent="0.2">
      <c r="AD357" s="212"/>
      <c r="AE357" s="21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100"/>
      <c r="BI357" s="100"/>
      <c r="BJ357" s="100"/>
      <c r="BK357" s="100"/>
      <c r="BL357" s="100"/>
      <c r="BM357" s="100"/>
      <c r="BN357" s="100"/>
      <c r="BO357" s="100"/>
      <c r="BP357" s="101"/>
      <c r="BQ357" s="110"/>
      <c r="BR357" s="212"/>
      <c r="BS357" s="21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  <c r="CG357" s="53"/>
      <c r="CH357" s="53"/>
      <c r="CI357" s="53"/>
      <c r="CJ357" s="53"/>
      <c r="CK357" s="53"/>
      <c r="CL357" s="53"/>
      <c r="CM357" s="53"/>
      <c r="CN357" s="53"/>
      <c r="CO357" s="53"/>
      <c r="CP357" s="53"/>
      <c r="CQ357" s="53"/>
      <c r="CR357" s="53"/>
      <c r="CS357" s="53"/>
      <c r="CT357" s="53"/>
      <c r="CU357" s="53"/>
      <c r="CV357" s="100"/>
      <c r="CW357" s="100"/>
      <c r="CX357" s="100"/>
      <c r="CY357" s="100"/>
      <c r="CZ357" s="100"/>
      <c r="DA357" s="100"/>
      <c r="DB357" s="100"/>
      <c r="DC357" s="100"/>
      <c r="DD357" s="101"/>
      <c r="DF357" s="124"/>
      <c r="DG357" s="2"/>
      <c r="DH357" s="2"/>
      <c r="DI357" s="2"/>
      <c r="DJ357" s="2"/>
      <c r="DK357" s="2"/>
      <c r="DL357" s="2"/>
      <c r="DM357" s="88"/>
      <c r="DN357" s="88"/>
      <c r="DO357" s="88"/>
      <c r="DP357" s="88"/>
      <c r="DQ357" s="88"/>
      <c r="DR357" s="88"/>
      <c r="DS357" s="88"/>
      <c r="DT357" s="88"/>
      <c r="DU357" s="88"/>
      <c r="DV357" s="88"/>
      <c r="DW357" s="88"/>
      <c r="DX357" s="88"/>
      <c r="DY357" s="88"/>
      <c r="DZ357" s="2"/>
      <c r="EA357" s="2"/>
      <c r="EB357" s="2"/>
      <c r="EC357" s="2"/>
      <c r="ED357" s="2"/>
      <c r="EE357" s="2"/>
      <c r="EF357" s="88"/>
      <c r="EG357" s="88"/>
      <c r="EH357" s="88"/>
      <c r="EI357" s="130"/>
    </row>
    <row r="358" spans="30:139" ht="6.95" customHeight="1" x14ac:dyDescent="0.15">
      <c r="AD358" s="52"/>
      <c r="AE358" s="2"/>
      <c r="AF358" s="214" t="s">
        <v>26</v>
      </c>
      <c r="AG358" s="214"/>
      <c r="AH358" s="214"/>
      <c r="AI358" s="214"/>
      <c r="AJ358" s="82"/>
      <c r="AK358" s="82"/>
      <c r="AL358" s="82"/>
      <c r="AM358" s="82"/>
      <c r="AN358" s="82"/>
      <c r="AO358" s="2"/>
      <c r="AP358" s="2"/>
      <c r="AQ358" s="82"/>
      <c r="AR358" s="82"/>
      <c r="AS358" s="82"/>
      <c r="AT358" s="82"/>
      <c r="AU358" s="82"/>
      <c r="AV358" s="82"/>
      <c r="AW358" s="82"/>
      <c r="AX358" s="82"/>
      <c r="AY358" s="214" t="s">
        <v>26</v>
      </c>
      <c r="AZ358" s="214"/>
      <c r="BA358" s="214"/>
      <c r="BB358" s="214"/>
      <c r="BC358" s="82"/>
      <c r="BD358" s="82"/>
      <c r="BE358" s="82"/>
      <c r="BF358" s="82"/>
      <c r="BG358" s="82"/>
      <c r="BH358" s="2"/>
      <c r="BI358" s="2"/>
      <c r="BJ358" s="82"/>
      <c r="BK358" s="82"/>
      <c r="BL358" s="82"/>
      <c r="BM358" s="82"/>
      <c r="BN358" s="82"/>
      <c r="BO358" s="82"/>
      <c r="BP358" s="99"/>
      <c r="BQ358" s="110"/>
      <c r="BR358" s="52"/>
      <c r="BS358" s="2"/>
      <c r="BT358" s="214" t="s">
        <v>26</v>
      </c>
      <c r="BU358" s="214"/>
      <c r="BV358" s="214"/>
      <c r="BW358" s="214"/>
      <c r="BX358" s="82"/>
      <c r="BY358" s="82"/>
      <c r="BZ358" s="82"/>
      <c r="CA358" s="82"/>
      <c r="CB358" s="82"/>
      <c r="CC358" s="2"/>
      <c r="CD358" s="2"/>
      <c r="CE358" s="82"/>
      <c r="CF358" s="82"/>
      <c r="CG358" s="82"/>
      <c r="CH358" s="82"/>
      <c r="CI358" s="82"/>
      <c r="CJ358" s="82"/>
      <c r="CK358" s="82"/>
      <c r="CL358" s="82"/>
      <c r="CM358" s="214" t="s">
        <v>26</v>
      </c>
      <c r="CN358" s="214"/>
      <c r="CO358" s="214"/>
      <c r="CP358" s="214"/>
      <c r="CQ358" s="82"/>
      <c r="CR358" s="82"/>
      <c r="CS358" s="82"/>
      <c r="CT358" s="82"/>
      <c r="CU358" s="82"/>
      <c r="CV358" s="2"/>
      <c r="CW358" s="2"/>
      <c r="CX358" s="82"/>
      <c r="CY358" s="82"/>
      <c r="CZ358" s="82"/>
      <c r="DA358" s="82"/>
      <c r="DB358" s="82"/>
      <c r="DC358" s="82"/>
      <c r="DD358" s="99"/>
      <c r="DF358" s="127"/>
      <c r="DG358" s="82"/>
      <c r="DH358" s="82"/>
      <c r="DI358" s="82"/>
      <c r="DJ358" s="2"/>
      <c r="DK358" s="82"/>
      <c r="DL358" s="82"/>
      <c r="DM358" s="82"/>
      <c r="DN358" s="2"/>
      <c r="DO358" s="2"/>
      <c r="DP358" s="2"/>
      <c r="DQ358" s="2"/>
      <c r="DR358" s="2"/>
      <c r="DS358" s="2"/>
      <c r="DT358" s="2"/>
      <c r="DU358" s="2"/>
      <c r="DV358" s="82"/>
      <c r="DW358" s="88"/>
      <c r="DX358" s="88"/>
      <c r="DY358" s="3"/>
      <c r="DZ358" s="82"/>
      <c r="EA358" s="82"/>
      <c r="EB358" s="82"/>
      <c r="EC358" s="82"/>
      <c r="ED358" s="82"/>
      <c r="EE358" s="82"/>
      <c r="EF358" s="3"/>
      <c r="EG358" s="3"/>
      <c r="EH358" s="3"/>
      <c r="EI358" s="131"/>
    </row>
    <row r="359" spans="30:139" ht="6.95" customHeight="1" x14ac:dyDescent="0.15">
      <c r="AD359" s="56"/>
      <c r="AE359" s="3"/>
      <c r="AF359" s="197"/>
      <c r="AG359" s="197"/>
      <c r="AH359" s="197"/>
      <c r="AI359" s="197"/>
      <c r="AJ359" s="82"/>
      <c r="AK359" s="197">
        <f>IF(AF358="D16",750, IF(AF358="D13",600))</f>
        <v>750</v>
      </c>
      <c r="AL359" s="197"/>
      <c r="AM359" s="197"/>
      <c r="AN359" s="197"/>
      <c r="AO359" s="2"/>
      <c r="AP359" s="2"/>
      <c r="AQ359" s="82"/>
      <c r="AR359" s="82"/>
      <c r="AS359" s="82"/>
      <c r="AT359" s="82"/>
      <c r="AU359" s="82"/>
      <c r="AV359" s="82"/>
      <c r="AW359" s="82"/>
      <c r="AX359" s="82"/>
      <c r="AY359" s="197"/>
      <c r="AZ359" s="197"/>
      <c r="BA359" s="197"/>
      <c r="BB359" s="197"/>
      <c r="BC359" s="82"/>
      <c r="BD359" s="197">
        <f>IF(AY358="D16",750, IF(AY358="D13",600))</f>
        <v>750</v>
      </c>
      <c r="BE359" s="197"/>
      <c r="BF359" s="197"/>
      <c r="BG359" s="197"/>
      <c r="BH359" s="2"/>
      <c r="BI359" s="2"/>
      <c r="BJ359" s="82"/>
      <c r="BK359" s="82"/>
      <c r="BL359" s="82"/>
      <c r="BM359" s="82"/>
      <c r="BN359" s="82"/>
      <c r="BO359" s="82"/>
      <c r="BP359" s="99"/>
      <c r="BQ359" s="110"/>
      <c r="BR359" s="56"/>
      <c r="BS359" s="3"/>
      <c r="BT359" s="197"/>
      <c r="BU359" s="197"/>
      <c r="BV359" s="197"/>
      <c r="BW359" s="197"/>
      <c r="BX359" s="82"/>
      <c r="BY359" s="197">
        <f>IF(BT358="D16",750, IF(BT358="D13",600))</f>
        <v>750</v>
      </c>
      <c r="BZ359" s="197"/>
      <c r="CA359" s="197"/>
      <c r="CB359" s="197"/>
      <c r="CC359" s="2"/>
      <c r="CD359" s="2"/>
      <c r="CE359" s="82"/>
      <c r="CF359" s="82"/>
      <c r="CG359" s="82"/>
      <c r="CH359" s="82"/>
      <c r="CI359" s="82"/>
      <c r="CJ359" s="82"/>
      <c r="CK359" s="82"/>
      <c r="CL359" s="82"/>
      <c r="CM359" s="197"/>
      <c r="CN359" s="197"/>
      <c r="CO359" s="197"/>
      <c r="CP359" s="197"/>
      <c r="CQ359" s="82"/>
      <c r="CR359" s="197">
        <f>IF(CM358="D16",750, IF(CM358="D13",600))</f>
        <v>750</v>
      </c>
      <c r="CS359" s="197"/>
      <c r="CT359" s="197"/>
      <c r="CU359" s="197"/>
      <c r="CV359" s="2"/>
      <c r="CW359" s="2"/>
      <c r="CX359" s="82"/>
      <c r="CY359" s="82"/>
      <c r="CZ359" s="82"/>
      <c r="DA359" s="82"/>
      <c r="DB359" s="82"/>
      <c r="DC359" s="82"/>
      <c r="DD359" s="99"/>
      <c r="DF359" s="127"/>
      <c r="DG359" s="82"/>
      <c r="DH359" s="82"/>
      <c r="DI359" s="82"/>
      <c r="DJ359" s="2"/>
      <c r="DK359" s="82"/>
      <c r="DL359" s="82"/>
      <c r="DM359" s="82"/>
      <c r="DN359" s="2"/>
      <c r="DO359" s="2"/>
      <c r="DP359" s="2"/>
      <c r="DQ359" s="2"/>
      <c r="DR359" s="2"/>
      <c r="DS359" s="2"/>
      <c r="DT359" s="2"/>
      <c r="DU359" s="2"/>
      <c r="DV359" s="3"/>
      <c r="DW359" s="82"/>
      <c r="DX359" s="82"/>
      <c r="DY359" s="3"/>
      <c r="DZ359" s="82"/>
      <c r="EA359" s="82"/>
      <c r="EB359" s="82"/>
      <c r="EC359" s="82"/>
      <c r="ED359" s="82"/>
      <c r="EE359" s="82"/>
      <c r="EF359" s="3"/>
      <c r="EG359" s="3"/>
      <c r="EH359" s="3"/>
      <c r="EI359" s="131"/>
    </row>
    <row r="360" spans="30:139" ht="6.95" customHeight="1" x14ac:dyDescent="0.15">
      <c r="AD360" s="56"/>
      <c r="AE360" s="3"/>
      <c r="AF360" s="85"/>
      <c r="AG360" s="85"/>
      <c r="AH360" s="85"/>
      <c r="AI360" s="85"/>
      <c r="AJ360" s="85"/>
      <c r="AK360" s="197"/>
      <c r="AL360" s="197"/>
      <c r="AM360" s="197"/>
      <c r="AN360" s="197"/>
      <c r="AO360" s="85"/>
      <c r="AP360" s="85"/>
      <c r="AQ360" s="85"/>
      <c r="AR360" s="85"/>
      <c r="AS360" s="85"/>
      <c r="AT360" s="85"/>
      <c r="AU360" s="82"/>
      <c r="AV360" s="82"/>
      <c r="AW360" s="82"/>
      <c r="AX360" s="82"/>
      <c r="AY360" s="85"/>
      <c r="AZ360" s="85"/>
      <c r="BA360" s="85"/>
      <c r="BB360" s="85"/>
      <c r="BC360" s="85"/>
      <c r="BD360" s="197"/>
      <c r="BE360" s="197"/>
      <c r="BF360" s="197"/>
      <c r="BG360" s="197"/>
      <c r="BH360" s="85"/>
      <c r="BI360" s="85"/>
      <c r="BJ360" s="85"/>
      <c r="BK360" s="85"/>
      <c r="BL360" s="85"/>
      <c r="BM360" s="85"/>
      <c r="BN360" s="85"/>
      <c r="BO360" s="85"/>
      <c r="BP360" s="99"/>
      <c r="BQ360" s="110"/>
      <c r="BR360" s="56"/>
      <c r="BS360" s="3"/>
      <c r="BT360" s="85"/>
      <c r="BU360" s="85"/>
      <c r="BV360" s="85"/>
      <c r="BW360" s="85"/>
      <c r="BX360" s="85"/>
      <c r="BY360" s="197"/>
      <c r="BZ360" s="197"/>
      <c r="CA360" s="197"/>
      <c r="CB360" s="197"/>
      <c r="CC360" s="85"/>
      <c r="CD360" s="85"/>
      <c r="CE360" s="85"/>
      <c r="CF360" s="85"/>
      <c r="CG360" s="85"/>
      <c r="CH360" s="85"/>
      <c r="CI360" s="82"/>
      <c r="CJ360" s="82"/>
      <c r="CK360" s="82"/>
      <c r="CL360" s="82"/>
      <c r="CM360" s="85"/>
      <c r="CN360" s="85"/>
      <c r="CO360" s="85"/>
      <c r="CP360" s="85"/>
      <c r="CQ360" s="85"/>
      <c r="CR360" s="197"/>
      <c r="CS360" s="197"/>
      <c r="CT360" s="197"/>
      <c r="CU360" s="197"/>
      <c r="CV360" s="85"/>
      <c r="CW360" s="85"/>
      <c r="CX360" s="85"/>
      <c r="CY360" s="85"/>
      <c r="CZ360" s="85"/>
      <c r="DA360" s="85"/>
      <c r="DB360" s="85"/>
      <c r="DC360" s="85"/>
      <c r="DD360" s="99"/>
      <c r="DF360" s="127"/>
      <c r="DG360" s="3"/>
      <c r="DH360" s="3"/>
      <c r="DI360" s="3"/>
      <c r="DJ360" s="2"/>
      <c r="DK360" s="2"/>
      <c r="DL360" s="2"/>
      <c r="DM360" s="2"/>
      <c r="DN360" s="2"/>
      <c r="DO360" s="82"/>
      <c r="DP360" s="82"/>
      <c r="DQ360" s="82"/>
      <c r="DR360" s="82"/>
      <c r="DS360" s="82"/>
      <c r="DT360" s="82"/>
      <c r="DU360" s="2"/>
      <c r="DV360" s="3"/>
      <c r="DW360" s="82"/>
      <c r="DX360" s="82"/>
      <c r="DY360" s="82"/>
      <c r="DZ360" s="3"/>
      <c r="EA360" s="2"/>
      <c r="EB360" s="3"/>
      <c r="EC360" s="82"/>
      <c r="ED360" s="82"/>
      <c r="EE360" s="3"/>
      <c r="EF360" s="3"/>
      <c r="EG360" s="3"/>
      <c r="EH360" s="3"/>
      <c r="EI360" s="131"/>
    </row>
    <row r="361" spans="30:139" ht="6.95" customHeight="1" x14ac:dyDescent="0.15">
      <c r="AD361" s="56"/>
      <c r="AE361" s="3"/>
      <c r="AF361" s="3"/>
      <c r="AG361" s="3"/>
      <c r="AH361" s="3"/>
      <c r="AI361" s="3"/>
      <c r="AJ361" s="3"/>
      <c r="AK361" s="2"/>
      <c r="AL361" s="2"/>
      <c r="AM361" s="85"/>
      <c r="AN361" s="85"/>
      <c r="AO361" s="215">
        <f>CHOOSE(SUM((AD346&gt;={700,750,800,850,900,950})*1), 515,565,615,665,715,765)</f>
        <v>615</v>
      </c>
      <c r="AP361" s="215"/>
      <c r="AQ361" s="215"/>
      <c r="AR361" s="215"/>
      <c r="AS361" s="3"/>
      <c r="AT361" s="3"/>
      <c r="AU361" s="2"/>
      <c r="AV361" s="2"/>
      <c r="AW361" s="85"/>
      <c r="AX361" s="85"/>
      <c r="AY361" s="3"/>
      <c r="AZ361" s="3"/>
      <c r="BA361" s="3"/>
      <c r="BB361" s="3"/>
      <c r="BC361" s="3"/>
      <c r="BD361" s="2"/>
      <c r="BE361" s="2"/>
      <c r="BF361" s="85"/>
      <c r="BG361" s="85"/>
      <c r="BH361" s="215">
        <f>AO361-100</f>
        <v>515</v>
      </c>
      <c r="BI361" s="215"/>
      <c r="BJ361" s="215"/>
      <c r="BK361" s="215"/>
      <c r="BL361" s="3"/>
      <c r="BM361" s="3"/>
      <c r="BN361" s="3"/>
      <c r="BO361" s="3"/>
      <c r="BP361" s="99"/>
      <c r="BQ361" s="110"/>
      <c r="BR361" s="56"/>
      <c r="BS361" s="3"/>
      <c r="BT361" s="3"/>
      <c r="BU361" s="3"/>
      <c r="BV361" s="3"/>
      <c r="BW361" s="3"/>
      <c r="BX361" s="3"/>
      <c r="BY361" s="2"/>
      <c r="BZ361" s="2"/>
      <c r="CA361" s="85"/>
      <c r="CB361" s="85"/>
      <c r="CC361" s="215">
        <f>CHOOSE(SUM((BR346&gt;={700,750,800,850,900,950})*1), 515,565,615,665,715,765)</f>
        <v>615</v>
      </c>
      <c r="CD361" s="215"/>
      <c r="CE361" s="215"/>
      <c r="CF361" s="215"/>
      <c r="CG361" s="3"/>
      <c r="CH361" s="3"/>
      <c r="CI361" s="2"/>
      <c r="CJ361" s="2"/>
      <c r="CK361" s="85"/>
      <c r="CL361" s="85"/>
      <c r="CM361" s="3"/>
      <c r="CN361" s="3"/>
      <c r="CO361" s="3"/>
      <c r="CP361" s="3"/>
      <c r="CQ361" s="3"/>
      <c r="CR361" s="2"/>
      <c r="CS361" s="2"/>
      <c r="CT361" s="85"/>
      <c r="CU361" s="85"/>
      <c r="CV361" s="215">
        <f>CC361-100</f>
        <v>515</v>
      </c>
      <c r="CW361" s="215"/>
      <c r="CX361" s="215"/>
      <c r="CY361" s="215"/>
      <c r="CZ361" s="3"/>
      <c r="DA361" s="3"/>
      <c r="DB361" s="3"/>
      <c r="DC361" s="3"/>
      <c r="DD361" s="99"/>
      <c r="DF361" s="127"/>
      <c r="DG361" s="3"/>
      <c r="DH361" s="3"/>
      <c r="DI361" s="3"/>
      <c r="DJ361" s="4"/>
      <c r="DK361" s="4"/>
      <c r="DL361" s="4"/>
      <c r="DM361" s="4"/>
      <c r="DN361" s="4"/>
      <c r="DO361" s="82"/>
      <c r="DP361" s="82"/>
      <c r="DQ361" s="82"/>
      <c r="DR361" s="82"/>
      <c r="DS361" s="82"/>
      <c r="DT361" s="82"/>
      <c r="DU361" s="4"/>
      <c r="DV361" s="3"/>
      <c r="DW361" s="82"/>
      <c r="DX361" s="82"/>
      <c r="DY361" s="3"/>
      <c r="DZ361" s="3"/>
      <c r="EA361" s="2"/>
      <c r="EB361" s="3"/>
      <c r="EC361" s="3"/>
      <c r="ED361" s="3"/>
      <c r="EE361" s="3"/>
      <c r="EF361" s="3"/>
      <c r="EG361" s="3"/>
      <c r="EH361" s="3"/>
      <c r="EI361" s="132"/>
    </row>
    <row r="362" spans="30:139" ht="6.95" customHeight="1" x14ac:dyDescent="0.15">
      <c r="AD362" s="56"/>
      <c r="AE362" s="3"/>
      <c r="AF362" s="3"/>
      <c r="AG362" s="3"/>
      <c r="AH362" s="3"/>
      <c r="AI362" s="3"/>
      <c r="AJ362" s="3"/>
      <c r="AK362" s="4"/>
      <c r="AL362" s="4"/>
      <c r="AM362" s="85"/>
      <c r="AN362" s="85"/>
      <c r="AO362" s="215"/>
      <c r="AP362" s="215"/>
      <c r="AQ362" s="215"/>
      <c r="AR362" s="215"/>
      <c r="AS362" s="3"/>
      <c r="AT362" s="3"/>
      <c r="AU362" s="4"/>
      <c r="AV362" s="4"/>
      <c r="AW362" s="85"/>
      <c r="AX362" s="85"/>
      <c r="AY362" s="3"/>
      <c r="AZ362" s="3"/>
      <c r="BA362" s="3"/>
      <c r="BB362" s="3"/>
      <c r="BC362" s="3"/>
      <c r="BD362" s="4"/>
      <c r="BE362" s="4"/>
      <c r="BF362" s="85"/>
      <c r="BG362" s="85"/>
      <c r="BH362" s="215"/>
      <c r="BI362" s="215"/>
      <c r="BJ362" s="215"/>
      <c r="BK362" s="215"/>
      <c r="BL362" s="3"/>
      <c r="BM362" s="3"/>
      <c r="BN362" s="3"/>
      <c r="BO362" s="3"/>
      <c r="BP362" s="99"/>
      <c r="BQ362" s="110"/>
      <c r="BR362" s="56"/>
      <c r="BS362" s="3"/>
      <c r="BT362" s="3"/>
      <c r="BU362" s="3"/>
      <c r="BV362" s="3"/>
      <c r="BW362" s="3"/>
      <c r="BX362" s="3"/>
      <c r="BY362" s="4"/>
      <c r="BZ362" s="4"/>
      <c r="CA362" s="85"/>
      <c r="CB362" s="85"/>
      <c r="CC362" s="215"/>
      <c r="CD362" s="215"/>
      <c r="CE362" s="215"/>
      <c r="CF362" s="215"/>
      <c r="CG362" s="3"/>
      <c r="CH362" s="3"/>
      <c r="CI362" s="4"/>
      <c r="CJ362" s="4"/>
      <c r="CK362" s="85"/>
      <c r="CL362" s="85"/>
      <c r="CM362" s="3"/>
      <c r="CN362" s="3"/>
      <c r="CO362" s="3"/>
      <c r="CP362" s="3"/>
      <c r="CQ362" s="3"/>
      <c r="CR362" s="4"/>
      <c r="CS362" s="4"/>
      <c r="CT362" s="85"/>
      <c r="CU362" s="85"/>
      <c r="CV362" s="215"/>
      <c r="CW362" s="215"/>
      <c r="CX362" s="215"/>
      <c r="CY362" s="215"/>
      <c r="CZ362" s="3"/>
      <c r="DA362" s="3"/>
      <c r="DB362" s="3"/>
      <c r="DC362" s="3"/>
      <c r="DD362" s="99"/>
      <c r="DF362" s="127"/>
      <c r="DG362" s="3"/>
      <c r="DH362" s="3"/>
      <c r="DI362" s="3"/>
      <c r="DJ362" s="4"/>
      <c r="DK362" s="4"/>
      <c r="DL362" s="4"/>
      <c r="DM362" s="4"/>
      <c r="DN362" s="4"/>
      <c r="DO362" s="82"/>
      <c r="DP362" s="82"/>
      <c r="DQ362" s="82"/>
      <c r="DR362" s="4"/>
      <c r="DS362" s="4"/>
      <c r="DT362" s="4"/>
      <c r="DU362" s="4"/>
      <c r="DV362" s="3"/>
      <c r="DW362" s="3"/>
      <c r="DX362" s="3"/>
      <c r="DY362" s="3"/>
      <c r="DZ362" s="3"/>
      <c r="EA362" s="4"/>
      <c r="EB362" s="4"/>
      <c r="EC362" s="4"/>
      <c r="ED362" s="4"/>
      <c r="EE362" s="4"/>
      <c r="EF362" s="4"/>
      <c r="EG362" s="4"/>
      <c r="EH362" s="4"/>
      <c r="EI362" s="132"/>
    </row>
    <row r="363" spans="30:139" ht="6.95" customHeight="1" x14ac:dyDescent="0.15">
      <c r="AD363" s="56"/>
      <c r="AE363" s="3"/>
      <c r="AF363" s="3"/>
      <c r="AG363" s="3"/>
      <c r="AH363" s="3"/>
      <c r="AI363" s="3"/>
      <c r="AJ363" s="3"/>
      <c r="AK363" s="4"/>
      <c r="AL363" s="4"/>
      <c r="AM363" s="84"/>
      <c r="AN363" s="84"/>
      <c r="AO363" s="200" t="s">
        <v>29</v>
      </c>
      <c r="AP363" s="200"/>
      <c r="AQ363" s="200"/>
      <c r="AR363" s="200"/>
      <c r="AS363" s="3"/>
      <c r="AT363" s="3"/>
      <c r="AU363" s="4"/>
      <c r="AV363" s="4"/>
      <c r="AW363" s="84"/>
      <c r="AX363" s="84"/>
      <c r="AY363" s="3"/>
      <c r="AZ363" s="3"/>
      <c r="BA363" s="3"/>
      <c r="BB363" s="3"/>
      <c r="BC363" s="3"/>
      <c r="BD363" s="4"/>
      <c r="BE363" s="4"/>
      <c r="BF363" s="84"/>
      <c r="BG363" s="84"/>
      <c r="BH363" s="200" t="s">
        <v>29</v>
      </c>
      <c r="BI363" s="200"/>
      <c r="BJ363" s="200"/>
      <c r="BK363" s="200"/>
      <c r="BL363" s="3"/>
      <c r="BM363" s="3"/>
      <c r="BN363" s="3"/>
      <c r="BO363" s="3"/>
      <c r="BP363" s="99"/>
      <c r="BQ363" s="110"/>
      <c r="BR363" s="56"/>
      <c r="BS363" s="3"/>
      <c r="BT363" s="3"/>
      <c r="BU363" s="3"/>
      <c r="BV363" s="3"/>
      <c r="BW363" s="3"/>
      <c r="BX363" s="3"/>
      <c r="BY363" s="4"/>
      <c r="BZ363" s="4"/>
      <c r="CA363" s="84"/>
      <c r="CB363" s="84"/>
      <c r="CC363" s="200" t="s">
        <v>29</v>
      </c>
      <c r="CD363" s="200"/>
      <c r="CE363" s="200"/>
      <c r="CF363" s="200"/>
      <c r="CG363" s="3"/>
      <c r="CH363" s="3"/>
      <c r="CI363" s="4"/>
      <c r="CJ363" s="4"/>
      <c r="CK363" s="84"/>
      <c r="CL363" s="84"/>
      <c r="CM363" s="3"/>
      <c r="CN363" s="3"/>
      <c r="CO363" s="3"/>
      <c r="CP363" s="3"/>
      <c r="CQ363" s="3"/>
      <c r="CR363" s="4"/>
      <c r="CS363" s="4"/>
      <c r="CT363" s="84"/>
      <c r="CU363" s="84"/>
      <c r="CV363" s="200" t="s">
        <v>29</v>
      </c>
      <c r="CW363" s="200"/>
      <c r="CX363" s="200"/>
      <c r="CY363" s="200"/>
      <c r="CZ363" s="3"/>
      <c r="DA363" s="3"/>
      <c r="DB363" s="3"/>
      <c r="DC363" s="3"/>
      <c r="DD363" s="99"/>
      <c r="DF363" s="127"/>
      <c r="DG363" s="3"/>
      <c r="DH363" s="3"/>
      <c r="DI363" s="3"/>
      <c r="DJ363" s="4"/>
      <c r="DK363" s="4"/>
      <c r="DL363" s="4"/>
      <c r="DM363" s="4"/>
      <c r="DN363" s="88"/>
      <c r="DO363" s="88"/>
      <c r="DP363" s="88"/>
      <c r="DQ363" s="88"/>
      <c r="DR363" s="88"/>
      <c r="DS363" s="88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133"/>
    </row>
    <row r="364" spans="30:139" ht="6.95" customHeight="1" x14ac:dyDescent="0.15">
      <c r="AD364" s="56"/>
      <c r="AE364" s="3"/>
      <c r="AF364" s="3"/>
      <c r="AG364" s="3"/>
      <c r="AH364" s="3"/>
      <c r="AI364" s="3"/>
      <c r="AJ364" s="84"/>
      <c r="AK364" s="200">
        <f>IF(AF358="D13",CHOOSE(SUM((AO361&gt;={515,565,615,665,715,765})*1), 300, 250, 200, 150, 100, 100), CHOOSE(SUM((AO361&gt;={515,565,615,665,715,765})*1), 450, 400, 350, 300, 250, 200))</f>
        <v>350</v>
      </c>
      <c r="AL364" s="200"/>
      <c r="AM364" s="200"/>
      <c r="AN364" s="200"/>
      <c r="AO364" s="200"/>
      <c r="AP364" s="200"/>
      <c r="AQ364" s="200"/>
      <c r="AR364" s="200"/>
      <c r="AS364" s="84"/>
      <c r="AT364" s="84"/>
      <c r="AU364" s="84"/>
      <c r="AV364" s="84"/>
      <c r="AW364" s="84"/>
      <c r="AX364" s="84"/>
      <c r="AY364" s="3"/>
      <c r="AZ364" s="3"/>
      <c r="BA364" s="3"/>
      <c r="BB364" s="3"/>
      <c r="BC364" s="84"/>
      <c r="BD364" s="200">
        <f>IF(AY358="D13",CHOOSE(SUM((BH361&gt;={415,465,515,565,615,665})*1), 400, 350, 300, 250, 200, 150), CHOOSE(SUM((BH361&gt;={415,465,515,565,615,665})*1), 550, 500, 450, 400, 350, 300))</f>
        <v>450</v>
      </c>
      <c r="BE364" s="200"/>
      <c r="BF364" s="200"/>
      <c r="BG364" s="200"/>
      <c r="BH364" s="200"/>
      <c r="BI364" s="200"/>
      <c r="BJ364" s="200"/>
      <c r="BK364" s="200"/>
      <c r="BL364" s="84"/>
      <c r="BM364" s="84"/>
      <c r="BN364" s="3"/>
      <c r="BO364" s="84"/>
      <c r="BP364" s="99"/>
      <c r="BQ364" s="110"/>
      <c r="BR364" s="56"/>
      <c r="BS364" s="3"/>
      <c r="BT364" s="3"/>
      <c r="BU364" s="3"/>
      <c r="BV364" s="3"/>
      <c r="BW364" s="3"/>
      <c r="BX364" s="84"/>
      <c r="BY364" s="200">
        <f>IF(BT358="D13",CHOOSE(SUM((CC361&gt;={515,565,615,665,715,765})*1), 300, 250, 200, 150, 100, 100), CHOOSE(SUM((CC361&gt;={515,565,615,665,715,765})*1), 450, 400, 350, 300, 250, 200))</f>
        <v>350</v>
      </c>
      <c r="BZ364" s="200"/>
      <c r="CA364" s="200"/>
      <c r="CB364" s="200"/>
      <c r="CC364" s="200"/>
      <c r="CD364" s="200"/>
      <c r="CE364" s="200"/>
      <c r="CF364" s="200"/>
      <c r="CG364" s="84"/>
      <c r="CH364" s="84"/>
      <c r="CI364" s="84"/>
      <c r="CJ364" s="84"/>
      <c r="CK364" s="84"/>
      <c r="CL364" s="84"/>
      <c r="CM364" s="3"/>
      <c r="CN364" s="3"/>
      <c r="CO364" s="3"/>
      <c r="CP364" s="3"/>
      <c r="CQ364" s="84"/>
      <c r="CR364" s="200">
        <f>IF(CM358="D13",CHOOSE(SUM((CV361&gt;={415,465,515,565,615,665})*1), 400, 350, 300, 250, 200, 150), CHOOSE(SUM((CV361&gt;={415,465,515,565,615,665})*1), 550, 500, 450, 400, 350, 300))</f>
        <v>450</v>
      </c>
      <c r="CS364" s="200"/>
      <c r="CT364" s="200"/>
      <c r="CU364" s="200"/>
      <c r="CV364" s="200"/>
      <c r="CW364" s="200"/>
      <c r="CX364" s="200"/>
      <c r="CY364" s="200"/>
      <c r="CZ364" s="84"/>
      <c r="DA364" s="84"/>
      <c r="DB364" s="3"/>
      <c r="DC364" s="84"/>
      <c r="DD364" s="99"/>
      <c r="DF364" s="127"/>
      <c r="DG364" s="3"/>
      <c r="DH364" s="3"/>
      <c r="DI364" s="3"/>
      <c r="DJ364" s="4"/>
      <c r="DK364" s="4"/>
      <c r="DL364" s="84"/>
      <c r="DM364" s="84"/>
      <c r="DN364" s="88"/>
      <c r="DO364" s="88"/>
      <c r="DP364" s="88"/>
      <c r="DQ364" s="88"/>
      <c r="DR364" s="88"/>
      <c r="DS364" s="88"/>
      <c r="DT364" s="88"/>
      <c r="DU364" s="88"/>
      <c r="DV364" s="88"/>
      <c r="DW364" s="4"/>
      <c r="DX364" s="4"/>
      <c r="DY364" s="4"/>
      <c r="DZ364" s="4"/>
      <c r="EA364" s="4"/>
      <c r="EB364" s="4"/>
      <c r="EC364" s="84"/>
      <c r="ED364" s="84"/>
      <c r="EE364" s="84"/>
      <c r="EF364" s="4"/>
      <c r="EG364" s="4"/>
      <c r="EH364" s="88"/>
      <c r="EI364" s="130"/>
    </row>
    <row r="365" spans="30:139" ht="6.95" customHeight="1" x14ac:dyDescent="0.15">
      <c r="AD365" s="56"/>
      <c r="AE365" s="3"/>
      <c r="AF365" s="3"/>
      <c r="AG365" s="3"/>
      <c r="AH365" s="3"/>
      <c r="AI365" s="3"/>
      <c r="AJ365" s="84"/>
      <c r="AK365" s="200"/>
      <c r="AL365" s="200"/>
      <c r="AM365" s="200"/>
      <c r="AN365" s="200"/>
      <c r="AO365" s="196" t="s">
        <v>42</v>
      </c>
      <c r="AP365" s="196"/>
      <c r="AQ365" s="196"/>
      <c r="AR365" s="196">
        <v>1</v>
      </c>
      <c r="AS365" s="196"/>
      <c r="AT365" s="196" t="s">
        <v>43</v>
      </c>
      <c r="AU365" s="196"/>
      <c r="AV365" s="196"/>
      <c r="AW365" s="84"/>
      <c r="AX365" s="84"/>
      <c r="AY365" s="3"/>
      <c r="AZ365" s="3"/>
      <c r="BA365" s="3"/>
      <c r="BB365" s="3"/>
      <c r="BC365" s="84"/>
      <c r="BD365" s="200"/>
      <c r="BE365" s="200"/>
      <c r="BF365" s="200"/>
      <c r="BG365" s="200"/>
      <c r="BH365" s="196" t="s">
        <v>42</v>
      </c>
      <c r="BI365" s="196"/>
      <c r="BJ365" s="196"/>
      <c r="BK365" s="196">
        <v>1</v>
      </c>
      <c r="BL365" s="196"/>
      <c r="BM365" s="196" t="s">
        <v>43</v>
      </c>
      <c r="BN365" s="196"/>
      <c r="BO365" s="196"/>
      <c r="BP365" s="99"/>
      <c r="BQ365" s="110"/>
      <c r="BR365" s="56"/>
      <c r="BS365" s="3"/>
      <c r="BT365" s="3"/>
      <c r="BU365" s="3"/>
      <c r="BV365" s="3"/>
      <c r="BW365" s="3"/>
      <c r="BX365" s="84"/>
      <c r="BY365" s="200"/>
      <c r="BZ365" s="200"/>
      <c r="CA365" s="200"/>
      <c r="CB365" s="200"/>
      <c r="CC365" s="196" t="s">
        <v>42</v>
      </c>
      <c r="CD365" s="196"/>
      <c r="CE365" s="196"/>
      <c r="CF365" s="196">
        <v>1</v>
      </c>
      <c r="CG365" s="196"/>
      <c r="CH365" s="196" t="s">
        <v>43</v>
      </c>
      <c r="CI365" s="196"/>
      <c r="CJ365" s="196"/>
      <c r="CK365" s="84"/>
      <c r="CL365" s="84"/>
      <c r="CM365" s="3"/>
      <c r="CN365" s="3"/>
      <c r="CO365" s="3"/>
      <c r="CP365" s="3"/>
      <c r="CQ365" s="84"/>
      <c r="CR365" s="200"/>
      <c r="CS365" s="200"/>
      <c r="CT365" s="200"/>
      <c r="CU365" s="200"/>
      <c r="CV365" s="196" t="s">
        <v>42</v>
      </c>
      <c r="CW365" s="196"/>
      <c r="CX365" s="196"/>
      <c r="CY365" s="196">
        <v>1</v>
      </c>
      <c r="CZ365" s="196"/>
      <c r="DA365" s="196" t="s">
        <v>43</v>
      </c>
      <c r="DB365" s="196"/>
      <c r="DC365" s="196"/>
      <c r="DD365" s="99"/>
      <c r="DF365" s="124"/>
      <c r="DG365" s="2"/>
      <c r="DH365" s="2"/>
      <c r="DI365" s="2"/>
      <c r="DJ365" s="2"/>
      <c r="DK365" s="2"/>
      <c r="DL365" s="84"/>
      <c r="DM365" s="84"/>
      <c r="DN365" s="88"/>
      <c r="DO365" s="88"/>
      <c r="DP365" s="88"/>
      <c r="DQ365" s="88"/>
      <c r="DR365" s="88"/>
      <c r="DS365" s="88"/>
      <c r="DT365" s="88"/>
      <c r="DU365" s="88"/>
      <c r="DV365" s="88"/>
      <c r="DW365" s="84"/>
      <c r="DX365" s="84"/>
      <c r="DY365" s="84"/>
      <c r="DZ365" s="4"/>
      <c r="EA365" s="88"/>
      <c r="EB365" s="4"/>
      <c r="EC365" s="84"/>
      <c r="ED365" s="84"/>
      <c r="EE365" s="84"/>
      <c r="EF365" s="4"/>
      <c r="EG365" s="4"/>
      <c r="EH365" s="88"/>
      <c r="EI365" s="130"/>
    </row>
    <row r="366" spans="30:139" ht="6.95" customHeight="1" x14ac:dyDescent="0.15">
      <c r="AD366" s="52"/>
      <c r="AE366" s="2"/>
      <c r="AF366" s="2"/>
      <c r="AG366" s="2"/>
      <c r="AH366" s="2"/>
      <c r="AI366" s="2"/>
      <c r="AJ366" s="2"/>
      <c r="AK366" s="2"/>
      <c r="AL366" s="88"/>
      <c r="AM366" s="88"/>
      <c r="AN366" s="88"/>
      <c r="AO366" s="196"/>
      <c r="AP366" s="196"/>
      <c r="AQ366" s="196"/>
      <c r="AR366" s="196"/>
      <c r="AS366" s="196"/>
      <c r="AT366" s="196"/>
      <c r="AU366" s="196"/>
      <c r="AV366" s="196"/>
      <c r="AW366" s="88"/>
      <c r="AX366" s="88"/>
      <c r="AY366" s="2"/>
      <c r="AZ366" s="2"/>
      <c r="BA366" s="2"/>
      <c r="BB366" s="2"/>
      <c r="BC366" s="2"/>
      <c r="BD366" s="2"/>
      <c r="BE366" s="88"/>
      <c r="BF366" s="88"/>
      <c r="BG366" s="88"/>
      <c r="BH366" s="196"/>
      <c r="BI366" s="196"/>
      <c r="BJ366" s="196"/>
      <c r="BK366" s="196"/>
      <c r="BL366" s="196"/>
      <c r="BM366" s="196"/>
      <c r="BN366" s="196"/>
      <c r="BO366" s="196"/>
      <c r="BP366" s="99"/>
      <c r="BQ366" s="110"/>
      <c r="BR366" s="52"/>
      <c r="BS366" s="2"/>
      <c r="BT366" s="2"/>
      <c r="BU366" s="2"/>
      <c r="BV366" s="2"/>
      <c r="BW366" s="2"/>
      <c r="BX366" s="2"/>
      <c r="BY366" s="2"/>
      <c r="BZ366" s="88"/>
      <c r="CA366" s="88"/>
      <c r="CB366" s="88"/>
      <c r="CC366" s="196"/>
      <c r="CD366" s="196"/>
      <c r="CE366" s="196"/>
      <c r="CF366" s="196"/>
      <c r="CG366" s="196"/>
      <c r="CH366" s="196"/>
      <c r="CI366" s="196"/>
      <c r="CJ366" s="196"/>
      <c r="CK366" s="88"/>
      <c r="CL366" s="88"/>
      <c r="CM366" s="2"/>
      <c r="CN366" s="2"/>
      <c r="CO366" s="2"/>
      <c r="CP366" s="2"/>
      <c r="CQ366" s="2"/>
      <c r="CR366" s="2"/>
      <c r="CS366" s="88"/>
      <c r="CT366" s="88"/>
      <c r="CU366" s="88"/>
      <c r="CV366" s="196"/>
      <c r="CW366" s="196"/>
      <c r="CX366" s="196"/>
      <c r="CY366" s="196"/>
      <c r="CZ366" s="196"/>
      <c r="DA366" s="196"/>
      <c r="DB366" s="196"/>
      <c r="DC366" s="196"/>
      <c r="DD366" s="99"/>
      <c r="DF366" s="124"/>
      <c r="DG366" s="2"/>
      <c r="DH366" s="2"/>
      <c r="DI366" s="2"/>
      <c r="DJ366" s="2"/>
      <c r="DK366" s="2"/>
      <c r="DL366" s="84"/>
      <c r="DM366" s="84"/>
      <c r="DN366" s="88"/>
      <c r="DO366" s="88"/>
      <c r="DP366" s="88"/>
      <c r="DQ366" s="88"/>
      <c r="DR366" s="88"/>
      <c r="DS366" s="88"/>
      <c r="DT366" s="88"/>
      <c r="DU366" s="88"/>
      <c r="DV366" s="4"/>
      <c r="DW366" s="84"/>
      <c r="DX366" s="84"/>
      <c r="DY366" s="84"/>
      <c r="DZ366" s="4"/>
      <c r="EA366" s="88"/>
      <c r="EB366" s="4"/>
      <c r="EC366" s="84"/>
      <c r="ED366" s="84"/>
      <c r="EE366" s="84"/>
      <c r="EF366" s="4"/>
      <c r="EG366" s="4"/>
      <c r="EH366" s="88"/>
      <c r="EI366" s="130"/>
    </row>
    <row r="367" spans="30:139" ht="6.95" customHeight="1" x14ac:dyDescent="0.15">
      <c r="AD367" s="83"/>
      <c r="AE367" s="82"/>
      <c r="AF367" s="197" t="s">
        <v>26</v>
      </c>
      <c r="AG367" s="197"/>
      <c r="AH367" s="197"/>
      <c r="AI367" s="197"/>
      <c r="AJ367" s="82"/>
      <c r="AK367" s="82"/>
      <c r="AL367" s="82"/>
      <c r="AM367" s="82"/>
      <c r="AN367" s="82"/>
      <c r="AO367" s="2"/>
      <c r="AP367" s="2"/>
      <c r="AQ367" s="82"/>
      <c r="AR367" s="82"/>
      <c r="AS367" s="82"/>
      <c r="AT367" s="82"/>
      <c r="AU367" s="82"/>
      <c r="AV367" s="82"/>
      <c r="AW367" s="82"/>
      <c r="AX367" s="82"/>
      <c r="AY367" s="197" t="s">
        <v>26</v>
      </c>
      <c r="AZ367" s="197"/>
      <c r="BA367" s="197"/>
      <c r="BB367" s="197"/>
      <c r="BC367" s="82"/>
      <c r="BD367" s="82"/>
      <c r="BE367" s="82"/>
      <c r="BF367" s="82"/>
      <c r="BG367" s="82"/>
      <c r="BH367" s="2"/>
      <c r="BI367" s="2"/>
      <c r="BJ367" s="82"/>
      <c r="BK367" s="82"/>
      <c r="BL367" s="82"/>
      <c r="BM367" s="82"/>
      <c r="BN367" s="82"/>
      <c r="BO367" s="82"/>
      <c r="BP367" s="99"/>
      <c r="BQ367" s="110"/>
      <c r="BR367" s="83"/>
      <c r="BS367" s="82"/>
      <c r="BT367" s="197" t="s">
        <v>26</v>
      </c>
      <c r="BU367" s="197"/>
      <c r="BV367" s="197"/>
      <c r="BW367" s="197"/>
      <c r="BX367" s="82"/>
      <c r="BY367" s="82"/>
      <c r="BZ367" s="82"/>
      <c r="CA367" s="82"/>
      <c r="CB367" s="82"/>
      <c r="CC367" s="2"/>
      <c r="CD367" s="2"/>
      <c r="CE367" s="82"/>
      <c r="CF367" s="82"/>
      <c r="CG367" s="82"/>
      <c r="CH367" s="82"/>
      <c r="CI367" s="82"/>
      <c r="CJ367" s="82"/>
      <c r="CK367" s="82"/>
      <c r="CL367" s="82"/>
      <c r="CM367" s="197" t="s">
        <v>26</v>
      </c>
      <c r="CN367" s="197"/>
      <c r="CO367" s="197"/>
      <c r="CP367" s="197"/>
      <c r="CQ367" s="82"/>
      <c r="CR367" s="82"/>
      <c r="CS367" s="82"/>
      <c r="CT367" s="82"/>
      <c r="CU367" s="82"/>
      <c r="CV367" s="2"/>
      <c r="CW367" s="2"/>
      <c r="CX367" s="82"/>
      <c r="CY367" s="82"/>
      <c r="CZ367" s="82"/>
      <c r="DA367" s="82"/>
      <c r="DB367" s="82"/>
      <c r="DC367" s="82"/>
      <c r="DD367" s="99"/>
      <c r="DF367" s="127"/>
      <c r="DG367" s="96"/>
      <c r="DH367" s="96"/>
      <c r="DI367" s="96"/>
      <c r="DJ367" s="86"/>
      <c r="DK367" s="96"/>
      <c r="DL367" s="96"/>
      <c r="DM367" s="96"/>
      <c r="DN367" s="96"/>
      <c r="DO367" s="87"/>
      <c r="DP367" s="88"/>
      <c r="DQ367" s="88"/>
      <c r="DR367" s="88"/>
      <c r="DS367" s="88"/>
      <c r="DT367" s="88"/>
      <c r="DU367" s="88"/>
      <c r="DV367" s="88"/>
      <c r="DW367" s="88"/>
      <c r="DX367" s="88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125"/>
    </row>
    <row r="368" spans="30:139" ht="6.95" customHeight="1" x14ac:dyDescent="0.15">
      <c r="AD368" s="56"/>
      <c r="AE368" s="82"/>
      <c r="AF368" s="197"/>
      <c r="AG368" s="197"/>
      <c r="AH368" s="197"/>
      <c r="AI368" s="197"/>
      <c r="AJ368" s="82"/>
      <c r="AK368" s="106"/>
      <c r="AL368" s="106"/>
      <c r="AM368" s="106"/>
      <c r="AN368" s="106"/>
      <c r="AO368" s="2"/>
      <c r="AP368" s="2"/>
      <c r="AQ368" s="82"/>
      <c r="AR368" s="82"/>
      <c r="AS368" s="82"/>
      <c r="AT368" s="82"/>
      <c r="AU368" s="82"/>
      <c r="AV368" s="82"/>
      <c r="AW368" s="82"/>
      <c r="AX368" s="82"/>
      <c r="AY368" s="197"/>
      <c r="AZ368" s="197"/>
      <c r="BA368" s="197"/>
      <c r="BB368" s="197"/>
      <c r="BC368" s="82"/>
      <c r="BD368" s="106"/>
      <c r="BE368" s="106"/>
      <c r="BF368" s="106"/>
      <c r="BG368" s="106"/>
      <c r="BH368" s="2"/>
      <c r="BI368" s="2"/>
      <c r="BJ368" s="82"/>
      <c r="BK368" s="82"/>
      <c r="BL368" s="82"/>
      <c r="BM368" s="82"/>
      <c r="BN368" s="82"/>
      <c r="BO368" s="82"/>
      <c r="BP368" s="99"/>
      <c r="BQ368" s="110"/>
      <c r="BR368" s="56"/>
      <c r="BS368" s="82"/>
      <c r="BT368" s="197"/>
      <c r="BU368" s="197"/>
      <c r="BV368" s="197"/>
      <c r="BW368" s="197"/>
      <c r="BX368" s="82"/>
      <c r="BY368" s="106"/>
      <c r="BZ368" s="106"/>
      <c r="CA368" s="106"/>
      <c r="CB368" s="106"/>
      <c r="CC368" s="2"/>
      <c r="CD368" s="2"/>
      <c r="CE368" s="82"/>
      <c r="CF368" s="82"/>
      <c r="CG368" s="82"/>
      <c r="CH368" s="82"/>
      <c r="CI368" s="82"/>
      <c r="CJ368" s="82"/>
      <c r="CK368" s="82"/>
      <c r="CL368" s="82"/>
      <c r="CM368" s="197"/>
      <c r="CN368" s="197"/>
      <c r="CO368" s="197"/>
      <c r="CP368" s="197"/>
      <c r="CQ368" s="82"/>
      <c r="CR368" s="106"/>
      <c r="CS368" s="106"/>
      <c r="CT368" s="106"/>
      <c r="CU368" s="106"/>
      <c r="CV368" s="2"/>
      <c r="CW368" s="2"/>
      <c r="CX368" s="82"/>
      <c r="CY368" s="82"/>
      <c r="CZ368" s="82"/>
      <c r="DA368" s="82"/>
      <c r="DB368" s="82"/>
      <c r="DC368" s="82"/>
      <c r="DD368" s="99"/>
      <c r="DF368" s="127"/>
      <c r="DG368" s="96"/>
      <c r="DH368" s="96"/>
      <c r="DI368" s="96"/>
      <c r="DJ368" s="86"/>
      <c r="DK368" s="96"/>
      <c r="DL368" s="96"/>
      <c r="DM368" s="96"/>
      <c r="DN368" s="96"/>
      <c r="DO368" s="87"/>
      <c r="DP368" s="88"/>
      <c r="DQ368" s="88"/>
      <c r="DR368" s="88"/>
      <c r="DS368" s="88"/>
      <c r="DT368" s="88"/>
      <c r="DU368" s="88"/>
      <c r="DV368" s="88"/>
      <c r="DW368" s="88"/>
      <c r="DX368" s="88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125"/>
    </row>
    <row r="369" spans="30:139" ht="6.95" customHeight="1" x14ac:dyDescent="0.15">
      <c r="AD369" s="56"/>
      <c r="AE369" s="82"/>
      <c r="AF369" s="85"/>
      <c r="AG369" s="85"/>
      <c r="AH369" s="85"/>
      <c r="AI369" s="85"/>
      <c r="AJ369" s="85"/>
      <c r="AK369" s="106"/>
      <c r="AL369" s="106"/>
      <c r="AM369" s="106"/>
      <c r="AN369" s="106"/>
      <c r="AO369" s="85"/>
      <c r="AP369" s="85"/>
      <c r="AQ369" s="85"/>
      <c r="AR369" s="85"/>
      <c r="AS369" s="85"/>
      <c r="AT369" s="85"/>
      <c r="AU369" s="85"/>
      <c r="AV369" s="85"/>
      <c r="AW369" s="82"/>
      <c r="AX369" s="82"/>
      <c r="AY369" s="85"/>
      <c r="AZ369" s="85"/>
      <c r="BA369" s="85"/>
      <c r="BB369" s="85"/>
      <c r="BC369" s="85"/>
      <c r="BD369" s="106"/>
      <c r="BE369" s="106"/>
      <c r="BF369" s="106"/>
      <c r="BG369" s="106"/>
      <c r="BH369" s="85"/>
      <c r="BI369" s="85"/>
      <c r="BJ369" s="85"/>
      <c r="BK369" s="85"/>
      <c r="BL369" s="85"/>
      <c r="BM369" s="85"/>
      <c r="BN369" s="85"/>
      <c r="BO369" s="85"/>
      <c r="BP369" s="99"/>
      <c r="BQ369" s="110"/>
      <c r="BR369" s="56"/>
      <c r="BS369" s="82"/>
      <c r="BT369" s="85"/>
      <c r="BU369" s="85"/>
      <c r="BV369" s="85"/>
      <c r="BW369" s="85"/>
      <c r="BX369" s="85"/>
      <c r="BY369" s="106"/>
      <c r="BZ369" s="106"/>
      <c r="CA369" s="106"/>
      <c r="CB369" s="106"/>
      <c r="CC369" s="85"/>
      <c r="CD369" s="85"/>
      <c r="CE369" s="85"/>
      <c r="CF369" s="85"/>
      <c r="CG369" s="85"/>
      <c r="CH369" s="85"/>
      <c r="CI369" s="85"/>
      <c r="CJ369" s="85"/>
      <c r="CK369" s="82"/>
      <c r="CL369" s="82"/>
      <c r="CM369" s="85"/>
      <c r="CN369" s="85"/>
      <c r="CO369" s="85"/>
      <c r="CP369" s="85"/>
      <c r="CQ369" s="85"/>
      <c r="CR369" s="106"/>
      <c r="CS369" s="106"/>
      <c r="CT369" s="106"/>
      <c r="CU369" s="106"/>
      <c r="CV369" s="85"/>
      <c r="CW369" s="85"/>
      <c r="CX369" s="85"/>
      <c r="CY369" s="85"/>
      <c r="CZ369" s="85"/>
      <c r="DA369" s="85"/>
      <c r="DB369" s="85"/>
      <c r="DC369" s="85"/>
      <c r="DD369" s="99"/>
      <c r="DF369" s="127"/>
      <c r="DG369" s="96"/>
      <c r="DH369" s="96"/>
      <c r="DI369" s="96"/>
      <c r="DJ369" s="86"/>
      <c r="DK369" s="96"/>
      <c r="DL369" s="96"/>
      <c r="DM369" s="96"/>
      <c r="DN369" s="96"/>
      <c r="DO369" s="96"/>
      <c r="DP369" s="96"/>
      <c r="DQ369" s="4"/>
      <c r="DR369" s="88"/>
      <c r="DS369" s="88"/>
      <c r="DT369" s="88"/>
      <c r="DU369" s="88"/>
      <c r="DV369" s="88"/>
      <c r="DW369" s="88"/>
      <c r="DX369" s="88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125"/>
    </row>
    <row r="370" spans="30:139" ht="6.95" customHeight="1" x14ac:dyDescent="0.15">
      <c r="AD370" s="56"/>
      <c r="AE370" s="215">
        <f>CHOOSE(SUM((AD346&gt;={700,750,800,850,900,950})*1), 515,565,615,665,715,765)</f>
        <v>615</v>
      </c>
      <c r="AF370" s="215"/>
      <c r="AG370" s="215"/>
      <c r="AH370" s="215"/>
      <c r="AI370" s="3"/>
      <c r="AJ370" s="3"/>
      <c r="AK370" s="2"/>
      <c r="AL370" s="2"/>
      <c r="AM370" s="85"/>
      <c r="AN370" s="85"/>
      <c r="AO370" s="118"/>
      <c r="AP370" s="118"/>
      <c r="AQ370" s="118"/>
      <c r="AR370" s="118"/>
      <c r="AS370" s="3"/>
      <c r="AT370" s="3"/>
      <c r="AU370" s="3"/>
      <c r="AV370" s="3"/>
      <c r="AW370" s="85"/>
      <c r="AX370" s="215">
        <f>AE370-100</f>
        <v>515</v>
      </c>
      <c r="AY370" s="215"/>
      <c r="AZ370" s="215"/>
      <c r="BA370" s="215"/>
      <c r="BB370" s="3"/>
      <c r="BC370" s="3"/>
      <c r="BD370" s="2"/>
      <c r="BE370" s="2"/>
      <c r="BF370" s="85"/>
      <c r="BG370" s="85"/>
      <c r="BH370" s="118"/>
      <c r="BI370" s="118"/>
      <c r="BJ370" s="118"/>
      <c r="BK370" s="118"/>
      <c r="BL370" s="3"/>
      <c r="BM370" s="3"/>
      <c r="BN370" s="3"/>
      <c r="BO370" s="3"/>
      <c r="BP370" s="99"/>
      <c r="BQ370" s="110"/>
      <c r="BR370" s="56"/>
      <c r="BS370" s="215">
        <f>CHOOSE(SUM((BR346&gt;={700,750,800,850,900,950})*1), 515,565,615,665,715,765)</f>
        <v>615</v>
      </c>
      <c r="BT370" s="215"/>
      <c r="BU370" s="215"/>
      <c r="BV370" s="215"/>
      <c r="BW370" s="3"/>
      <c r="BX370" s="3"/>
      <c r="BY370" s="2"/>
      <c r="BZ370" s="2"/>
      <c r="CA370" s="85"/>
      <c r="CB370" s="85"/>
      <c r="CC370" s="118"/>
      <c r="CD370" s="118"/>
      <c r="CE370" s="118"/>
      <c r="CF370" s="118"/>
      <c r="CG370" s="3"/>
      <c r="CH370" s="3"/>
      <c r="CI370" s="3"/>
      <c r="CJ370" s="3"/>
      <c r="CK370" s="85"/>
      <c r="CL370" s="215">
        <f>BS370-100</f>
        <v>515</v>
      </c>
      <c r="CM370" s="215"/>
      <c r="CN370" s="215"/>
      <c r="CO370" s="215"/>
      <c r="CP370" s="3"/>
      <c r="CQ370" s="3"/>
      <c r="CR370" s="2"/>
      <c r="CS370" s="2"/>
      <c r="CT370" s="85"/>
      <c r="CU370" s="85"/>
      <c r="CV370" s="118"/>
      <c r="CW370" s="118"/>
      <c r="CX370" s="118"/>
      <c r="CY370" s="118"/>
      <c r="CZ370" s="3"/>
      <c r="DA370" s="3"/>
      <c r="DB370" s="3"/>
      <c r="DC370" s="3"/>
      <c r="DD370" s="99"/>
      <c r="DF370" s="127"/>
      <c r="DG370" s="96"/>
      <c r="DH370" s="96"/>
      <c r="DI370" s="96"/>
      <c r="DJ370" s="86"/>
      <c r="DK370" s="96"/>
      <c r="DL370" s="96"/>
      <c r="DM370" s="96"/>
      <c r="DN370" s="96"/>
      <c r="DO370" s="96"/>
      <c r="DP370" s="96"/>
      <c r="DQ370" s="4"/>
      <c r="DR370" s="88"/>
      <c r="DS370" s="88"/>
      <c r="DT370" s="88"/>
      <c r="DU370" s="88"/>
      <c r="DV370" s="88"/>
      <c r="DW370" s="88"/>
      <c r="DX370" s="88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125"/>
    </row>
    <row r="371" spans="30:139" ht="6.95" customHeight="1" x14ac:dyDescent="0.15">
      <c r="AD371" s="56"/>
      <c r="AE371" s="215"/>
      <c r="AF371" s="215"/>
      <c r="AG371" s="215"/>
      <c r="AH371" s="215"/>
      <c r="AI371" s="3"/>
      <c r="AJ371" s="3"/>
      <c r="AK371" s="4"/>
      <c r="AL371" s="4"/>
      <c r="AM371" s="85"/>
      <c r="AN371" s="85"/>
      <c r="AO371" s="118"/>
      <c r="AP371" s="118"/>
      <c r="AQ371" s="118"/>
      <c r="AR371" s="118"/>
      <c r="AS371" s="3"/>
      <c r="AT371" s="3"/>
      <c r="AU371" s="3"/>
      <c r="AV371" s="3"/>
      <c r="AW371" s="85"/>
      <c r="AX371" s="215"/>
      <c r="AY371" s="215"/>
      <c r="AZ371" s="215"/>
      <c r="BA371" s="215"/>
      <c r="BB371" s="3"/>
      <c r="BC371" s="3"/>
      <c r="BD371" s="4"/>
      <c r="BE371" s="4"/>
      <c r="BF371" s="85"/>
      <c r="BG371" s="85"/>
      <c r="BH371" s="118"/>
      <c r="BI371" s="118"/>
      <c r="BJ371" s="118"/>
      <c r="BK371" s="118"/>
      <c r="BL371" s="3"/>
      <c r="BM371" s="3"/>
      <c r="BN371" s="3"/>
      <c r="BO371" s="3"/>
      <c r="BP371" s="99"/>
      <c r="BQ371" s="110"/>
      <c r="BR371" s="56"/>
      <c r="BS371" s="215"/>
      <c r="BT371" s="215"/>
      <c r="BU371" s="215"/>
      <c r="BV371" s="215"/>
      <c r="BW371" s="3"/>
      <c r="BX371" s="3"/>
      <c r="BY371" s="4"/>
      <c r="BZ371" s="4"/>
      <c r="CA371" s="85"/>
      <c r="CB371" s="85"/>
      <c r="CC371" s="118"/>
      <c r="CD371" s="118"/>
      <c r="CE371" s="118"/>
      <c r="CF371" s="118"/>
      <c r="CG371" s="3"/>
      <c r="CH371" s="3"/>
      <c r="CI371" s="3"/>
      <c r="CJ371" s="3"/>
      <c r="CK371" s="85"/>
      <c r="CL371" s="215"/>
      <c r="CM371" s="215"/>
      <c r="CN371" s="215"/>
      <c r="CO371" s="215"/>
      <c r="CP371" s="3"/>
      <c r="CQ371" s="3"/>
      <c r="CR371" s="4"/>
      <c r="CS371" s="4"/>
      <c r="CT371" s="85"/>
      <c r="CU371" s="85"/>
      <c r="CV371" s="118"/>
      <c r="CW371" s="118"/>
      <c r="CX371" s="118"/>
      <c r="CY371" s="118"/>
      <c r="CZ371" s="3"/>
      <c r="DA371" s="3"/>
      <c r="DB371" s="3"/>
      <c r="DC371" s="3"/>
      <c r="DD371" s="99"/>
      <c r="DF371" s="127"/>
      <c r="DG371" s="96"/>
      <c r="DH371" s="96"/>
      <c r="DI371" s="96"/>
      <c r="DJ371" s="4"/>
      <c r="DK371" s="96"/>
      <c r="DL371" s="96"/>
      <c r="DM371" s="96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125"/>
    </row>
    <row r="372" spans="30:139" ht="6.95" customHeight="1" x14ac:dyDescent="0.15">
      <c r="AD372" s="56"/>
      <c r="AE372" s="200" t="s">
        <v>29</v>
      </c>
      <c r="AF372" s="200"/>
      <c r="AG372" s="200"/>
      <c r="AH372" s="200"/>
      <c r="AI372" s="3"/>
      <c r="AJ372" s="3"/>
      <c r="AK372" s="4"/>
      <c r="AL372" s="4"/>
      <c r="AM372" s="84"/>
      <c r="AN372" s="84"/>
      <c r="AO372" s="107"/>
      <c r="AP372" s="107"/>
      <c r="AQ372" s="107"/>
      <c r="AR372" s="107"/>
      <c r="AS372" s="3"/>
      <c r="AT372" s="3"/>
      <c r="AU372" s="3"/>
      <c r="AV372" s="3"/>
      <c r="AW372" s="84"/>
      <c r="AX372" s="200" t="s">
        <v>29</v>
      </c>
      <c r="AY372" s="200"/>
      <c r="AZ372" s="200"/>
      <c r="BA372" s="200"/>
      <c r="BB372" s="3"/>
      <c r="BC372" s="3"/>
      <c r="BD372" s="4"/>
      <c r="BE372" s="4"/>
      <c r="BF372" s="84"/>
      <c r="BG372" s="84"/>
      <c r="BH372" s="107"/>
      <c r="BI372" s="107"/>
      <c r="BJ372" s="107"/>
      <c r="BK372" s="107"/>
      <c r="BL372" s="3"/>
      <c r="BM372" s="3"/>
      <c r="BN372" s="3"/>
      <c r="BO372" s="3"/>
      <c r="BP372" s="99"/>
      <c r="BQ372" s="110"/>
      <c r="BR372" s="56"/>
      <c r="BS372" s="200" t="s">
        <v>29</v>
      </c>
      <c r="BT372" s="200"/>
      <c r="BU372" s="200"/>
      <c r="BV372" s="200"/>
      <c r="BW372" s="3"/>
      <c r="BX372" s="3"/>
      <c r="BY372" s="4"/>
      <c r="BZ372" s="4"/>
      <c r="CA372" s="84"/>
      <c r="CB372" s="84"/>
      <c r="CC372" s="107"/>
      <c r="CD372" s="107"/>
      <c r="CE372" s="107"/>
      <c r="CF372" s="107"/>
      <c r="CG372" s="3"/>
      <c r="CH372" s="3"/>
      <c r="CI372" s="3"/>
      <c r="CJ372" s="3"/>
      <c r="CK372" s="84"/>
      <c r="CL372" s="200" t="s">
        <v>29</v>
      </c>
      <c r="CM372" s="200"/>
      <c r="CN372" s="200"/>
      <c r="CO372" s="200"/>
      <c r="CP372" s="3"/>
      <c r="CQ372" s="3"/>
      <c r="CR372" s="4"/>
      <c r="CS372" s="4"/>
      <c r="CT372" s="84"/>
      <c r="CU372" s="84"/>
      <c r="CV372" s="107"/>
      <c r="CW372" s="107"/>
      <c r="CX372" s="107"/>
      <c r="CY372" s="107"/>
      <c r="CZ372" s="3"/>
      <c r="DA372" s="3"/>
      <c r="DB372" s="3"/>
      <c r="DC372" s="3"/>
      <c r="DD372" s="99"/>
      <c r="DF372" s="127"/>
      <c r="DG372" s="96"/>
      <c r="DH372" s="96"/>
      <c r="DI372" s="96"/>
      <c r="DJ372" s="4"/>
      <c r="DK372" s="96"/>
      <c r="DL372" s="96"/>
      <c r="DM372" s="96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125"/>
    </row>
    <row r="373" spans="30:139" ht="6.95" customHeight="1" x14ac:dyDescent="0.15">
      <c r="AD373" s="56"/>
      <c r="AE373" s="200"/>
      <c r="AF373" s="200"/>
      <c r="AG373" s="200"/>
      <c r="AH373" s="200"/>
      <c r="AI373" s="3"/>
      <c r="AJ373" s="84"/>
      <c r="AK373" s="107"/>
      <c r="AL373" s="107"/>
      <c r="AM373" s="107"/>
      <c r="AN373" s="107"/>
      <c r="AO373" s="107"/>
      <c r="AP373" s="107"/>
      <c r="AQ373" s="107"/>
      <c r="AR373" s="107"/>
      <c r="AS373" s="84"/>
      <c r="AT373" s="84"/>
      <c r="AU373" s="3"/>
      <c r="AV373" s="84"/>
      <c r="AW373" s="84"/>
      <c r="AX373" s="200"/>
      <c r="AY373" s="200"/>
      <c r="AZ373" s="200"/>
      <c r="BA373" s="200"/>
      <c r="BB373" s="3"/>
      <c r="BC373" s="84"/>
      <c r="BD373" s="107"/>
      <c r="BE373" s="107"/>
      <c r="BF373" s="107"/>
      <c r="BG373" s="107"/>
      <c r="BH373" s="107"/>
      <c r="BI373" s="107"/>
      <c r="BJ373" s="107"/>
      <c r="BK373" s="107"/>
      <c r="BL373" s="84"/>
      <c r="BM373" s="84"/>
      <c r="BN373" s="3"/>
      <c r="BO373" s="84"/>
      <c r="BP373" s="99"/>
      <c r="BQ373" s="110"/>
      <c r="BR373" s="56"/>
      <c r="BS373" s="200"/>
      <c r="BT373" s="200"/>
      <c r="BU373" s="200"/>
      <c r="BV373" s="200"/>
      <c r="BW373" s="3"/>
      <c r="BX373" s="84"/>
      <c r="BY373" s="107"/>
      <c r="BZ373" s="107"/>
      <c r="CA373" s="107"/>
      <c r="CB373" s="107"/>
      <c r="CC373" s="107"/>
      <c r="CD373" s="107"/>
      <c r="CE373" s="107"/>
      <c r="CF373" s="107"/>
      <c r="CG373" s="84"/>
      <c r="CH373" s="84"/>
      <c r="CI373" s="3"/>
      <c r="CJ373" s="84"/>
      <c r="CK373" s="84"/>
      <c r="CL373" s="200"/>
      <c r="CM373" s="200"/>
      <c r="CN373" s="200"/>
      <c r="CO373" s="200"/>
      <c r="CP373" s="3"/>
      <c r="CQ373" s="84"/>
      <c r="CR373" s="107"/>
      <c r="CS373" s="107"/>
      <c r="CT373" s="107"/>
      <c r="CU373" s="107"/>
      <c r="CV373" s="107"/>
      <c r="CW373" s="107"/>
      <c r="CX373" s="107"/>
      <c r="CY373" s="107"/>
      <c r="CZ373" s="84"/>
      <c r="DA373" s="84"/>
      <c r="DB373" s="3"/>
      <c r="DC373" s="84"/>
      <c r="DD373" s="99"/>
      <c r="DF373" s="127"/>
      <c r="DG373" s="3"/>
      <c r="DH373" s="3"/>
      <c r="DI373" s="3"/>
      <c r="DJ373" s="4"/>
      <c r="DK373" s="4"/>
      <c r="DL373" s="4"/>
      <c r="DM373" s="96"/>
      <c r="DN373" s="96"/>
      <c r="DO373" s="96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125"/>
    </row>
    <row r="374" spans="30:139" ht="6.95" customHeight="1" x14ac:dyDescent="0.15">
      <c r="AD374" s="56"/>
      <c r="AE374" s="84"/>
      <c r="AF374" s="3"/>
      <c r="AG374" s="3"/>
      <c r="AH374" s="3"/>
      <c r="AI374" s="3"/>
      <c r="AJ374" s="84"/>
      <c r="AK374" s="107"/>
      <c r="AL374" s="107"/>
      <c r="AM374" s="107"/>
      <c r="AN374" s="107"/>
      <c r="AO374" s="196" t="s">
        <v>42</v>
      </c>
      <c r="AP374" s="196"/>
      <c r="AQ374" s="196"/>
      <c r="AR374" s="196">
        <v>1</v>
      </c>
      <c r="AS374" s="196"/>
      <c r="AT374" s="196" t="s">
        <v>43</v>
      </c>
      <c r="AU374" s="196"/>
      <c r="AV374" s="196"/>
      <c r="AW374" s="84"/>
      <c r="AX374" s="84"/>
      <c r="AY374" s="3"/>
      <c r="AZ374" s="3"/>
      <c r="BA374" s="3"/>
      <c r="BB374" s="3"/>
      <c r="BC374" s="84"/>
      <c r="BD374" s="107"/>
      <c r="BE374" s="107"/>
      <c r="BF374" s="107"/>
      <c r="BG374" s="107"/>
      <c r="BH374" s="196" t="s">
        <v>42</v>
      </c>
      <c r="BI374" s="196"/>
      <c r="BJ374" s="196"/>
      <c r="BK374" s="196">
        <v>1</v>
      </c>
      <c r="BL374" s="196"/>
      <c r="BM374" s="196" t="s">
        <v>43</v>
      </c>
      <c r="BN374" s="196"/>
      <c r="BO374" s="196"/>
      <c r="BP374" s="99"/>
      <c r="BQ374" s="110"/>
      <c r="BR374" s="56"/>
      <c r="BS374" s="84"/>
      <c r="BT374" s="3"/>
      <c r="BU374" s="3"/>
      <c r="BV374" s="3"/>
      <c r="BW374" s="3"/>
      <c r="BX374" s="84"/>
      <c r="BY374" s="107"/>
      <c r="BZ374" s="107"/>
      <c r="CA374" s="107"/>
      <c r="CB374" s="107"/>
      <c r="CC374" s="196" t="s">
        <v>42</v>
      </c>
      <c r="CD374" s="196"/>
      <c r="CE374" s="196"/>
      <c r="CF374" s="196">
        <v>1</v>
      </c>
      <c r="CG374" s="196"/>
      <c r="CH374" s="196" t="s">
        <v>43</v>
      </c>
      <c r="CI374" s="196"/>
      <c r="CJ374" s="196"/>
      <c r="CK374" s="84"/>
      <c r="CL374" s="84"/>
      <c r="CM374" s="3"/>
      <c r="CN374" s="3"/>
      <c r="CO374" s="3"/>
      <c r="CP374" s="3"/>
      <c r="CQ374" s="84"/>
      <c r="CR374" s="107"/>
      <c r="CS374" s="107"/>
      <c r="CT374" s="107"/>
      <c r="CU374" s="107"/>
      <c r="CV374" s="196" t="s">
        <v>42</v>
      </c>
      <c r="CW374" s="196"/>
      <c r="CX374" s="196"/>
      <c r="CY374" s="196">
        <v>1</v>
      </c>
      <c r="CZ374" s="196"/>
      <c r="DA374" s="196" t="s">
        <v>43</v>
      </c>
      <c r="DB374" s="196"/>
      <c r="DC374" s="196"/>
      <c r="DD374" s="99"/>
      <c r="DF374" s="127"/>
      <c r="DG374" s="3"/>
      <c r="DH374" s="3"/>
      <c r="DI374" s="3"/>
      <c r="DJ374" s="4"/>
      <c r="DK374" s="4"/>
      <c r="DL374" s="4"/>
      <c r="DM374" s="96"/>
      <c r="DN374" s="96"/>
      <c r="DO374" s="96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125"/>
    </row>
    <row r="375" spans="30:139" ht="6.95" customHeight="1" x14ac:dyDescent="0.15">
      <c r="AD375" s="52"/>
      <c r="AE375" s="88"/>
      <c r="AF375" s="2"/>
      <c r="AG375" s="2"/>
      <c r="AH375" s="2"/>
      <c r="AI375" s="2"/>
      <c r="AJ375" s="2"/>
      <c r="AK375" s="2"/>
      <c r="AL375" s="88"/>
      <c r="AM375" s="88"/>
      <c r="AN375" s="88"/>
      <c r="AO375" s="196"/>
      <c r="AP375" s="196"/>
      <c r="AQ375" s="196"/>
      <c r="AR375" s="196"/>
      <c r="AS375" s="196"/>
      <c r="AT375" s="196"/>
      <c r="AU375" s="196"/>
      <c r="AV375" s="196"/>
      <c r="AW375" s="88"/>
      <c r="AX375" s="88"/>
      <c r="AY375" s="2"/>
      <c r="AZ375" s="2"/>
      <c r="BA375" s="2"/>
      <c r="BB375" s="2"/>
      <c r="BC375" s="2"/>
      <c r="BD375" s="2"/>
      <c r="BE375" s="88"/>
      <c r="BF375" s="88"/>
      <c r="BG375" s="88"/>
      <c r="BH375" s="196"/>
      <c r="BI375" s="196"/>
      <c r="BJ375" s="196"/>
      <c r="BK375" s="196"/>
      <c r="BL375" s="196"/>
      <c r="BM375" s="196"/>
      <c r="BN375" s="196"/>
      <c r="BO375" s="196"/>
      <c r="BP375" s="99"/>
      <c r="BQ375" s="110"/>
      <c r="BR375" s="52"/>
      <c r="BS375" s="88"/>
      <c r="BT375" s="2"/>
      <c r="BU375" s="2"/>
      <c r="BV375" s="2"/>
      <c r="BW375" s="2"/>
      <c r="BX375" s="2"/>
      <c r="BY375" s="2"/>
      <c r="BZ375" s="88"/>
      <c r="CA375" s="88"/>
      <c r="CB375" s="88"/>
      <c r="CC375" s="196"/>
      <c r="CD375" s="196"/>
      <c r="CE375" s="196"/>
      <c r="CF375" s="196"/>
      <c r="CG375" s="196"/>
      <c r="CH375" s="196"/>
      <c r="CI375" s="196"/>
      <c r="CJ375" s="196"/>
      <c r="CK375" s="88"/>
      <c r="CL375" s="88"/>
      <c r="CM375" s="2"/>
      <c r="CN375" s="2"/>
      <c r="CO375" s="2"/>
      <c r="CP375" s="2"/>
      <c r="CQ375" s="2"/>
      <c r="CR375" s="2"/>
      <c r="CS375" s="88"/>
      <c r="CT375" s="88"/>
      <c r="CU375" s="88"/>
      <c r="CV375" s="196"/>
      <c r="CW375" s="196"/>
      <c r="CX375" s="196"/>
      <c r="CY375" s="196"/>
      <c r="CZ375" s="196"/>
      <c r="DA375" s="196"/>
      <c r="DB375" s="196"/>
      <c r="DC375" s="196"/>
      <c r="DD375" s="99"/>
      <c r="DF375" s="127"/>
      <c r="DG375" s="3"/>
      <c r="DH375" s="3"/>
      <c r="DI375" s="96"/>
      <c r="DJ375" s="96"/>
      <c r="DK375" s="96"/>
      <c r="DL375" s="4"/>
      <c r="DM375" s="4"/>
      <c r="DN375" s="4"/>
      <c r="DO375" s="4"/>
      <c r="DP375" s="88"/>
      <c r="DQ375" s="88"/>
      <c r="DR375" s="88"/>
      <c r="DS375" s="88"/>
      <c r="DT375" s="88"/>
      <c r="DU375" s="88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125"/>
    </row>
    <row r="376" spans="30:139" ht="6.95" customHeight="1" x14ac:dyDescent="0.15">
      <c r="AD376" s="83"/>
      <c r="AE376" s="82"/>
      <c r="AF376" s="197" t="s">
        <v>28</v>
      </c>
      <c r="AG376" s="197"/>
      <c r="AH376" s="197"/>
      <c r="AI376" s="197"/>
      <c r="AJ376" s="82"/>
      <c r="AK376" s="82"/>
      <c r="AL376" s="82"/>
      <c r="AM376" s="2"/>
      <c r="AN376" s="2"/>
      <c r="AO376" s="2"/>
      <c r="AP376" s="2"/>
      <c r="AQ376" s="2"/>
      <c r="AR376" s="2"/>
      <c r="AS376" s="2"/>
      <c r="AT376" s="2"/>
      <c r="AU376" s="3"/>
      <c r="AV376" s="82"/>
      <c r="AW376" s="88"/>
      <c r="AX376" s="88"/>
      <c r="AY376" s="197" t="s">
        <v>27</v>
      </c>
      <c r="AZ376" s="197"/>
      <c r="BA376" s="197"/>
      <c r="BB376" s="197"/>
      <c r="BC376" s="82"/>
      <c r="BD376" s="82"/>
      <c r="BE376" s="3"/>
      <c r="BF376" s="3"/>
      <c r="BG376" s="3"/>
      <c r="BH376" s="3"/>
      <c r="BI376" s="198"/>
      <c r="BJ376" s="198"/>
      <c r="BK376" s="198"/>
      <c r="BL376" s="198"/>
      <c r="BM376" s="1"/>
      <c r="BN376" s="1"/>
      <c r="BO376" s="1"/>
      <c r="BP376" s="99"/>
      <c r="BQ376" s="110"/>
      <c r="BR376" s="83"/>
      <c r="BS376" s="82"/>
      <c r="BT376" s="197" t="s">
        <v>28</v>
      </c>
      <c r="BU376" s="197"/>
      <c r="BV376" s="197"/>
      <c r="BW376" s="197"/>
      <c r="BX376" s="82"/>
      <c r="BY376" s="82"/>
      <c r="BZ376" s="82"/>
      <c r="CA376" s="2"/>
      <c r="CB376" s="2"/>
      <c r="CC376" s="2"/>
      <c r="CD376" s="2"/>
      <c r="CE376" s="2"/>
      <c r="CF376" s="2"/>
      <c r="CG376" s="2"/>
      <c r="CH376" s="2"/>
      <c r="CI376" s="3"/>
      <c r="CJ376" s="82"/>
      <c r="CK376" s="88"/>
      <c r="CL376" s="88"/>
      <c r="CM376" s="197" t="s">
        <v>27</v>
      </c>
      <c r="CN376" s="197"/>
      <c r="CO376" s="197"/>
      <c r="CP376" s="197"/>
      <c r="CQ376" s="82"/>
      <c r="CR376" s="82"/>
      <c r="CS376" s="3"/>
      <c r="CT376" s="3"/>
      <c r="CU376" s="3"/>
      <c r="CV376" s="3"/>
      <c r="CW376" s="198"/>
      <c r="CX376" s="198"/>
      <c r="CY376" s="198"/>
      <c r="CZ376" s="198"/>
      <c r="DA376" s="1"/>
      <c r="DB376" s="1"/>
      <c r="DC376" s="1"/>
      <c r="DD376" s="99"/>
      <c r="DF376" s="127"/>
      <c r="DG376" s="3"/>
      <c r="DH376" s="3"/>
      <c r="DI376" s="96"/>
      <c r="DJ376" s="96"/>
      <c r="DK376" s="96"/>
      <c r="DL376" s="4"/>
      <c r="DM376" s="4"/>
      <c r="DN376" s="4"/>
      <c r="DO376" s="4"/>
      <c r="DP376" s="88"/>
      <c r="DQ376" s="88"/>
      <c r="DR376" s="88"/>
      <c r="DS376" s="88"/>
      <c r="DT376" s="88"/>
      <c r="DU376" s="88"/>
      <c r="DV376" s="88"/>
      <c r="DW376" s="88"/>
      <c r="DX376" s="88"/>
      <c r="DY376" s="88"/>
      <c r="DZ376" s="4"/>
      <c r="EA376" s="4"/>
      <c r="EB376" s="4"/>
      <c r="EC376" s="4"/>
      <c r="ED376" s="4"/>
      <c r="EE376" s="4"/>
      <c r="EF376" s="4"/>
      <c r="EG376" s="4"/>
      <c r="EH376" s="4"/>
      <c r="EI376" s="125"/>
    </row>
    <row r="377" spans="30:139" ht="6.95" customHeight="1" x14ac:dyDescent="0.15">
      <c r="AD377" s="56"/>
      <c r="AE377" s="3"/>
      <c r="AF377" s="197"/>
      <c r="AG377" s="197"/>
      <c r="AH377" s="197"/>
      <c r="AI377" s="197"/>
      <c r="AJ377" s="82"/>
      <c r="AK377" s="82"/>
      <c r="AL377" s="82"/>
      <c r="AM377" s="2"/>
      <c r="AN377" s="2"/>
      <c r="AO377" s="2"/>
      <c r="AP377" s="2"/>
      <c r="AQ377" s="2"/>
      <c r="AR377" s="2"/>
      <c r="AS377" s="2"/>
      <c r="AT377" s="2"/>
      <c r="AU377" s="3"/>
      <c r="AV377" s="82"/>
      <c r="AW377" s="82"/>
      <c r="AX377" s="3"/>
      <c r="AY377" s="197"/>
      <c r="AZ377" s="197"/>
      <c r="BA377" s="197"/>
      <c r="BB377" s="197"/>
      <c r="BC377" s="82"/>
      <c r="BD377" s="82"/>
      <c r="BE377" s="3"/>
      <c r="BF377" s="3"/>
      <c r="BG377" s="3"/>
      <c r="BH377" s="3"/>
      <c r="BI377" s="198"/>
      <c r="BJ377" s="198"/>
      <c r="BK377" s="198"/>
      <c r="BL377" s="198"/>
      <c r="BM377" s="1"/>
      <c r="BN377" s="1"/>
      <c r="BO377" s="1"/>
      <c r="BP377" s="99"/>
      <c r="BQ377" s="110"/>
      <c r="BR377" s="56"/>
      <c r="BS377" s="3"/>
      <c r="BT377" s="197"/>
      <c r="BU377" s="197"/>
      <c r="BV377" s="197"/>
      <c r="BW377" s="197"/>
      <c r="BX377" s="82"/>
      <c r="BY377" s="82"/>
      <c r="BZ377" s="82"/>
      <c r="CA377" s="2"/>
      <c r="CB377" s="2"/>
      <c r="CC377" s="2"/>
      <c r="CD377" s="2"/>
      <c r="CE377" s="2"/>
      <c r="CF377" s="2"/>
      <c r="CG377" s="2"/>
      <c r="CH377" s="2"/>
      <c r="CI377" s="3"/>
      <c r="CJ377" s="82"/>
      <c r="CK377" s="82"/>
      <c r="CL377" s="3"/>
      <c r="CM377" s="197"/>
      <c r="CN377" s="197"/>
      <c r="CO377" s="197"/>
      <c r="CP377" s="197"/>
      <c r="CQ377" s="82"/>
      <c r="CR377" s="82"/>
      <c r="CS377" s="3"/>
      <c r="CT377" s="3"/>
      <c r="CU377" s="3"/>
      <c r="CV377" s="3"/>
      <c r="CW377" s="198"/>
      <c r="CX377" s="198"/>
      <c r="CY377" s="198"/>
      <c r="CZ377" s="198"/>
      <c r="DA377" s="1"/>
      <c r="DB377" s="1"/>
      <c r="DC377" s="1"/>
      <c r="DD377" s="99"/>
      <c r="DF377" s="127"/>
      <c r="DG377" s="82"/>
      <c r="DH377" s="82"/>
      <c r="DI377" s="82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125"/>
    </row>
    <row r="378" spans="30:139" ht="6.95" customHeight="1" x14ac:dyDescent="0.15">
      <c r="AD378" s="56"/>
      <c r="AE378" s="3"/>
      <c r="AF378" s="3"/>
      <c r="AG378" s="3"/>
      <c r="AH378" s="3"/>
      <c r="AI378" s="2"/>
      <c r="AJ378" s="2"/>
      <c r="AK378" s="2"/>
      <c r="AL378" s="2"/>
      <c r="AM378" s="2"/>
      <c r="AN378" s="82"/>
      <c r="AO378" s="82"/>
      <c r="AP378" s="82"/>
      <c r="AQ378" s="82"/>
      <c r="AR378" s="82"/>
      <c r="AS378" s="82"/>
      <c r="AT378" s="2"/>
      <c r="AU378" s="3"/>
      <c r="AV378" s="82"/>
      <c r="AW378" s="82"/>
      <c r="AX378" s="3"/>
      <c r="AY378" s="3"/>
      <c r="AZ378" s="2"/>
      <c r="BA378" s="3"/>
      <c r="BB378" s="82"/>
      <c r="BC378" s="82"/>
      <c r="BD378" s="3"/>
      <c r="BE378" s="3"/>
      <c r="BF378" s="3"/>
      <c r="BG378" s="3"/>
      <c r="BH378" s="3"/>
      <c r="BI378" s="3"/>
      <c r="BJ378" s="3"/>
      <c r="BK378" s="3"/>
      <c r="BL378" s="3"/>
      <c r="BM378" s="1"/>
      <c r="BN378" s="1"/>
      <c r="BO378" s="1"/>
      <c r="BP378" s="99"/>
      <c r="BQ378" s="110"/>
      <c r="BR378" s="56"/>
      <c r="BS378" s="3"/>
      <c r="BT378" s="3"/>
      <c r="BU378" s="3"/>
      <c r="BV378" s="3"/>
      <c r="BW378" s="2"/>
      <c r="BX378" s="2"/>
      <c r="BY378" s="2"/>
      <c r="BZ378" s="2"/>
      <c r="CA378" s="2"/>
      <c r="CB378" s="82"/>
      <c r="CC378" s="82"/>
      <c r="CD378" s="82"/>
      <c r="CE378" s="82"/>
      <c r="CF378" s="82"/>
      <c r="CG378" s="82"/>
      <c r="CH378" s="2"/>
      <c r="CI378" s="3"/>
      <c r="CJ378" s="82"/>
      <c r="CK378" s="82"/>
      <c r="CL378" s="3"/>
      <c r="CM378" s="3"/>
      <c r="CN378" s="2"/>
      <c r="CO378" s="3"/>
      <c r="CP378" s="82"/>
      <c r="CQ378" s="82"/>
      <c r="CR378" s="3"/>
      <c r="CS378" s="3"/>
      <c r="CT378" s="3"/>
      <c r="CU378" s="3"/>
      <c r="CV378" s="3"/>
      <c r="CW378" s="3"/>
      <c r="CX378" s="3"/>
      <c r="CY378" s="3"/>
      <c r="CZ378" s="3"/>
      <c r="DA378" s="1"/>
      <c r="DB378" s="1"/>
      <c r="DC378" s="1"/>
      <c r="DD378" s="99"/>
      <c r="DF378" s="134"/>
      <c r="DG378" s="135"/>
      <c r="DH378" s="135"/>
      <c r="DI378" s="135"/>
      <c r="DJ378" s="136"/>
      <c r="DK378" s="136"/>
      <c r="DL378" s="136"/>
      <c r="DM378" s="136"/>
      <c r="DN378" s="136"/>
      <c r="DO378" s="136"/>
      <c r="DP378" s="136"/>
      <c r="DQ378" s="136"/>
      <c r="DR378" s="136"/>
      <c r="DS378" s="136"/>
      <c r="DT378" s="136"/>
      <c r="DU378" s="136"/>
      <c r="DV378" s="136"/>
      <c r="DW378" s="136"/>
      <c r="DX378" s="136"/>
      <c r="DY378" s="136"/>
      <c r="DZ378" s="136"/>
      <c r="EA378" s="136"/>
      <c r="EB378" s="136"/>
      <c r="EC378" s="136"/>
      <c r="ED378" s="136"/>
      <c r="EE378" s="136"/>
      <c r="EF378" s="136"/>
      <c r="EG378" s="136"/>
      <c r="EH378" s="136"/>
      <c r="EI378" s="137"/>
    </row>
    <row r="379" spans="30:139" ht="6.95" customHeight="1" x14ac:dyDescent="0.15">
      <c r="AD379" s="56"/>
      <c r="AE379" s="3"/>
      <c r="AF379" s="199">
        <f>CHOOSE(SUM((AD346&gt;={700,750,800,850,900,950})*1), 500,550,600,650,700,750)</f>
        <v>600</v>
      </c>
      <c r="AG379" s="199"/>
      <c r="AH379" s="199"/>
      <c r="AI379" s="199"/>
      <c r="AJ379" s="4"/>
      <c r="AK379" s="4"/>
      <c r="AL379" s="4"/>
      <c r="AM379" s="4"/>
      <c r="AN379" s="82"/>
      <c r="AO379" s="82"/>
      <c r="AP379" s="82"/>
      <c r="AQ379" s="82"/>
      <c r="AR379" s="82"/>
      <c r="AS379" s="82"/>
      <c r="AT379" s="4"/>
      <c r="AU379" s="3"/>
      <c r="AV379" s="3"/>
      <c r="AW379" s="82"/>
      <c r="AX379" s="3"/>
      <c r="AY379" s="3"/>
      <c r="AZ379" s="4"/>
      <c r="BA379" s="3"/>
      <c r="BB379" s="3"/>
      <c r="BC379" s="3"/>
      <c r="BD379" s="3"/>
      <c r="BE379" s="3"/>
      <c r="BF379" s="3"/>
      <c r="BG379" s="3"/>
      <c r="BH379" s="197">
        <f>CHOOSE(SUM(($BR$138&gt;={700,750})*1), 700,800)</f>
        <v>800</v>
      </c>
      <c r="BI379" s="197"/>
      <c r="BJ379" s="197"/>
      <c r="BK379" s="197"/>
      <c r="BL379" s="3"/>
      <c r="BM379" s="1"/>
      <c r="BN379" s="1"/>
      <c r="BO379" s="1"/>
      <c r="BP379" s="99"/>
      <c r="BQ379" s="110"/>
      <c r="BR379" s="56"/>
      <c r="BS379" s="3"/>
      <c r="BT379" s="199">
        <f>CHOOSE(SUM((BR346&gt;={700,750,800,850,900,950})*1), 500,550,600,650,700,750)</f>
        <v>600</v>
      </c>
      <c r="BU379" s="199"/>
      <c r="BV379" s="199"/>
      <c r="BW379" s="199"/>
      <c r="BX379" s="4"/>
      <c r="BY379" s="4"/>
      <c r="BZ379" s="4"/>
      <c r="CA379" s="4"/>
      <c r="CB379" s="82"/>
      <c r="CC379" s="82"/>
      <c r="CD379" s="82"/>
      <c r="CE379" s="82"/>
      <c r="CF379" s="82"/>
      <c r="CG379" s="82"/>
      <c r="CH379" s="4"/>
      <c r="CI379" s="3"/>
      <c r="CJ379" s="3"/>
      <c r="CK379" s="82"/>
      <c r="CL379" s="3"/>
      <c r="CM379" s="3"/>
      <c r="CN379" s="4"/>
      <c r="CO379" s="3"/>
      <c r="CP379" s="3"/>
      <c r="CQ379" s="3"/>
      <c r="CR379" s="3"/>
      <c r="CS379" s="3"/>
      <c r="CT379" s="3"/>
      <c r="CU379" s="3"/>
      <c r="CV379" s="197">
        <f>CHOOSE(SUM(($BR$138&gt;={700,750})*1), 700,800)</f>
        <v>800</v>
      </c>
      <c r="CW379" s="197"/>
      <c r="CX379" s="197"/>
      <c r="CY379" s="197"/>
      <c r="CZ379" s="3"/>
      <c r="DA379" s="1"/>
      <c r="DB379" s="1"/>
      <c r="DC379" s="1"/>
      <c r="DD379" s="99"/>
    </row>
    <row r="380" spans="30:139" ht="6.95" customHeight="1" x14ac:dyDescent="0.15">
      <c r="AD380" s="56"/>
      <c r="AE380" s="3"/>
      <c r="AF380" s="199"/>
      <c r="AG380" s="199"/>
      <c r="AH380" s="199"/>
      <c r="AI380" s="199"/>
      <c r="AJ380" s="4"/>
      <c r="AK380" s="4"/>
      <c r="AL380" s="4"/>
      <c r="AM380" s="4"/>
      <c r="AN380" s="82"/>
      <c r="AO380" s="82"/>
      <c r="AP380" s="82"/>
      <c r="AQ380" s="4"/>
      <c r="AR380" s="4"/>
      <c r="AS380" s="4"/>
      <c r="AT380" s="4"/>
      <c r="AU380" s="4"/>
      <c r="AV380" s="4"/>
      <c r="AW380" s="3"/>
      <c r="AX380" s="3"/>
      <c r="AY380" s="4"/>
      <c r="AZ380" s="4"/>
      <c r="BA380" s="4"/>
      <c r="BB380" s="4"/>
      <c r="BC380" s="4"/>
      <c r="BD380" s="4"/>
      <c r="BE380" s="4"/>
      <c r="BF380" s="4"/>
      <c r="BG380" s="4"/>
      <c r="BH380" s="197"/>
      <c r="BI380" s="197"/>
      <c r="BJ380" s="197"/>
      <c r="BK380" s="197"/>
      <c r="BL380" s="4"/>
      <c r="BM380" s="1"/>
      <c r="BN380" s="1"/>
      <c r="BO380" s="1"/>
      <c r="BP380" s="99"/>
      <c r="BQ380" s="110"/>
      <c r="BR380" s="56"/>
      <c r="BS380" s="3"/>
      <c r="BT380" s="199"/>
      <c r="BU380" s="199"/>
      <c r="BV380" s="199"/>
      <c r="BW380" s="199"/>
      <c r="BX380" s="4"/>
      <c r="BY380" s="4"/>
      <c r="BZ380" s="4"/>
      <c r="CA380" s="4"/>
      <c r="CB380" s="82"/>
      <c r="CC380" s="82"/>
      <c r="CD380" s="82"/>
      <c r="CE380" s="4"/>
      <c r="CF380" s="4"/>
      <c r="CG380" s="4"/>
      <c r="CH380" s="4"/>
      <c r="CI380" s="4"/>
      <c r="CJ380" s="4"/>
      <c r="CK380" s="3"/>
      <c r="CL380" s="3"/>
      <c r="CM380" s="4"/>
      <c r="CN380" s="4"/>
      <c r="CO380" s="4"/>
      <c r="CP380" s="4"/>
      <c r="CQ380" s="4"/>
      <c r="CR380" s="4"/>
      <c r="CS380" s="4"/>
      <c r="CT380" s="4"/>
      <c r="CU380" s="4"/>
      <c r="CV380" s="197"/>
      <c r="CW380" s="197"/>
      <c r="CX380" s="197"/>
      <c r="CY380" s="197"/>
      <c r="CZ380" s="4"/>
      <c r="DA380" s="1"/>
      <c r="DB380" s="1"/>
      <c r="DC380" s="1"/>
      <c r="DD380" s="99"/>
    </row>
    <row r="381" spans="30:139" ht="6.95" customHeight="1" x14ac:dyDescent="0.15">
      <c r="AD381" s="56"/>
      <c r="AE381" s="3"/>
      <c r="AF381" s="3"/>
      <c r="AG381" s="3"/>
      <c r="AH381" s="3"/>
      <c r="AI381" s="4"/>
      <c r="AJ381" s="4"/>
      <c r="AK381" s="4"/>
      <c r="AL381" s="4"/>
      <c r="AM381" s="88"/>
      <c r="AN381" s="88"/>
      <c r="AO381" s="88"/>
      <c r="AP381" s="88"/>
      <c r="AQ381" s="88"/>
      <c r="AR381" s="88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1"/>
      <c r="BN381" s="1"/>
      <c r="BO381" s="1"/>
      <c r="BP381" s="99"/>
      <c r="BQ381" s="110"/>
      <c r="BR381" s="56"/>
      <c r="BS381" s="3"/>
      <c r="BT381" s="3"/>
      <c r="BU381" s="3"/>
      <c r="BV381" s="3"/>
      <c r="BW381" s="4"/>
      <c r="BX381" s="4"/>
      <c r="BY381" s="4"/>
      <c r="BZ381" s="4"/>
      <c r="CA381" s="88"/>
      <c r="CB381" s="88"/>
      <c r="CC381" s="88"/>
      <c r="CD381" s="88"/>
      <c r="CE381" s="88"/>
      <c r="CF381" s="88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1"/>
      <c r="DB381" s="1"/>
      <c r="DC381" s="1"/>
      <c r="DD381" s="99"/>
    </row>
    <row r="382" spans="30:139" ht="6.95" customHeight="1" x14ac:dyDescent="0.15">
      <c r="AD382" s="56"/>
      <c r="AE382" s="3"/>
      <c r="AF382" s="3"/>
      <c r="AG382" s="3"/>
      <c r="AH382" s="3"/>
      <c r="AI382" s="4"/>
      <c r="AJ382" s="4"/>
      <c r="AK382" s="84"/>
      <c r="AL382" s="84"/>
      <c r="AM382" s="88"/>
      <c r="AN382" s="88"/>
      <c r="AO382" s="196" t="s">
        <v>42</v>
      </c>
      <c r="AP382" s="196"/>
      <c r="AQ382" s="196"/>
      <c r="AR382" s="196">
        <v>6</v>
      </c>
      <c r="AS382" s="196"/>
      <c r="AT382" s="196" t="s">
        <v>43</v>
      </c>
      <c r="AU382" s="196"/>
      <c r="AV382" s="196"/>
      <c r="AW382" s="4"/>
      <c r="AX382" s="4"/>
      <c r="AY382" s="4"/>
      <c r="AZ382" s="88"/>
      <c r="BA382" s="4"/>
      <c r="BB382" s="200">
        <f>CHOOSE(SUM(($BR$138&gt;={700,750})*1), 300,200)</f>
        <v>200</v>
      </c>
      <c r="BC382" s="200"/>
      <c r="BD382" s="200"/>
      <c r="BE382" s="200"/>
      <c r="BF382" s="4"/>
      <c r="BG382" s="88"/>
      <c r="BH382" s="196" t="s">
        <v>42</v>
      </c>
      <c r="BI382" s="196"/>
      <c r="BJ382" s="196"/>
      <c r="BK382" s="196">
        <v>2</v>
      </c>
      <c r="BL382" s="196"/>
      <c r="BM382" s="196" t="s">
        <v>43</v>
      </c>
      <c r="BN382" s="196"/>
      <c r="BO382" s="196"/>
      <c r="BP382" s="99"/>
      <c r="BQ382" s="110"/>
      <c r="BR382" s="56"/>
      <c r="BS382" s="3"/>
      <c r="BT382" s="3"/>
      <c r="BU382" s="3"/>
      <c r="BV382" s="3"/>
      <c r="BW382" s="4"/>
      <c r="BX382" s="4"/>
      <c r="BY382" s="84"/>
      <c r="BZ382" s="84"/>
      <c r="CA382" s="88"/>
      <c r="CB382" s="88"/>
      <c r="CC382" s="196" t="s">
        <v>42</v>
      </c>
      <c r="CD382" s="196"/>
      <c r="CE382" s="196"/>
      <c r="CF382" s="196">
        <v>6</v>
      </c>
      <c r="CG382" s="196"/>
      <c r="CH382" s="196" t="s">
        <v>43</v>
      </c>
      <c r="CI382" s="196"/>
      <c r="CJ382" s="196"/>
      <c r="CK382" s="4"/>
      <c r="CL382" s="4"/>
      <c r="CM382" s="4"/>
      <c r="CN382" s="88"/>
      <c r="CO382" s="4"/>
      <c r="CP382" s="200">
        <f>CHOOSE(SUM(($BR$138&gt;={700,750})*1), 300,200)</f>
        <v>200</v>
      </c>
      <c r="CQ382" s="200"/>
      <c r="CR382" s="200"/>
      <c r="CS382" s="200"/>
      <c r="CT382" s="4"/>
      <c r="CU382" s="88"/>
      <c r="CV382" s="196" t="s">
        <v>42</v>
      </c>
      <c r="CW382" s="196"/>
      <c r="CX382" s="196"/>
      <c r="CY382" s="196">
        <v>2</v>
      </c>
      <c r="CZ382" s="196"/>
      <c r="DA382" s="196" t="s">
        <v>43</v>
      </c>
      <c r="DB382" s="196"/>
      <c r="DC382" s="196"/>
      <c r="DD382" s="99"/>
    </row>
    <row r="383" spans="30:139" ht="6.95" customHeight="1" x14ac:dyDescent="0.15">
      <c r="AD383" s="56"/>
      <c r="AE383" s="3"/>
      <c r="AF383" s="2"/>
      <c r="AG383" s="2"/>
      <c r="AH383" s="2"/>
      <c r="AI383" s="2"/>
      <c r="AJ383" s="2"/>
      <c r="AK383" s="84"/>
      <c r="AL383" s="84"/>
      <c r="AM383" s="88"/>
      <c r="AN383" s="88"/>
      <c r="AO383" s="196"/>
      <c r="AP383" s="196"/>
      <c r="AQ383" s="196"/>
      <c r="AR383" s="196"/>
      <c r="AS383" s="196"/>
      <c r="AT383" s="196"/>
      <c r="AU383" s="196"/>
      <c r="AV383" s="196"/>
      <c r="AW383" s="84"/>
      <c r="AX383" s="84"/>
      <c r="AY383" s="4"/>
      <c r="AZ383" s="88"/>
      <c r="BA383" s="4"/>
      <c r="BB383" s="200"/>
      <c r="BC383" s="200"/>
      <c r="BD383" s="200"/>
      <c r="BE383" s="200"/>
      <c r="BF383" s="4"/>
      <c r="BG383" s="88"/>
      <c r="BH383" s="196"/>
      <c r="BI383" s="196"/>
      <c r="BJ383" s="196"/>
      <c r="BK383" s="196"/>
      <c r="BL383" s="196"/>
      <c r="BM383" s="196"/>
      <c r="BN383" s="196"/>
      <c r="BO383" s="196"/>
      <c r="BP383" s="99"/>
      <c r="BQ383" s="110"/>
      <c r="BR383" s="56"/>
      <c r="BS383" s="3"/>
      <c r="BT383" s="2"/>
      <c r="BU383" s="2"/>
      <c r="BV383" s="2"/>
      <c r="BW383" s="2"/>
      <c r="BX383" s="2"/>
      <c r="BY383" s="84"/>
      <c r="BZ383" s="84"/>
      <c r="CA383" s="88"/>
      <c r="CB383" s="88"/>
      <c r="CC383" s="196"/>
      <c r="CD383" s="196"/>
      <c r="CE383" s="196"/>
      <c r="CF383" s="196"/>
      <c r="CG383" s="196"/>
      <c r="CH383" s="196"/>
      <c r="CI383" s="196"/>
      <c r="CJ383" s="196"/>
      <c r="CK383" s="84"/>
      <c r="CL383" s="84"/>
      <c r="CM383" s="4"/>
      <c r="CN383" s="88"/>
      <c r="CO383" s="4"/>
      <c r="CP383" s="200"/>
      <c r="CQ383" s="200"/>
      <c r="CR383" s="200"/>
      <c r="CS383" s="200"/>
      <c r="CT383" s="4"/>
      <c r="CU383" s="88"/>
      <c r="CV383" s="196"/>
      <c r="CW383" s="196"/>
      <c r="CX383" s="196"/>
      <c r="CY383" s="196"/>
      <c r="CZ383" s="196"/>
      <c r="DA383" s="196"/>
      <c r="DB383" s="196"/>
      <c r="DC383" s="196"/>
      <c r="DD383" s="99"/>
    </row>
    <row r="384" spans="30:139" ht="6.95" customHeight="1" x14ac:dyDescent="0.15">
      <c r="AD384" s="52"/>
      <c r="AE384" s="2"/>
      <c r="AF384" s="2"/>
      <c r="AG384" s="2"/>
      <c r="AH384" s="2"/>
      <c r="AI384" s="2"/>
      <c r="AJ384" s="2"/>
      <c r="AK384" s="84"/>
      <c r="AL384" s="84"/>
      <c r="AM384" s="88"/>
      <c r="AN384" s="88"/>
      <c r="AO384" s="103"/>
      <c r="AP384" s="103"/>
      <c r="AQ384" s="103"/>
      <c r="AR384" s="103"/>
      <c r="AS384" s="103"/>
      <c r="AT384" s="103"/>
      <c r="AU384" s="103"/>
      <c r="AV384" s="103"/>
      <c r="AW384" s="84"/>
      <c r="AX384" s="84"/>
      <c r="AY384" s="4"/>
      <c r="AZ384" s="88"/>
      <c r="BA384" s="4"/>
      <c r="BB384" s="107"/>
      <c r="BC384" s="107"/>
      <c r="BD384" s="107"/>
      <c r="BE384" s="107"/>
      <c r="BF384" s="4"/>
      <c r="BG384" s="88"/>
      <c r="BH384" s="103"/>
      <c r="BI384" s="103"/>
      <c r="BJ384" s="103"/>
      <c r="BK384" s="103"/>
      <c r="BL384" s="103"/>
      <c r="BM384" s="103"/>
      <c r="BN384" s="103"/>
      <c r="BO384" s="103"/>
      <c r="BP384" s="99"/>
      <c r="BQ384" s="110"/>
      <c r="BR384" s="52"/>
      <c r="BS384" s="2"/>
      <c r="BT384" s="2"/>
      <c r="BU384" s="2"/>
      <c r="BV384" s="2"/>
      <c r="BW384" s="2"/>
      <c r="BX384" s="2"/>
      <c r="BY384" s="84"/>
      <c r="BZ384" s="84"/>
      <c r="CA384" s="88"/>
      <c r="CB384" s="88"/>
      <c r="CC384" s="103"/>
      <c r="CD384" s="103"/>
      <c r="CE384" s="103"/>
      <c r="CF384" s="103"/>
      <c r="CG384" s="103"/>
      <c r="CH384" s="103"/>
      <c r="CI384" s="103"/>
      <c r="CJ384" s="103"/>
      <c r="CK384" s="84"/>
      <c r="CL384" s="84"/>
      <c r="CM384" s="4"/>
      <c r="CN384" s="4"/>
      <c r="CO384" s="4"/>
      <c r="CP384" s="4"/>
      <c r="CQ384" s="4"/>
      <c r="CR384" s="4"/>
      <c r="CS384" s="4"/>
      <c r="CT384" s="4"/>
      <c r="CU384" s="4"/>
      <c r="CV384" s="1"/>
      <c r="CW384" s="1"/>
      <c r="CX384" s="1"/>
      <c r="CY384" s="1"/>
      <c r="CZ384" s="1"/>
      <c r="DA384" s="1"/>
      <c r="DB384" s="1"/>
      <c r="DC384" s="1"/>
      <c r="DD384" s="99"/>
    </row>
    <row r="385" spans="27:139" ht="6.95" customHeight="1" x14ac:dyDescent="0.15">
      <c r="AD385" s="56"/>
      <c r="AE385" s="3"/>
      <c r="AF385" s="3"/>
      <c r="AG385" s="3"/>
      <c r="AH385" s="3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1"/>
      <c r="BI385" s="1"/>
      <c r="BJ385" s="1"/>
      <c r="BK385" s="1"/>
      <c r="BL385" s="1"/>
      <c r="BM385" s="1"/>
      <c r="BN385" s="1"/>
      <c r="BO385" s="1"/>
      <c r="BP385" s="99"/>
      <c r="BQ385" s="110"/>
      <c r="BR385" s="56"/>
      <c r="BS385" s="3"/>
      <c r="BT385" s="2"/>
      <c r="BU385" s="2"/>
      <c r="BV385" s="2"/>
      <c r="BW385" s="2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1"/>
      <c r="CW385" s="1"/>
      <c r="CX385" s="1"/>
      <c r="CY385" s="1"/>
      <c r="CZ385" s="1"/>
      <c r="DA385" s="1"/>
      <c r="DB385" s="1"/>
      <c r="DC385" s="1"/>
      <c r="DD385" s="99"/>
    </row>
    <row r="386" spans="27:139" ht="6.95" customHeight="1" x14ac:dyDescent="0.15">
      <c r="AD386" s="56"/>
      <c r="AE386" s="3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3"/>
      <c r="AQ386" s="103"/>
      <c r="AR386" s="103"/>
      <c r="AS386" s="103"/>
      <c r="AT386" s="103"/>
      <c r="AU386" s="103"/>
      <c r="AV386" s="103"/>
      <c r="AW386" s="103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1"/>
      <c r="BI386" s="1"/>
      <c r="BJ386" s="1"/>
      <c r="BK386" s="1"/>
      <c r="BL386" s="1"/>
      <c r="BM386" s="1"/>
      <c r="BN386" s="1"/>
      <c r="BO386" s="1"/>
      <c r="BP386" s="99"/>
      <c r="BQ386" s="110"/>
      <c r="BR386" s="56"/>
      <c r="BS386" s="3"/>
      <c r="BT386" s="2"/>
      <c r="BU386" s="2"/>
      <c r="BV386" s="2"/>
      <c r="BW386" s="2"/>
      <c r="BX386" s="106"/>
      <c r="BY386" s="106"/>
      <c r="BZ386" s="106"/>
      <c r="CA386" s="106"/>
      <c r="CB386" s="106"/>
      <c r="CC386" s="106"/>
      <c r="CD386" s="103"/>
      <c r="CE386" s="103"/>
      <c r="CF386" s="103"/>
      <c r="CG386" s="103"/>
      <c r="CH386" s="103"/>
      <c r="CI386" s="103"/>
      <c r="CJ386" s="103"/>
      <c r="CK386" s="103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1"/>
      <c r="CW386" s="1"/>
      <c r="CX386" s="1"/>
      <c r="CY386" s="1"/>
      <c r="CZ386" s="1"/>
      <c r="DA386" s="1"/>
      <c r="DB386" s="1"/>
      <c r="DC386" s="1"/>
      <c r="DD386" s="147"/>
    </row>
    <row r="387" spans="27:139" ht="6.95" customHeight="1" x14ac:dyDescent="0.15">
      <c r="AD387" s="56"/>
      <c r="AE387" s="3"/>
      <c r="AF387" s="200" t="s">
        <v>26</v>
      </c>
      <c r="AG387" s="200"/>
      <c r="AH387" s="200"/>
      <c r="AI387" s="200"/>
      <c r="AJ387" s="106"/>
      <c r="AK387" s="106"/>
      <c r="AL387" s="106"/>
      <c r="AM387" s="106"/>
      <c r="AN387" s="106"/>
      <c r="AO387" s="106"/>
      <c r="AP387" s="103"/>
      <c r="AQ387" s="103"/>
      <c r="AR387" s="103"/>
      <c r="AS387" s="103"/>
      <c r="AT387" s="103"/>
      <c r="AU387" s="103"/>
      <c r="AV387" s="103"/>
      <c r="AW387" s="103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1"/>
      <c r="BI387" s="1"/>
      <c r="BJ387" s="1"/>
      <c r="BK387" s="1"/>
      <c r="BL387" s="1"/>
      <c r="BM387" s="1"/>
      <c r="BN387" s="1"/>
      <c r="BO387" s="1"/>
      <c r="BP387" s="99"/>
      <c r="BQ387" s="110"/>
      <c r="BR387" s="56"/>
      <c r="BS387" s="3"/>
      <c r="BT387" s="2"/>
      <c r="BU387" s="2"/>
      <c r="BV387" s="2"/>
      <c r="BW387" s="2"/>
      <c r="BX387" s="106"/>
      <c r="BY387" s="106"/>
      <c r="BZ387" s="106"/>
      <c r="CA387" s="106"/>
      <c r="CB387" s="106"/>
      <c r="CC387" s="106"/>
      <c r="CD387" s="103"/>
      <c r="CE387" s="103"/>
      <c r="CF387" s="103"/>
      <c r="CG387" s="103"/>
      <c r="CH387" s="103"/>
      <c r="CI387" s="103"/>
      <c r="CJ387" s="103"/>
      <c r="CK387" s="103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1"/>
      <c r="CW387" s="1"/>
      <c r="CX387" s="1"/>
      <c r="CY387" s="1"/>
      <c r="CZ387" s="1"/>
      <c r="DA387" s="1"/>
      <c r="DB387" s="1"/>
      <c r="DC387" s="1"/>
      <c r="DD387" s="147"/>
    </row>
    <row r="388" spans="27:139" ht="6.95" customHeight="1" x14ac:dyDescent="0.15">
      <c r="AA388" s="89">
        <v>750</v>
      </c>
      <c r="AB388" s="89"/>
      <c r="AC388" s="99"/>
      <c r="AD388" s="56"/>
      <c r="AE388" s="3"/>
      <c r="AF388" s="200"/>
      <c r="AG388" s="200"/>
      <c r="AH388" s="200"/>
      <c r="AI388" s="200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1"/>
      <c r="BI388" s="1"/>
      <c r="BJ388" s="199">
        <f>CHOOSE(SUM((AD346&gt;={700,750,800,850,900,950})*1), 140,190,240,290,340,390)</f>
        <v>240</v>
      </c>
      <c r="BK388" s="199"/>
      <c r="BL388" s="199"/>
      <c r="BM388" s="199"/>
      <c r="BN388" s="1"/>
      <c r="BO388" s="1"/>
      <c r="BP388" s="99"/>
      <c r="BQ388" s="110"/>
      <c r="BR388" s="56"/>
      <c r="BS388" s="3"/>
      <c r="BT388" s="193" t="s">
        <v>44</v>
      </c>
      <c r="BU388" s="193"/>
      <c r="BV388" s="193"/>
      <c r="BW388" s="193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1"/>
      <c r="CW388" s="1"/>
      <c r="CX388" s="199">
        <f>CHOOSE(SUM((BR346&gt;={700,750,800,850,900,950})*1), 140,190,240,290,340,390)</f>
        <v>240</v>
      </c>
      <c r="CY388" s="199"/>
      <c r="CZ388" s="199"/>
      <c r="DA388" s="199"/>
      <c r="DB388" s="1"/>
      <c r="DC388" s="1"/>
      <c r="DD388" s="147"/>
      <c r="DF388" s="138"/>
      <c r="DG388" s="120"/>
      <c r="DH388" s="120"/>
      <c r="DI388" s="120"/>
      <c r="DJ388" s="120"/>
      <c r="DK388" s="120"/>
      <c r="DL388" s="120"/>
      <c r="DM388" s="120"/>
      <c r="DN388" s="120"/>
      <c r="DO388" s="120"/>
      <c r="DP388" s="120"/>
      <c r="DQ388" s="120"/>
      <c r="DR388" s="120"/>
      <c r="DS388" s="120"/>
      <c r="DT388" s="120"/>
      <c r="DU388" s="120"/>
      <c r="DV388" s="120"/>
      <c r="DW388" s="120"/>
      <c r="DX388" s="120"/>
      <c r="DY388" s="120"/>
      <c r="DZ388" s="120"/>
      <c r="EA388" s="120"/>
      <c r="EB388" s="120"/>
      <c r="EC388" s="120"/>
      <c r="ED388" s="120"/>
      <c r="EE388" s="120"/>
      <c r="EF388" s="120"/>
      <c r="EG388" s="120"/>
      <c r="EH388" s="120"/>
      <c r="EI388" s="121"/>
    </row>
    <row r="389" spans="27:139" ht="6.95" customHeight="1" x14ac:dyDescent="0.15">
      <c r="AA389" s="89"/>
      <c r="AB389" s="89"/>
      <c r="AC389" s="99"/>
      <c r="AD389" s="56"/>
      <c r="AE389" s="3"/>
      <c r="AF389" s="106"/>
      <c r="AG389" s="106"/>
      <c r="AH389" s="106"/>
      <c r="AI389" s="106"/>
      <c r="AJ389" s="104"/>
      <c r="AK389" s="105"/>
      <c r="AL389" s="105"/>
      <c r="AM389" s="105"/>
      <c r="AN389" s="105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1"/>
      <c r="BI389" s="1"/>
      <c r="BJ389" s="199"/>
      <c r="BK389" s="199"/>
      <c r="BL389" s="199"/>
      <c r="BM389" s="199"/>
      <c r="BN389" s="1"/>
      <c r="BO389" s="1"/>
      <c r="BP389" s="99"/>
      <c r="BQ389" s="110"/>
      <c r="BR389" s="56"/>
      <c r="BS389" s="3"/>
      <c r="BT389" s="193"/>
      <c r="BU389" s="193"/>
      <c r="BV389" s="193"/>
      <c r="BW389" s="193"/>
      <c r="BX389" s="104"/>
      <c r="BY389" s="105"/>
      <c r="BZ389" s="105"/>
      <c r="CA389" s="105"/>
      <c r="CB389" s="105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1"/>
      <c r="CW389" s="1"/>
      <c r="CX389" s="199"/>
      <c r="CY389" s="199"/>
      <c r="CZ389" s="199"/>
      <c r="DA389" s="199"/>
      <c r="DB389" s="1"/>
      <c r="DC389" s="1"/>
      <c r="DD389" s="147"/>
      <c r="DF389" s="122"/>
      <c r="DG389" s="58"/>
      <c r="DH389" s="58"/>
      <c r="DI389" s="58"/>
      <c r="DJ389" s="58"/>
      <c r="DK389" s="58"/>
      <c r="DL389" s="58"/>
      <c r="DM389" s="58"/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8"/>
      <c r="DY389" s="58"/>
      <c r="DZ389" s="58"/>
      <c r="EA389" s="58"/>
      <c r="EB389" s="58"/>
      <c r="EC389" s="58"/>
      <c r="ED389" s="58"/>
      <c r="EE389" s="58"/>
      <c r="EF389" s="58"/>
      <c r="EG389" s="58"/>
      <c r="EH389" s="58"/>
      <c r="EI389" s="123"/>
    </row>
    <row r="390" spans="27:139" ht="6.95" customHeight="1" x14ac:dyDescent="0.15">
      <c r="AD390" s="56"/>
      <c r="AE390" s="3"/>
      <c r="AF390" s="197" t="str">
        <f>AF387</f>
        <v>D16</v>
      </c>
      <c r="AG390" s="197"/>
      <c r="AH390" s="197"/>
      <c r="AI390" s="197"/>
      <c r="AJ390" s="104"/>
      <c r="AK390" s="105"/>
      <c r="AL390" s="105"/>
      <c r="AM390" s="105"/>
      <c r="AN390" s="105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1"/>
      <c r="BI390" s="1"/>
      <c r="BJ390" s="96"/>
      <c r="BK390" s="96"/>
      <c r="BL390" s="96"/>
      <c r="BM390" s="96"/>
      <c r="BN390" s="110"/>
      <c r="BO390" s="1"/>
      <c r="BP390" s="99"/>
      <c r="BQ390" s="110"/>
      <c r="BR390" s="56"/>
      <c r="BS390" s="3"/>
      <c r="BT390" s="2"/>
      <c r="BU390" s="2"/>
      <c r="BV390" s="2"/>
      <c r="BW390" s="2"/>
      <c r="BX390" s="104"/>
      <c r="BY390" s="105"/>
      <c r="BZ390" s="105"/>
      <c r="CA390" s="105"/>
      <c r="CB390" s="105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1"/>
      <c r="CW390" s="1"/>
      <c r="CX390" s="96"/>
      <c r="CY390" s="96"/>
      <c r="CZ390" s="96"/>
      <c r="DA390" s="96"/>
      <c r="DB390" s="110"/>
      <c r="DC390" s="1"/>
      <c r="DD390" s="147"/>
      <c r="DF390" s="124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125"/>
    </row>
    <row r="391" spans="27:139" ht="6.95" customHeight="1" x14ac:dyDescent="0.15">
      <c r="AD391" s="56"/>
      <c r="AE391" s="3"/>
      <c r="AF391" s="197"/>
      <c r="AG391" s="197"/>
      <c r="AH391" s="197"/>
      <c r="AI391" s="197"/>
      <c r="AJ391" s="4"/>
      <c r="AK391" s="4"/>
      <c r="AL391" s="105"/>
      <c r="AM391" s="105"/>
      <c r="AN391" s="105"/>
      <c r="AO391" s="105"/>
      <c r="AP391" s="105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1"/>
      <c r="BI391" s="1"/>
      <c r="BJ391" s="1"/>
      <c r="BK391" s="1"/>
      <c r="BL391" s="110"/>
      <c r="BM391" s="110"/>
      <c r="BN391" s="110"/>
      <c r="BO391" s="1"/>
      <c r="BP391" s="99"/>
      <c r="BQ391" s="110"/>
      <c r="BR391" s="56"/>
      <c r="BS391" s="3"/>
      <c r="BT391" s="2"/>
      <c r="BU391" s="2"/>
      <c r="BV391" s="2"/>
      <c r="BW391" s="2"/>
      <c r="BX391" s="4"/>
      <c r="BY391" s="4"/>
      <c r="BZ391" s="105"/>
      <c r="CA391" s="105"/>
      <c r="CB391" s="105"/>
      <c r="CC391" s="105"/>
      <c r="CD391" s="105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1"/>
      <c r="CW391" s="1"/>
      <c r="CX391" s="1"/>
      <c r="CY391" s="1"/>
      <c r="CZ391" s="110"/>
      <c r="DA391" s="110"/>
      <c r="DB391" s="110"/>
      <c r="DC391" s="1"/>
      <c r="DD391" s="147"/>
      <c r="DF391" s="124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125"/>
    </row>
    <row r="392" spans="27:139" ht="6.95" customHeight="1" x14ac:dyDescent="0.15">
      <c r="AD392" s="56"/>
      <c r="AE392" s="3"/>
      <c r="AF392" s="106"/>
      <c r="AG392" s="106"/>
      <c r="AH392" s="106"/>
      <c r="AI392" s="106"/>
      <c r="AJ392" s="4"/>
      <c r="AK392" s="4"/>
      <c r="AL392" s="105"/>
      <c r="AM392" s="105"/>
      <c r="AN392" s="105"/>
      <c r="AO392" s="105"/>
      <c r="AP392" s="105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196" t="s">
        <v>42</v>
      </c>
      <c r="BI392" s="196"/>
      <c r="BJ392" s="196"/>
      <c r="BK392" s="196">
        <v>1</v>
      </c>
      <c r="BL392" s="196"/>
      <c r="BM392" s="196" t="s">
        <v>43</v>
      </c>
      <c r="BN392" s="196"/>
      <c r="BO392" s="196"/>
      <c r="BP392" s="99"/>
      <c r="BQ392" s="110"/>
      <c r="BR392" s="56"/>
      <c r="BS392" s="3"/>
      <c r="BT392" s="193" t="s">
        <v>44</v>
      </c>
      <c r="BU392" s="193"/>
      <c r="BV392" s="193"/>
      <c r="BW392" s="193"/>
      <c r="BX392" s="4"/>
      <c r="BY392" s="4"/>
      <c r="BZ392" s="105"/>
      <c r="CA392" s="105"/>
      <c r="CB392" s="105"/>
      <c r="CC392" s="105"/>
      <c r="CD392" s="105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196" t="s">
        <v>42</v>
      </c>
      <c r="CW392" s="196"/>
      <c r="CX392" s="196"/>
      <c r="CY392" s="196">
        <v>1</v>
      </c>
      <c r="CZ392" s="196"/>
      <c r="DA392" s="196" t="s">
        <v>43</v>
      </c>
      <c r="DB392" s="196"/>
      <c r="DC392" s="196"/>
      <c r="DD392" s="147"/>
      <c r="DF392" s="124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125"/>
    </row>
    <row r="393" spans="27:139" ht="6.95" customHeight="1" x14ac:dyDescent="0.15">
      <c r="AD393" s="56"/>
      <c r="AE393" s="3"/>
      <c r="AF393" s="3"/>
      <c r="AG393" s="3"/>
      <c r="AH393" s="105"/>
      <c r="AI393" s="105"/>
      <c r="AJ393" s="105"/>
      <c r="AK393" s="105"/>
      <c r="AL393" s="4"/>
      <c r="AM393" s="4"/>
      <c r="AN393" s="4"/>
      <c r="AO393" s="103"/>
      <c r="AP393" s="103"/>
      <c r="AQ393" s="103"/>
      <c r="AR393" s="103"/>
      <c r="AS393" s="103"/>
      <c r="AT393" s="103"/>
      <c r="AU393" s="103"/>
      <c r="AV393" s="103"/>
      <c r="AW393" s="103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196"/>
      <c r="BI393" s="196"/>
      <c r="BJ393" s="196"/>
      <c r="BK393" s="196"/>
      <c r="BL393" s="196"/>
      <c r="BM393" s="196"/>
      <c r="BN393" s="196"/>
      <c r="BO393" s="196"/>
      <c r="BP393" s="99"/>
      <c r="BQ393" s="110"/>
      <c r="BR393" s="56"/>
      <c r="BS393" s="3"/>
      <c r="BT393" s="193"/>
      <c r="BU393" s="193"/>
      <c r="BV393" s="193"/>
      <c r="BW393" s="193"/>
      <c r="BX393" s="105"/>
      <c r="BY393" s="105"/>
      <c r="BZ393" s="4"/>
      <c r="CA393" s="4"/>
      <c r="CB393" s="4"/>
      <c r="CC393" s="103"/>
      <c r="CD393" s="103"/>
      <c r="CE393" s="103"/>
      <c r="CF393" s="103"/>
      <c r="CG393" s="103"/>
      <c r="CH393" s="103"/>
      <c r="CI393" s="103"/>
      <c r="CJ393" s="103"/>
      <c r="CK393" s="103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196"/>
      <c r="CW393" s="196"/>
      <c r="CX393" s="196"/>
      <c r="CY393" s="196"/>
      <c r="CZ393" s="196"/>
      <c r="DA393" s="196"/>
      <c r="DB393" s="196"/>
      <c r="DC393" s="196"/>
      <c r="DD393" s="147"/>
      <c r="DF393" s="124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125"/>
    </row>
    <row r="394" spans="27:139" ht="6.95" customHeight="1" x14ac:dyDescent="0.15">
      <c r="AD394" s="56"/>
      <c r="AE394" s="3"/>
      <c r="AF394" s="198" t="s">
        <v>44</v>
      </c>
      <c r="AG394" s="198"/>
      <c r="AH394" s="198"/>
      <c r="AI394" s="198"/>
      <c r="AJ394" s="105"/>
      <c r="AK394" s="105"/>
      <c r="AL394" s="218">
        <v>1800</v>
      </c>
      <c r="AM394" s="218"/>
      <c r="AN394" s="218"/>
      <c r="AO394" s="218"/>
      <c r="AP394" s="218"/>
      <c r="AQ394" s="218"/>
      <c r="AR394" s="218"/>
      <c r="AS394" s="103"/>
      <c r="AT394" s="196" t="s">
        <v>42</v>
      </c>
      <c r="AU394" s="196"/>
      <c r="AV394" s="196"/>
      <c r="AW394" s="196">
        <v>2</v>
      </c>
      <c r="AX394" s="196"/>
      <c r="AY394" s="196" t="s">
        <v>43</v>
      </c>
      <c r="AZ394" s="196"/>
      <c r="BA394" s="196"/>
      <c r="BB394" s="4"/>
      <c r="BC394" s="4"/>
      <c r="BD394" s="4"/>
      <c r="BE394" s="4"/>
      <c r="BF394" s="4"/>
      <c r="BG394" s="4"/>
      <c r="BH394" s="103"/>
      <c r="BI394" s="103"/>
      <c r="BJ394" s="103"/>
      <c r="BK394" s="103"/>
      <c r="BL394" s="103"/>
      <c r="BM394" s="103"/>
      <c r="BN394" s="103"/>
      <c r="BO394" s="103"/>
      <c r="BP394" s="99"/>
      <c r="BQ394" s="110"/>
      <c r="BR394" s="56"/>
      <c r="BS394" s="3"/>
      <c r="BT394" s="198" t="s">
        <v>44</v>
      </c>
      <c r="BU394" s="198"/>
      <c r="BV394" s="198"/>
      <c r="BW394" s="198"/>
      <c r="BX394" s="105"/>
      <c r="BY394" s="105"/>
      <c r="BZ394" s="218">
        <v>1800</v>
      </c>
      <c r="CA394" s="218"/>
      <c r="CB394" s="218"/>
      <c r="CC394" s="218"/>
      <c r="CD394" s="218"/>
      <c r="CE394" s="218"/>
      <c r="CF394" s="218"/>
      <c r="CG394" s="103"/>
      <c r="CH394" s="196" t="s">
        <v>42</v>
      </c>
      <c r="CI394" s="196"/>
      <c r="CJ394" s="196"/>
      <c r="CK394" s="196">
        <v>2</v>
      </c>
      <c r="CL394" s="196"/>
      <c r="CM394" s="196" t="s">
        <v>43</v>
      </c>
      <c r="CN394" s="196"/>
      <c r="CO394" s="196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99"/>
      <c r="DF394" s="124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125"/>
    </row>
    <row r="395" spans="27:139" ht="6.95" customHeight="1" x14ac:dyDescent="0.15">
      <c r="AD395" s="56"/>
      <c r="AE395" s="3"/>
      <c r="AF395" s="198"/>
      <c r="AG395" s="198"/>
      <c r="AH395" s="198"/>
      <c r="AI395" s="198"/>
      <c r="AJ395" s="4"/>
      <c r="AK395" s="4"/>
      <c r="AL395" s="218"/>
      <c r="AM395" s="218"/>
      <c r="AN395" s="218"/>
      <c r="AO395" s="218"/>
      <c r="AP395" s="218"/>
      <c r="AQ395" s="218"/>
      <c r="AR395" s="218"/>
      <c r="AS395" s="103"/>
      <c r="AT395" s="196"/>
      <c r="AU395" s="196"/>
      <c r="AV395" s="196"/>
      <c r="AW395" s="196"/>
      <c r="AX395" s="196"/>
      <c r="AY395" s="196"/>
      <c r="AZ395" s="196"/>
      <c r="BA395" s="196"/>
      <c r="BB395" s="4"/>
      <c r="BC395" s="4"/>
      <c r="BD395" s="4"/>
      <c r="BE395" s="4"/>
      <c r="BF395" s="4"/>
      <c r="BG395" s="4"/>
      <c r="BH395" s="1"/>
      <c r="BI395" s="1"/>
      <c r="BJ395" s="1"/>
      <c r="BK395" s="1"/>
      <c r="BL395" s="1"/>
      <c r="BM395" s="1"/>
      <c r="BN395" s="1"/>
      <c r="BO395" s="1"/>
      <c r="BP395" s="99"/>
      <c r="BQ395" s="110"/>
      <c r="BR395" s="56"/>
      <c r="BS395" s="3"/>
      <c r="BT395" s="198"/>
      <c r="BU395" s="198"/>
      <c r="BV395" s="198"/>
      <c r="BW395" s="198"/>
      <c r="BX395" s="4"/>
      <c r="BY395" s="4"/>
      <c r="BZ395" s="218"/>
      <c r="CA395" s="218"/>
      <c r="CB395" s="218"/>
      <c r="CC395" s="218"/>
      <c r="CD395" s="218"/>
      <c r="CE395" s="218"/>
      <c r="CF395" s="218"/>
      <c r="CG395" s="103"/>
      <c r="CH395" s="196"/>
      <c r="CI395" s="196"/>
      <c r="CJ395" s="196"/>
      <c r="CK395" s="196"/>
      <c r="CL395" s="196"/>
      <c r="CM395" s="196"/>
      <c r="CN395" s="196"/>
      <c r="CO395" s="196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99"/>
      <c r="DF395" s="124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125"/>
    </row>
    <row r="396" spans="27:139" ht="6.95" customHeight="1" x14ac:dyDescent="0.15">
      <c r="AD396" s="56"/>
      <c r="AE396" s="3"/>
      <c r="AF396" s="193" t="s">
        <v>26</v>
      </c>
      <c r="AG396" s="193"/>
      <c r="AH396" s="193"/>
      <c r="AI396" s="193"/>
      <c r="AJ396" s="4"/>
      <c r="AK396" s="4"/>
      <c r="AL396" s="218" t="s">
        <v>52</v>
      </c>
      <c r="AM396" s="218"/>
      <c r="AN396" s="218"/>
      <c r="AO396" s="218"/>
      <c r="AP396" s="218"/>
      <c r="AQ396" s="218"/>
      <c r="AR396" s="218"/>
      <c r="AS396" s="103"/>
      <c r="AT396" s="196" t="s">
        <v>42</v>
      </c>
      <c r="AU396" s="196"/>
      <c r="AV396" s="196"/>
      <c r="AW396" s="196">
        <v>2</v>
      </c>
      <c r="AX396" s="196"/>
      <c r="AY396" s="196" t="s">
        <v>43</v>
      </c>
      <c r="AZ396" s="196"/>
      <c r="BA396" s="196"/>
      <c r="BB396" s="4"/>
      <c r="BC396" s="4"/>
      <c r="BD396" s="4"/>
      <c r="BE396" s="4"/>
      <c r="BF396" s="4"/>
      <c r="BG396" s="4"/>
      <c r="BH396" s="1"/>
      <c r="BI396" s="1"/>
      <c r="BJ396" s="1"/>
      <c r="BK396" s="1"/>
      <c r="BL396" s="1"/>
      <c r="BM396" s="1"/>
      <c r="BN396" s="1"/>
      <c r="BO396" s="1"/>
      <c r="BP396" s="99"/>
      <c r="BQ396" s="110"/>
      <c r="BR396" s="157"/>
      <c r="BS396" s="105"/>
      <c r="BT396" s="193" t="s">
        <v>26</v>
      </c>
      <c r="BU396" s="193"/>
      <c r="BV396" s="193"/>
      <c r="BW396" s="193"/>
      <c r="BX396" s="4"/>
      <c r="BY396" s="4"/>
      <c r="BZ396" s="218" t="s">
        <v>52</v>
      </c>
      <c r="CA396" s="218"/>
      <c r="CB396" s="218"/>
      <c r="CC396" s="218"/>
      <c r="CD396" s="218"/>
      <c r="CE396" s="218"/>
      <c r="CF396" s="218"/>
      <c r="CG396" s="103"/>
      <c r="CH396" s="196" t="s">
        <v>42</v>
      </c>
      <c r="CI396" s="196"/>
      <c r="CJ396" s="196"/>
      <c r="CK396" s="196">
        <v>2</v>
      </c>
      <c r="CL396" s="196"/>
      <c r="CM396" s="196" t="s">
        <v>43</v>
      </c>
      <c r="CN396" s="196"/>
      <c r="CO396" s="196"/>
      <c r="CP396" s="4"/>
      <c r="CQ396" s="4"/>
      <c r="CR396" s="4"/>
      <c r="CS396" s="4"/>
      <c r="CT396" s="4"/>
      <c r="CU396" s="4"/>
      <c r="CV396" s="1"/>
      <c r="CW396" s="1"/>
      <c r="CX396" s="1"/>
      <c r="CY396" s="1"/>
      <c r="CZ396" s="1"/>
      <c r="DA396" s="1"/>
      <c r="DB396" s="1"/>
      <c r="DC396" s="1"/>
      <c r="DD396" s="156"/>
      <c r="DF396" s="124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125"/>
    </row>
    <row r="397" spans="27:139" ht="6.95" customHeight="1" x14ac:dyDescent="0.15">
      <c r="AD397" s="56"/>
      <c r="AE397" s="3"/>
      <c r="AF397" s="193"/>
      <c r="AG397" s="193"/>
      <c r="AH397" s="193"/>
      <c r="AI397" s="193"/>
      <c r="AJ397" s="4"/>
      <c r="AK397" s="4"/>
      <c r="AL397" s="218"/>
      <c r="AM397" s="218"/>
      <c r="AN397" s="218"/>
      <c r="AO397" s="218"/>
      <c r="AP397" s="218"/>
      <c r="AQ397" s="218"/>
      <c r="AR397" s="218"/>
      <c r="AS397" s="103"/>
      <c r="AT397" s="196"/>
      <c r="AU397" s="196"/>
      <c r="AV397" s="196"/>
      <c r="AW397" s="196"/>
      <c r="AX397" s="196"/>
      <c r="AY397" s="196"/>
      <c r="AZ397" s="196"/>
      <c r="BA397" s="196"/>
      <c r="BB397" s="4"/>
      <c r="BC397" s="4"/>
      <c r="BD397" s="4"/>
      <c r="BE397" s="4"/>
      <c r="BF397" s="4"/>
      <c r="BG397" s="4"/>
      <c r="BH397" s="1"/>
      <c r="BI397" s="1"/>
      <c r="BJ397" s="1"/>
      <c r="BK397" s="1"/>
      <c r="BL397" s="1"/>
      <c r="BM397" s="1"/>
      <c r="BN397" s="1"/>
      <c r="BO397" s="1"/>
      <c r="BP397" s="99"/>
      <c r="BQ397" s="110"/>
      <c r="BR397" s="157"/>
      <c r="BS397" s="105"/>
      <c r="BT397" s="193"/>
      <c r="BU397" s="193"/>
      <c r="BV397" s="193"/>
      <c r="BW397" s="193"/>
      <c r="BX397" s="4"/>
      <c r="BY397" s="4"/>
      <c r="BZ397" s="218"/>
      <c r="CA397" s="218"/>
      <c r="CB397" s="218"/>
      <c r="CC397" s="218"/>
      <c r="CD397" s="218"/>
      <c r="CE397" s="218"/>
      <c r="CF397" s="218"/>
      <c r="CG397" s="103"/>
      <c r="CH397" s="196"/>
      <c r="CI397" s="196"/>
      <c r="CJ397" s="196"/>
      <c r="CK397" s="196"/>
      <c r="CL397" s="196"/>
      <c r="CM397" s="196"/>
      <c r="CN397" s="196"/>
      <c r="CO397" s="196"/>
      <c r="CP397" s="4"/>
      <c r="CQ397" s="4"/>
      <c r="CR397" s="4"/>
      <c r="CS397" s="4"/>
      <c r="CT397" s="4"/>
      <c r="CU397" s="4"/>
      <c r="CV397" s="1"/>
      <c r="CW397" s="1"/>
      <c r="CX397" s="1"/>
      <c r="CY397" s="1"/>
      <c r="CZ397" s="1"/>
      <c r="DA397" s="1"/>
      <c r="DB397" s="1"/>
      <c r="DC397" s="1"/>
      <c r="DD397" s="156"/>
      <c r="DF397" s="124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125"/>
    </row>
    <row r="398" spans="27:139" ht="6.95" customHeight="1" x14ac:dyDescent="0.15">
      <c r="AD398" s="56"/>
      <c r="AE398" s="3"/>
      <c r="AF398" s="193" t="s">
        <v>44</v>
      </c>
      <c r="AG398" s="193"/>
      <c r="AH398" s="193"/>
      <c r="AI398" s="193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1"/>
      <c r="BI398" s="1"/>
      <c r="BJ398" s="1"/>
      <c r="BK398" s="1"/>
      <c r="BL398" s="1"/>
      <c r="BM398" s="1"/>
      <c r="BN398" s="1"/>
      <c r="BO398" s="1"/>
      <c r="BP398" s="99"/>
      <c r="BQ398" s="110"/>
      <c r="BR398" s="157"/>
      <c r="BS398" s="105"/>
      <c r="BT398" s="193" t="s">
        <v>44</v>
      </c>
      <c r="BU398" s="193"/>
      <c r="BV398" s="193"/>
      <c r="BW398" s="193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1"/>
      <c r="CW398" s="1"/>
      <c r="CX398" s="1"/>
      <c r="CY398" s="1"/>
      <c r="CZ398" s="1"/>
      <c r="DA398" s="1"/>
      <c r="DB398" s="1"/>
      <c r="DC398" s="1"/>
      <c r="DD398" s="156"/>
      <c r="DF398" s="124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125"/>
    </row>
    <row r="399" spans="27:139" ht="6.95" customHeight="1" x14ac:dyDescent="0.15">
      <c r="AD399" s="56"/>
      <c r="AE399" s="3"/>
      <c r="AF399" s="193"/>
      <c r="AG399" s="193"/>
      <c r="AH399" s="193"/>
      <c r="AI399" s="193"/>
      <c r="AJ399" s="2"/>
      <c r="AK399" s="2"/>
      <c r="AL399" s="2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1"/>
      <c r="BI399" s="1"/>
      <c r="BJ399" s="1"/>
      <c r="BK399" s="1"/>
      <c r="BL399" s="1"/>
      <c r="BM399" s="1"/>
      <c r="BN399" s="1"/>
      <c r="BO399" s="1"/>
      <c r="BP399" s="99"/>
      <c r="BQ399" s="110"/>
      <c r="BR399" s="157"/>
      <c r="BS399" s="105"/>
      <c r="BT399" s="193"/>
      <c r="BU399" s="193"/>
      <c r="BV399" s="193"/>
      <c r="BW399" s="193"/>
      <c r="BX399" s="2"/>
      <c r="BY399" s="2"/>
      <c r="BZ399" s="2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1"/>
      <c r="CW399" s="1"/>
      <c r="CX399" s="1"/>
      <c r="CY399" s="1"/>
      <c r="CZ399" s="1"/>
      <c r="DA399" s="1"/>
      <c r="DB399" s="1"/>
      <c r="DC399" s="1"/>
      <c r="DD399" s="156"/>
      <c r="DF399" s="124"/>
      <c r="DG399" s="82"/>
      <c r="DH399" s="82"/>
      <c r="DI399" s="82"/>
      <c r="DJ399" s="82"/>
      <c r="DK399" s="82"/>
      <c r="DL399" s="82"/>
      <c r="DM399" s="82"/>
      <c r="DN399" s="82"/>
      <c r="DO399" s="82"/>
      <c r="DP399" s="2"/>
      <c r="DQ399" s="2"/>
      <c r="DR399" s="82"/>
      <c r="DS399" s="82"/>
      <c r="DT399" s="82"/>
      <c r="DU399" s="82"/>
      <c r="DV399" s="82"/>
      <c r="DW399" s="82"/>
      <c r="DX399" s="82"/>
      <c r="DY399" s="82"/>
      <c r="DZ399" s="82"/>
      <c r="EA399" s="82"/>
      <c r="EB399" s="82"/>
      <c r="EC399" s="82"/>
      <c r="ED399" s="82"/>
      <c r="EE399" s="82"/>
      <c r="EF399" s="82"/>
      <c r="EG399" s="82"/>
      <c r="EH399" s="82"/>
      <c r="EI399" s="126"/>
    </row>
    <row r="400" spans="27:139" ht="6.95" customHeight="1" x14ac:dyDescent="0.15">
      <c r="AD400" s="56"/>
      <c r="AE400" s="3"/>
      <c r="AF400" s="3"/>
      <c r="AG400" s="3"/>
      <c r="AH400" s="3"/>
      <c r="AI400" s="4"/>
      <c r="AJ400" s="194">
        <f>CHOOSE(SUM((AD346&gt;={700,750,800,850,900,950})*1), 205,255,305,355,405,455)</f>
        <v>305</v>
      </c>
      <c r="AK400" s="194"/>
      <c r="AL400" s="194"/>
      <c r="AM400" s="2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111"/>
      <c r="BC400" s="111"/>
      <c r="BD400" s="111"/>
      <c r="BE400" s="4"/>
      <c r="BF400" s="4"/>
      <c r="BG400" s="4"/>
      <c r="BH400" s="1"/>
      <c r="BI400" s="1"/>
      <c r="BJ400" s="1"/>
      <c r="BK400" s="1"/>
      <c r="BL400" s="1"/>
      <c r="BM400" s="1"/>
      <c r="BN400" s="1"/>
      <c r="BO400" s="1"/>
      <c r="BP400" s="99"/>
      <c r="BQ400" s="110"/>
      <c r="BR400" s="157"/>
      <c r="BS400" s="105"/>
      <c r="BT400" s="3"/>
      <c r="BU400" s="3"/>
      <c r="BV400" s="3"/>
      <c r="BW400" s="4"/>
      <c r="BX400" s="194">
        <f>CHOOSE(SUM((BR346&gt;={700,750,800,850,900,950})*1), 205,255,305,355,405,455)</f>
        <v>305</v>
      </c>
      <c r="BY400" s="194"/>
      <c r="BZ400" s="194"/>
      <c r="CA400" s="2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111"/>
      <c r="CQ400" s="111"/>
      <c r="CR400" s="111"/>
      <c r="CS400" s="4"/>
      <c r="CT400" s="4"/>
      <c r="CU400" s="4"/>
      <c r="CV400" s="1"/>
      <c r="CW400" s="1"/>
      <c r="CX400" s="1"/>
      <c r="CY400" s="1"/>
      <c r="CZ400" s="1"/>
      <c r="DA400" s="1"/>
      <c r="DB400" s="1"/>
      <c r="DC400" s="1"/>
      <c r="DD400" s="156"/>
      <c r="DF400" s="127"/>
      <c r="DG400" s="82"/>
      <c r="DH400" s="82"/>
      <c r="DI400" s="82"/>
      <c r="DJ400" s="82"/>
      <c r="DK400" s="82"/>
      <c r="DL400" s="82"/>
      <c r="DM400" s="82"/>
      <c r="DN400" s="82"/>
      <c r="DO400" s="82"/>
      <c r="DP400" s="2"/>
      <c r="DQ400" s="2"/>
      <c r="DR400" s="82"/>
      <c r="DS400" s="82"/>
      <c r="DT400" s="82"/>
      <c r="DU400" s="82"/>
      <c r="DV400" s="82"/>
      <c r="DW400" s="82"/>
      <c r="DX400" s="82"/>
      <c r="DY400" s="82"/>
      <c r="DZ400" s="82"/>
      <c r="EA400" s="82"/>
      <c r="EB400" s="82"/>
      <c r="EC400" s="82"/>
      <c r="ED400" s="82"/>
      <c r="EE400" s="82"/>
      <c r="EF400" s="82"/>
      <c r="EG400" s="82"/>
      <c r="EH400" s="82"/>
      <c r="EI400" s="126"/>
    </row>
    <row r="401" spans="30:139" ht="6.95" customHeight="1" x14ac:dyDescent="0.15">
      <c r="AD401" s="56"/>
      <c r="AE401" s="3"/>
      <c r="AF401" s="3"/>
      <c r="AG401" s="3"/>
      <c r="AH401" s="3"/>
      <c r="AI401" s="4"/>
      <c r="AJ401" s="194"/>
      <c r="AK401" s="194"/>
      <c r="AL401" s="194"/>
      <c r="AM401" s="2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195">
        <f>CHOOSE(SUM((AD346&gt;={700,750,800,850,900,950})*1), 290,360,430,500,570,640)</f>
        <v>430</v>
      </c>
      <c r="BC401" s="195"/>
      <c r="BD401" s="195"/>
      <c r="BE401" s="88"/>
      <c r="BF401" s="88"/>
      <c r="BG401" s="88"/>
      <c r="BH401" s="196" t="s">
        <v>42</v>
      </c>
      <c r="BI401" s="196"/>
      <c r="BJ401" s="196"/>
      <c r="BK401" s="196">
        <v>2</v>
      </c>
      <c r="BL401" s="196"/>
      <c r="BM401" s="196" t="s">
        <v>43</v>
      </c>
      <c r="BN401" s="196"/>
      <c r="BO401" s="196"/>
      <c r="BP401" s="99"/>
      <c r="BQ401" s="110"/>
      <c r="BR401" s="157"/>
      <c r="BS401" s="105"/>
      <c r="BT401" s="3"/>
      <c r="BU401" s="3"/>
      <c r="BV401" s="3"/>
      <c r="BW401" s="4"/>
      <c r="BX401" s="194"/>
      <c r="BY401" s="194"/>
      <c r="BZ401" s="194"/>
      <c r="CA401" s="2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195">
        <f>CHOOSE(SUM((BR346&gt;={700,750,800,850,900,950})*1), 290,360,430,500,570,640)</f>
        <v>430</v>
      </c>
      <c r="CQ401" s="195"/>
      <c r="CR401" s="195"/>
      <c r="CS401" s="88"/>
      <c r="CT401" s="88"/>
      <c r="CU401" s="88"/>
      <c r="CV401" s="196" t="s">
        <v>42</v>
      </c>
      <c r="CW401" s="196"/>
      <c r="CX401" s="196"/>
      <c r="CY401" s="196">
        <v>2</v>
      </c>
      <c r="CZ401" s="196"/>
      <c r="DA401" s="196" t="s">
        <v>43</v>
      </c>
      <c r="DB401" s="196"/>
      <c r="DC401" s="196"/>
      <c r="DD401" s="156"/>
      <c r="DF401" s="127"/>
      <c r="DG401" s="85"/>
      <c r="DH401" s="85"/>
      <c r="DI401" s="85"/>
      <c r="DJ401" s="85"/>
      <c r="DK401" s="85"/>
      <c r="DL401" s="82"/>
      <c r="DM401" s="82"/>
      <c r="DN401" s="82"/>
      <c r="DO401" s="82"/>
      <c r="DP401" s="85"/>
      <c r="DQ401" s="85"/>
      <c r="DR401" s="85"/>
      <c r="DS401" s="85"/>
      <c r="DT401" s="85"/>
      <c r="DU401" s="85"/>
      <c r="DV401" s="82"/>
      <c r="DW401" s="82"/>
      <c r="DX401" s="82"/>
      <c r="DY401" s="82"/>
      <c r="DZ401" s="85"/>
      <c r="EA401" s="85"/>
      <c r="EB401" s="85"/>
      <c r="EC401" s="85"/>
      <c r="ED401" s="85"/>
      <c r="EE401" s="82"/>
      <c r="EF401" s="82"/>
      <c r="EG401" s="82"/>
      <c r="EH401" s="82"/>
      <c r="EI401" s="128"/>
    </row>
    <row r="402" spans="30:139" ht="6.95" customHeight="1" x14ac:dyDescent="0.15">
      <c r="AD402" s="56"/>
      <c r="AE402" s="3"/>
      <c r="AF402" s="3"/>
      <c r="AG402" s="3"/>
      <c r="AH402" s="3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195"/>
      <c r="BC402" s="195"/>
      <c r="BD402" s="195"/>
      <c r="BE402" s="88"/>
      <c r="BF402" s="88"/>
      <c r="BG402" s="88"/>
      <c r="BH402" s="196"/>
      <c r="BI402" s="196"/>
      <c r="BJ402" s="196"/>
      <c r="BK402" s="196"/>
      <c r="BL402" s="196"/>
      <c r="BM402" s="196"/>
      <c r="BN402" s="196"/>
      <c r="BO402" s="196"/>
      <c r="BP402" s="99"/>
      <c r="BQ402" s="110"/>
      <c r="BR402" s="157"/>
      <c r="BS402" s="105"/>
      <c r="BT402" s="3"/>
      <c r="BU402" s="3"/>
      <c r="BV402" s="3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195"/>
      <c r="CQ402" s="195"/>
      <c r="CR402" s="195"/>
      <c r="CS402" s="88"/>
      <c r="CT402" s="88"/>
      <c r="CU402" s="88"/>
      <c r="CV402" s="196"/>
      <c r="CW402" s="196"/>
      <c r="CX402" s="196"/>
      <c r="CY402" s="196"/>
      <c r="CZ402" s="196"/>
      <c r="DA402" s="196"/>
      <c r="DB402" s="196"/>
      <c r="DC402" s="196"/>
      <c r="DD402" s="156"/>
      <c r="DF402" s="127"/>
      <c r="DG402" s="3"/>
      <c r="DH402" s="3"/>
      <c r="DI402" s="3"/>
      <c r="DJ402" s="3"/>
      <c r="DK402" s="3"/>
      <c r="DL402" s="2"/>
      <c r="DM402" s="2"/>
      <c r="DN402" s="85"/>
      <c r="DO402" s="85"/>
      <c r="DP402" s="85"/>
      <c r="DQ402" s="85"/>
      <c r="DR402" s="85"/>
      <c r="DS402" s="3"/>
      <c r="DT402" s="3"/>
      <c r="DU402" s="3"/>
      <c r="DV402" s="2"/>
      <c r="DW402" s="2"/>
      <c r="DX402" s="85"/>
      <c r="DY402" s="85"/>
      <c r="DZ402" s="3"/>
      <c r="EA402" s="3"/>
      <c r="EB402" s="3"/>
      <c r="EC402" s="3"/>
      <c r="ED402" s="3"/>
      <c r="EE402" s="2"/>
      <c r="EF402" s="2"/>
      <c r="EG402" s="85"/>
      <c r="EH402" s="85"/>
      <c r="EI402" s="128"/>
    </row>
    <row r="403" spans="30:139" ht="6.95" customHeight="1" thickBot="1" x14ac:dyDescent="0.2">
      <c r="AD403" s="57"/>
      <c r="AE403" s="51"/>
      <c r="AF403" s="51"/>
      <c r="AG403" s="51"/>
      <c r="AH403" s="51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100"/>
      <c r="BI403" s="100"/>
      <c r="BJ403" s="100"/>
      <c r="BK403" s="100"/>
      <c r="BL403" s="100"/>
      <c r="BM403" s="100"/>
      <c r="BN403" s="100"/>
      <c r="BO403" s="100"/>
      <c r="BP403" s="101"/>
      <c r="BQ403" s="110"/>
      <c r="BR403" s="158"/>
      <c r="BS403" s="159"/>
      <c r="BT403" s="51"/>
      <c r="BU403" s="51"/>
      <c r="BV403" s="51"/>
      <c r="BW403" s="55"/>
      <c r="BX403" s="55"/>
      <c r="BY403" s="55"/>
      <c r="BZ403" s="55"/>
      <c r="CA403" s="55"/>
      <c r="CB403" s="55"/>
      <c r="CC403" s="55"/>
      <c r="CD403" s="55"/>
      <c r="CE403" s="55"/>
      <c r="CF403" s="55"/>
      <c r="CG403" s="55"/>
      <c r="CH403" s="55"/>
      <c r="CI403" s="55"/>
      <c r="CJ403" s="55"/>
      <c r="CK403" s="55"/>
      <c r="CL403" s="55"/>
      <c r="CM403" s="55"/>
      <c r="CN403" s="55"/>
      <c r="CO403" s="55"/>
      <c r="CP403" s="55"/>
      <c r="CQ403" s="55"/>
      <c r="CR403" s="55"/>
      <c r="CS403" s="55"/>
      <c r="CT403" s="55"/>
      <c r="CU403" s="55"/>
      <c r="CV403" s="100"/>
      <c r="CW403" s="100"/>
      <c r="CX403" s="100"/>
      <c r="CY403" s="100"/>
      <c r="CZ403" s="100"/>
      <c r="DA403" s="100"/>
      <c r="DB403" s="100"/>
      <c r="DC403" s="100"/>
      <c r="DD403" s="160"/>
      <c r="DF403" s="127"/>
      <c r="DG403" s="3"/>
      <c r="DH403" s="3"/>
      <c r="DI403" s="3"/>
      <c r="DJ403" s="3"/>
      <c r="DK403" s="3"/>
      <c r="DL403" s="4"/>
      <c r="DM403" s="4"/>
      <c r="DN403" s="85"/>
      <c r="DO403" s="85"/>
      <c r="DP403" s="85"/>
      <c r="DQ403" s="85"/>
      <c r="DR403" s="85"/>
      <c r="DS403" s="3"/>
      <c r="DT403" s="3"/>
      <c r="DU403" s="3"/>
      <c r="DV403" s="4"/>
      <c r="DW403" s="4"/>
      <c r="DX403" s="85"/>
      <c r="DY403" s="85"/>
      <c r="DZ403" s="3"/>
      <c r="EA403" s="3"/>
      <c r="EB403" s="3"/>
      <c r="EC403" s="3"/>
      <c r="ED403" s="3"/>
      <c r="EE403" s="4"/>
      <c r="EF403" s="4"/>
      <c r="EG403" s="85"/>
      <c r="EH403" s="85"/>
      <c r="EI403" s="128"/>
    </row>
    <row r="404" spans="30:139" ht="6.95" customHeight="1" thickBot="1" x14ac:dyDescent="0.2">
      <c r="AD404" s="216">
        <v>800</v>
      </c>
      <c r="AE404" s="216"/>
      <c r="AF404" s="216"/>
      <c r="BQ404" s="110"/>
      <c r="BR404" s="216">
        <v>750</v>
      </c>
      <c r="BS404" s="216"/>
      <c r="BT404" s="216"/>
      <c r="DF404" s="127"/>
      <c r="DG404" s="3"/>
      <c r="DH404" s="3"/>
      <c r="DI404" s="3"/>
      <c r="DJ404" s="3"/>
      <c r="DK404" s="3"/>
      <c r="DL404" s="4"/>
      <c r="DM404" s="4"/>
      <c r="DN404" s="84"/>
      <c r="DO404" s="84"/>
      <c r="DP404" s="84"/>
      <c r="DQ404" s="84"/>
      <c r="DR404" s="84"/>
      <c r="DS404" s="3"/>
      <c r="DT404" s="3"/>
      <c r="DU404" s="3"/>
      <c r="DV404" s="4"/>
      <c r="DW404" s="4"/>
      <c r="DX404" s="84"/>
      <c r="DY404" s="84"/>
      <c r="DZ404" s="3"/>
      <c r="EA404" s="3"/>
      <c r="EB404" s="3"/>
      <c r="EC404" s="3"/>
      <c r="ED404" s="3"/>
      <c r="EE404" s="4"/>
      <c r="EF404" s="4"/>
      <c r="EG404" s="84"/>
      <c r="EH404" s="84"/>
      <c r="EI404" s="129"/>
    </row>
    <row r="405" spans="30:139" ht="6.95" customHeight="1" x14ac:dyDescent="0.15">
      <c r="AD405" s="108" t="s">
        <v>25</v>
      </c>
      <c r="AE405" s="109"/>
      <c r="AF405" s="109"/>
      <c r="AG405" s="109"/>
      <c r="AH405" s="109"/>
      <c r="AI405" s="202" t="s">
        <v>40</v>
      </c>
      <c r="AJ405" s="202"/>
      <c r="AK405" s="202">
        <v>1</v>
      </c>
      <c r="AL405" s="202"/>
      <c r="AM405" s="202" t="s">
        <v>41</v>
      </c>
      <c r="AN405" s="202"/>
      <c r="AO405" s="202"/>
      <c r="AP405" s="202"/>
      <c r="AQ405" s="202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6">
        <f>SUM(AR423,BK423,AR431,BK431,AW443,BK455,BK448)*AK405</f>
        <v>14</v>
      </c>
      <c r="BN405" s="206"/>
      <c r="BO405" s="206"/>
      <c r="BP405" s="208"/>
      <c r="BQ405" s="110"/>
      <c r="BR405" s="108" t="s">
        <v>25</v>
      </c>
      <c r="BS405" s="109"/>
      <c r="BT405" s="109"/>
      <c r="BU405" s="109"/>
      <c r="BV405" s="109"/>
      <c r="BW405" s="202" t="s">
        <v>40</v>
      </c>
      <c r="BX405" s="202"/>
      <c r="BY405" s="202">
        <v>1</v>
      </c>
      <c r="BZ405" s="202"/>
      <c r="CA405" s="202" t="s">
        <v>41</v>
      </c>
      <c r="CB405" s="202"/>
      <c r="CC405" s="202"/>
      <c r="CD405" s="202"/>
      <c r="CE405" s="202"/>
      <c r="CF405" s="204"/>
      <c r="CG405" s="204"/>
      <c r="CH405" s="204"/>
      <c r="CI405" s="204"/>
      <c r="CJ405" s="204"/>
      <c r="CK405" s="204"/>
      <c r="CL405" s="204"/>
      <c r="CM405" s="204"/>
      <c r="CN405" s="204"/>
      <c r="CO405" s="204"/>
      <c r="CP405" s="204"/>
      <c r="CQ405" s="204"/>
      <c r="CR405" s="204"/>
      <c r="CS405" s="204"/>
      <c r="CT405" s="204"/>
      <c r="CU405" s="204"/>
      <c r="CV405" s="204"/>
      <c r="CW405" s="204"/>
      <c r="CX405" s="204"/>
      <c r="CY405" s="204"/>
      <c r="CZ405" s="204"/>
      <c r="DA405" s="206">
        <f>SUM(CF423,CY423,CF431,CY431,CY454,CY448,CK443)*BY405</f>
        <v>11</v>
      </c>
      <c r="DB405" s="206"/>
      <c r="DC405" s="206"/>
      <c r="DD405" s="208"/>
      <c r="DF405" s="127"/>
      <c r="DG405" s="3"/>
      <c r="DH405" s="3"/>
      <c r="DI405" s="3"/>
      <c r="DJ405" s="3"/>
      <c r="DK405" s="84"/>
      <c r="DL405" s="84"/>
      <c r="DM405" s="84"/>
      <c r="DN405" s="84"/>
      <c r="DO405" s="84"/>
      <c r="DP405" s="84"/>
      <c r="DQ405" s="84"/>
      <c r="DR405" s="84"/>
      <c r="DS405" s="3"/>
      <c r="DT405" s="84"/>
      <c r="DU405" s="84"/>
      <c r="DV405" s="84"/>
      <c r="DW405" s="84"/>
      <c r="DX405" s="84"/>
      <c r="DY405" s="84"/>
      <c r="DZ405" s="3"/>
      <c r="EA405" s="3"/>
      <c r="EB405" s="3"/>
      <c r="EC405" s="3"/>
      <c r="ED405" s="84"/>
      <c r="EE405" s="84"/>
      <c r="EF405" s="84"/>
      <c r="EG405" s="84"/>
      <c r="EH405" s="84"/>
      <c r="EI405" s="129"/>
    </row>
    <row r="406" spans="30:139" ht="6.95" customHeight="1" thickBot="1" x14ac:dyDescent="0.2">
      <c r="AD406" s="80"/>
      <c r="AE406" s="81"/>
      <c r="AF406" s="81"/>
      <c r="AG406" s="81"/>
      <c r="AH406" s="81"/>
      <c r="AI406" s="203"/>
      <c r="AJ406" s="203"/>
      <c r="AK406" s="203"/>
      <c r="AL406" s="203"/>
      <c r="AM406" s="203"/>
      <c r="AN406" s="203"/>
      <c r="AO406" s="203"/>
      <c r="AP406" s="203"/>
      <c r="AQ406" s="203"/>
      <c r="AR406" s="205"/>
      <c r="AS406" s="205"/>
      <c r="AT406" s="205"/>
      <c r="AU406" s="205"/>
      <c r="AV406" s="205"/>
      <c r="AW406" s="205"/>
      <c r="AX406" s="205"/>
      <c r="AY406" s="205"/>
      <c r="AZ406" s="205"/>
      <c r="BA406" s="205"/>
      <c r="BB406" s="205"/>
      <c r="BC406" s="205"/>
      <c r="BD406" s="205"/>
      <c r="BE406" s="205"/>
      <c r="BF406" s="205"/>
      <c r="BG406" s="205"/>
      <c r="BH406" s="205"/>
      <c r="BI406" s="205"/>
      <c r="BJ406" s="205"/>
      <c r="BK406" s="205"/>
      <c r="BL406" s="205"/>
      <c r="BM406" s="207"/>
      <c r="BN406" s="207"/>
      <c r="BO406" s="207"/>
      <c r="BP406" s="209"/>
      <c r="BQ406" s="110"/>
      <c r="BR406" s="80"/>
      <c r="BS406" s="81"/>
      <c r="BT406" s="81"/>
      <c r="BU406" s="81"/>
      <c r="BV406" s="81"/>
      <c r="BW406" s="203"/>
      <c r="BX406" s="203"/>
      <c r="BY406" s="203"/>
      <c r="BZ406" s="203"/>
      <c r="CA406" s="203"/>
      <c r="CB406" s="203"/>
      <c r="CC406" s="203"/>
      <c r="CD406" s="203"/>
      <c r="CE406" s="203"/>
      <c r="CF406" s="205"/>
      <c r="CG406" s="205"/>
      <c r="CH406" s="205"/>
      <c r="CI406" s="205"/>
      <c r="CJ406" s="205"/>
      <c r="CK406" s="205"/>
      <c r="CL406" s="205"/>
      <c r="CM406" s="205"/>
      <c r="CN406" s="205"/>
      <c r="CO406" s="205"/>
      <c r="CP406" s="205"/>
      <c r="CQ406" s="205"/>
      <c r="CR406" s="205"/>
      <c r="CS406" s="205"/>
      <c r="CT406" s="205"/>
      <c r="CU406" s="205"/>
      <c r="CV406" s="205"/>
      <c r="CW406" s="205"/>
      <c r="CX406" s="205"/>
      <c r="CY406" s="205"/>
      <c r="CZ406" s="205"/>
      <c r="DA406" s="207"/>
      <c r="DB406" s="207"/>
      <c r="DC406" s="207"/>
      <c r="DD406" s="209"/>
      <c r="DF406" s="127"/>
      <c r="DG406" s="3"/>
      <c r="DH406" s="3"/>
      <c r="DI406" s="3"/>
      <c r="DJ406" s="3"/>
      <c r="DK406" s="84"/>
      <c r="DL406" s="84"/>
      <c r="DM406" s="84"/>
      <c r="DN406" s="84"/>
      <c r="DO406" s="84"/>
      <c r="DP406" s="88"/>
      <c r="DQ406" s="88"/>
      <c r="DR406" s="88"/>
      <c r="DS406" s="88"/>
      <c r="DT406" s="88"/>
      <c r="DU406" s="88"/>
      <c r="DV406" s="88"/>
      <c r="DW406" s="84"/>
      <c r="DX406" s="84"/>
      <c r="DY406" s="84"/>
      <c r="DZ406" s="3"/>
      <c r="EA406" s="3"/>
      <c r="EB406" s="3"/>
      <c r="EC406" s="3"/>
      <c r="ED406" s="84"/>
      <c r="EE406" s="84"/>
      <c r="EF406" s="84"/>
      <c r="EG406" s="84"/>
      <c r="EH406" s="84"/>
      <c r="EI406" s="130"/>
    </row>
    <row r="407" spans="30:139" ht="6.95" customHeight="1" x14ac:dyDescent="0.15">
      <c r="AD407" s="5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1"/>
      <c r="BI407" s="1"/>
      <c r="BJ407" s="1"/>
      <c r="BK407" s="1"/>
      <c r="BL407" s="1"/>
      <c r="BM407" s="1"/>
      <c r="BN407" s="1"/>
      <c r="BO407" s="1"/>
      <c r="BP407" s="98"/>
      <c r="BQ407" s="110"/>
      <c r="BR407" s="5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1"/>
      <c r="CW407" s="1"/>
      <c r="CX407" s="1"/>
      <c r="CY407" s="1"/>
      <c r="CZ407" s="1"/>
      <c r="DA407" s="1"/>
      <c r="DB407" s="92"/>
      <c r="DC407" s="92"/>
      <c r="DD407" s="98"/>
      <c r="DF407" s="124"/>
      <c r="DG407" s="2"/>
      <c r="DH407" s="2"/>
      <c r="DI407" s="2"/>
      <c r="DJ407" s="2"/>
      <c r="DK407" s="2"/>
      <c r="DL407" s="2"/>
      <c r="DM407" s="88"/>
      <c r="DN407" s="88"/>
      <c r="DO407" s="88"/>
      <c r="DP407" s="88"/>
      <c r="DQ407" s="88"/>
      <c r="DR407" s="88"/>
      <c r="DS407" s="88"/>
      <c r="DT407" s="88"/>
      <c r="DU407" s="88"/>
      <c r="DV407" s="88"/>
      <c r="DW407" s="88"/>
      <c r="DX407" s="88"/>
      <c r="DY407" s="88"/>
      <c r="DZ407" s="2"/>
      <c r="EA407" s="2"/>
      <c r="EB407" s="2"/>
      <c r="EC407" s="2"/>
      <c r="ED407" s="2"/>
      <c r="EE407" s="2"/>
      <c r="EF407" s="88"/>
      <c r="EG407" s="88"/>
      <c r="EH407" s="88"/>
      <c r="EI407" s="130"/>
    </row>
    <row r="408" spans="30:139" ht="6.95" customHeight="1" x14ac:dyDescent="0.15">
      <c r="AD408" s="5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1"/>
      <c r="BI408" s="1"/>
      <c r="BJ408" s="1"/>
      <c r="BK408" s="1"/>
      <c r="BL408" s="1"/>
      <c r="BM408" s="1"/>
      <c r="BN408" s="1"/>
      <c r="BO408" s="1"/>
      <c r="BP408" s="99"/>
      <c r="BQ408" s="110"/>
      <c r="BR408" s="5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1"/>
      <c r="CW408" s="1"/>
      <c r="CX408" s="1"/>
      <c r="CY408" s="1"/>
      <c r="CZ408" s="1"/>
      <c r="DA408" s="1"/>
      <c r="DB408" s="1"/>
      <c r="DC408" s="1"/>
      <c r="DD408" s="99"/>
      <c r="DF408" s="127"/>
      <c r="DG408" s="82"/>
      <c r="DH408" s="82"/>
      <c r="DI408" s="82"/>
      <c r="DJ408" s="2"/>
      <c r="DK408" s="82"/>
      <c r="DL408" s="82"/>
      <c r="DM408" s="82"/>
      <c r="DN408" s="2"/>
      <c r="DO408" s="2"/>
      <c r="DP408" s="2"/>
      <c r="DQ408" s="2"/>
      <c r="DR408" s="2"/>
      <c r="DS408" s="2"/>
      <c r="DT408" s="2"/>
      <c r="DU408" s="2"/>
      <c r="DV408" s="82"/>
      <c r="DW408" s="88"/>
      <c r="DX408" s="88"/>
      <c r="DY408" s="3"/>
      <c r="DZ408" s="82"/>
      <c r="EA408" s="82"/>
      <c r="EB408" s="82"/>
      <c r="EC408" s="82"/>
      <c r="ED408" s="82"/>
      <c r="EE408" s="82"/>
      <c r="EF408" s="3"/>
      <c r="EG408" s="3"/>
      <c r="EH408" s="3"/>
      <c r="EI408" s="131"/>
    </row>
    <row r="409" spans="30:139" ht="6.95" customHeight="1" x14ac:dyDescent="0.15">
      <c r="AD409" s="5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1"/>
      <c r="BI409" s="1"/>
      <c r="BJ409" s="1"/>
      <c r="BK409" s="1"/>
      <c r="BL409" s="1"/>
      <c r="BM409" s="1"/>
      <c r="BN409" s="1"/>
      <c r="BO409" s="1"/>
      <c r="BP409" s="99"/>
      <c r="BQ409" s="110"/>
      <c r="BR409" s="5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1"/>
      <c r="CW409" s="1"/>
      <c r="CX409" s="1"/>
      <c r="CY409" s="1"/>
      <c r="CZ409" s="1"/>
      <c r="DA409" s="1"/>
      <c r="DB409" s="1"/>
      <c r="DC409" s="1"/>
      <c r="DD409" s="99"/>
      <c r="DF409" s="127"/>
      <c r="DG409" s="82"/>
      <c r="DH409" s="82"/>
      <c r="DI409" s="82"/>
      <c r="DJ409" s="2"/>
      <c r="DK409" s="82"/>
      <c r="DL409" s="82"/>
      <c r="DM409" s="82"/>
      <c r="DN409" s="2"/>
      <c r="DO409" s="2"/>
      <c r="DP409" s="2"/>
      <c r="DQ409" s="2"/>
      <c r="DR409" s="2"/>
      <c r="DS409" s="2"/>
      <c r="DT409" s="2"/>
      <c r="DU409" s="2"/>
      <c r="DV409" s="3"/>
      <c r="DW409" s="82"/>
      <c r="DX409" s="82"/>
      <c r="DY409" s="3"/>
      <c r="DZ409" s="82"/>
      <c r="EA409" s="82"/>
      <c r="EB409" s="82"/>
      <c r="EC409" s="82"/>
      <c r="ED409" s="82"/>
      <c r="EE409" s="82"/>
      <c r="EF409" s="3"/>
      <c r="EG409" s="3"/>
      <c r="EH409" s="3"/>
      <c r="EI409" s="131"/>
    </row>
    <row r="410" spans="30:139" ht="6.95" customHeight="1" x14ac:dyDescent="0.15">
      <c r="AD410" s="5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1"/>
      <c r="BI410" s="1"/>
      <c r="BJ410" s="1"/>
      <c r="BK410" s="1"/>
      <c r="BL410" s="1"/>
      <c r="BM410" s="1"/>
      <c r="BN410" s="1"/>
      <c r="BO410" s="1"/>
      <c r="BP410" s="99"/>
      <c r="BQ410" s="110"/>
      <c r="BR410" s="5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1"/>
      <c r="CW410" s="1"/>
      <c r="CX410" s="1"/>
      <c r="CY410" s="1"/>
      <c r="CZ410" s="1"/>
      <c r="DA410" s="1"/>
      <c r="DB410" s="1"/>
      <c r="DC410" s="1"/>
      <c r="DD410" s="99"/>
      <c r="DF410" s="127"/>
      <c r="DG410" s="3"/>
      <c r="DH410" s="3"/>
      <c r="DI410" s="3"/>
      <c r="DJ410" s="2"/>
      <c r="DK410" s="2"/>
      <c r="DL410" s="2"/>
      <c r="DM410" s="2"/>
      <c r="DN410" s="2"/>
      <c r="DO410" s="82"/>
      <c r="DP410" s="82"/>
      <c r="DQ410" s="82"/>
      <c r="DR410" s="82"/>
      <c r="DS410" s="82"/>
      <c r="DT410" s="82"/>
      <c r="DU410" s="2"/>
      <c r="DV410" s="3"/>
      <c r="DW410" s="82"/>
      <c r="DX410" s="82"/>
      <c r="DY410" s="82"/>
      <c r="DZ410" s="3"/>
      <c r="EA410" s="2"/>
      <c r="EB410" s="3"/>
      <c r="EC410" s="82"/>
      <c r="ED410" s="82"/>
      <c r="EE410" s="3"/>
      <c r="EF410" s="3"/>
      <c r="EG410" s="3"/>
      <c r="EH410" s="3"/>
      <c r="EI410" s="131"/>
    </row>
    <row r="411" spans="30:139" ht="6.95" customHeight="1" x14ac:dyDescent="0.15">
      <c r="AD411" s="5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1"/>
      <c r="BI411" s="1"/>
      <c r="BJ411" s="1"/>
      <c r="BK411" s="1"/>
      <c r="BL411" s="1"/>
      <c r="BM411" s="1"/>
      <c r="BN411" s="1"/>
      <c r="BO411" s="1"/>
      <c r="BP411" s="99"/>
      <c r="BQ411" s="110"/>
      <c r="BR411" s="5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1"/>
      <c r="CW411" s="1"/>
      <c r="CX411" s="1"/>
      <c r="CY411" s="1"/>
      <c r="CZ411" s="1"/>
      <c r="DA411" s="1"/>
      <c r="DB411" s="1"/>
      <c r="DC411" s="1"/>
      <c r="DD411" s="99"/>
      <c r="DF411" s="127"/>
      <c r="DG411" s="3"/>
      <c r="DH411" s="3"/>
      <c r="DI411" s="3"/>
      <c r="DJ411" s="4"/>
      <c r="DK411" s="4"/>
      <c r="DL411" s="4"/>
      <c r="DM411" s="4"/>
      <c r="DN411" s="4"/>
      <c r="DO411" s="82"/>
      <c r="DP411" s="82"/>
      <c r="DQ411" s="82"/>
      <c r="DR411" s="82"/>
      <c r="DS411" s="82"/>
      <c r="DT411" s="82"/>
      <c r="DU411" s="4"/>
      <c r="DV411" s="3"/>
      <c r="DW411" s="82"/>
      <c r="DX411" s="82"/>
      <c r="DY411" s="3"/>
      <c r="DZ411" s="3"/>
      <c r="EA411" s="2"/>
      <c r="EB411" s="3"/>
      <c r="EC411" s="3"/>
      <c r="ED411" s="3"/>
      <c r="EE411" s="3"/>
      <c r="EF411" s="3"/>
      <c r="EG411" s="3"/>
      <c r="EH411" s="3"/>
      <c r="EI411" s="132"/>
    </row>
    <row r="412" spans="30:139" ht="6.95" customHeight="1" x14ac:dyDescent="0.15">
      <c r="AD412" s="5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1"/>
      <c r="BI412" s="1"/>
      <c r="BJ412" s="1"/>
      <c r="BK412" s="1"/>
      <c r="BL412" s="1"/>
      <c r="BM412" s="1"/>
      <c r="BN412" s="1"/>
      <c r="BO412" s="1"/>
      <c r="BP412" s="99"/>
      <c r="BQ412" s="110"/>
      <c r="BR412" s="5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1"/>
      <c r="CW412" s="1"/>
      <c r="CX412" s="1"/>
      <c r="CY412" s="1"/>
      <c r="CZ412" s="1"/>
      <c r="DA412" s="1"/>
      <c r="DB412" s="1"/>
      <c r="DC412" s="1"/>
      <c r="DD412" s="99"/>
      <c r="DF412" s="127"/>
      <c r="DG412" s="3"/>
      <c r="DH412" s="3"/>
      <c r="DI412" s="3"/>
      <c r="DJ412" s="4"/>
      <c r="DK412" s="4"/>
      <c r="DL412" s="4"/>
      <c r="DM412" s="4"/>
      <c r="DN412" s="4"/>
      <c r="DO412" s="82"/>
      <c r="DP412" s="82"/>
      <c r="DQ412" s="82"/>
      <c r="DR412" s="4"/>
      <c r="DS412" s="4"/>
      <c r="DT412" s="4"/>
      <c r="DU412" s="4"/>
      <c r="DV412" s="3"/>
      <c r="DW412" s="3"/>
      <c r="DX412" s="3"/>
      <c r="DY412" s="3"/>
      <c r="DZ412" s="3"/>
      <c r="EA412" s="4"/>
      <c r="EB412" s="4"/>
      <c r="EC412" s="4"/>
      <c r="ED412" s="4"/>
      <c r="EE412" s="4"/>
      <c r="EF412" s="4"/>
      <c r="EG412" s="4"/>
      <c r="EH412" s="4"/>
      <c r="EI412" s="132"/>
    </row>
    <row r="413" spans="30:139" ht="6.95" customHeight="1" x14ac:dyDescent="0.15">
      <c r="AD413" s="5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1"/>
      <c r="BI413" s="1"/>
      <c r="BJ413" s="1"/>
      <c r="BK413" s="1"/>
      <c r="BL413" s="1"/>
      <c r="BM413" s="1"/>
      <c r="BN413" s="1"/>
      <c r="BO413" s="1"/>
      <c r="BP413" s="99"/>
      <c r="BQ413" s="110"/>
      <c r="BR413" s="5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1"/>
      <c r="CW413" s="1"/>
      <c r="CX413" s="1"/>
      <c r="CY413" s="1"/>
      <c r="CZ413" s="1"/>
      <c r="DA413" s="1"/>
      <c r="DB413" s="1"/>
      <c r="DC413" s="1"/>
      <c r="DD413" s="99"/>
      <c r="DF413" s="127"/>
      <c r="DG413" s="3"/>
      <c r="DH413" s="3"/>
      <c r="DI413" s="3"/>
      <c r="DJ413" s="4"/>
      <c r="DK413" s="4"/>
      <c r="DL413" s="4"/>
      <c r="DM413" s="4"/>
      <c r="DN413" s="88"/>
      <c r="DO413" s="88"/>
      <c r="DP413" s="88"/>
      <c r="DQ413" s="88"/>
      <c r="DR413" s="88"/>
      <c r="DS413" s="88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133"/>
    </row>
    <row r="414" spans="30:139" ht="6.95" customHeight="1" x14ac:dyDescent="0.15">
      <c r="AD414" s="210">
        <v>7</v>
      </c>
      <c r="AE414" s="211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1"/>
      <c r="BI414" s="1"/>
      <c r="BJ414" s="1"/>
      <c r="BK414" s="1"/>
      <c r="BL414" s="1"/>
      <c r="BM414" s="1"/>
      <c r="BN414" s="1"/>
      <c r="BO414" s="1"/>
      <c r="BP414" s="99"/>
      <c r="BQ414" s="110"/>
      <c r="BR414" s="210">
        <v>5</v>
      </c>
      <c r="BS414" s="211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1"/>
      <c r="CW414" s="1"/>
      <c r="CX414" s="1"/>
      <c r="CY414" s="1"/>
      <c r="CZ414" s="1"/>
      <c r="DA414" s="1"/>
      <c r="DB414" s="1"/>
      <c r="DC414" s="1"/>
      <c r="DD414" s="99"/>
      <c r="DF414" s="127"/>
      <c r="DG414" s="3"/>
      <c r="DH414" s="3"/>
      <c r="DI414" s="3"/>
      <c r="DJ414" s="4"/>
      <c r="DK414" s="4"/>
      <c r="DL414" s="84"/>
      <c r="DM414" s="84"/>
      <c r="DN414" s="88"/>
      <c r="DO414" s="88"/>
      <c r="DP414" s="88"/>
      <c r="DQ414" s="88"/>
      <c r="DR414" s="88"/>
      <c r="DS414" s="88"/>
      <c r="DT414" s="88"/>
      <c r="DU414" s="88"/>
      <c r="DV414" s="88"/>
      <c r="DW414" s="4"/>
      <c r="DX414" s="4"/>
      <c r="DY414" s="4"/>
      <c r="DZ414" s="4"/>
      <c r="EA414" s="4"/>
      <c r="EB414" s="4"/>
      <c r="EC414" s="84"/>
      <c r="ED414" s="84"/>
      <c r="EE414" s="84"/>
      <c r="EF414" s="4"/>
      <c r="EG414" s="4"/>
      <c r="EH414" s="88"/>
      <c r="EI414" s="130"/>
    </row>
    <row r="415" spans="30:139" ht="6.95" customHeight="1" thickBot="1" x14ac:dyDescent="0.2">
      <c r="AD415" s="212"/>
      <c r="AE415" s="21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100"/>
      <c r="BI415" s="100"/>
      <c r="BJ415" s="100"/>
      <c r="BK415" s="100"/>
      <c r="BL415" s="100"/>
      <c r="BM415" s="100"/>
      <c r="BN415" s="100"/>
      <c r="BO415" s="100"/>
      <c r="BP415" s="101"/>
      <c r="BQ415" s="110"/>
      <c r="BR415" s="212"/>
      <c r="BS415" s="21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  <c r="CG415" s="53"/>
      <c r="CH415" s="53"/>
      <c r="CI415" s="53"/>
      <c r="CJ415" s="53"/>
      <c r="CK415" s="53"/>
      <c r="CL415" s="53"/>
      <c r="CM415" s="53"/>
      <c r="CN415" s="53"/>
      <c r="CO415" s="53"/>
      <c r="CP415" s="53"/>
      <c r="CQ415" s="53"/>
      <c r="CR415" s="53"/>
      <c r="CS415" s="53"/>
      <c r="CT415" s="53"/>
      <c r="CU415" s="53"/>
      <c r="CV415" s="100"/>
      <c r="CW415" s="100"/>
      <c r="CX415" s="100"/>
      <c r="CY415" s="100"/>
      <c r="CZ415" s="100"/>
      <c r="DA415" s="100"/>
      <c r="DB415" s="100"/>
      <c r="DC415" s="100"/>
      <c r="DD415" s="101"/>
      <c r="DF415" s="124"/>
      <c r="DG415" s="2"/>
      <c r="DH415" s="2"/>
      <c r="DI415" s="2"/>
      <c r="DJ415" s="2"/>
      <c r="DK415" s="2"/>
      <c r="DL415" s="84"/>
      <c r="DM415" s="84"/>
      <c r="DN415" s="88"/>
      <c r="DO415" s="88"/>
      <c r="DP415" s="88"/>
      <c r="DQ415" s="88"/>
      <c r="DR415" s="88"/>
      <c r="DS415" s="88"/>
      <c r="DT415" s="88"/>
      <c r="DU415" s="88"/>
      <c r="DV415" s="88"/>
      <c r="DW415" s="84"/>
      <c r="DX415" s="84"/>
      <c r="DY415" s="84"/>
      <c r="DZ415" s="4"/>
      <c r="EA415" s="88"/>
      <c r="EB415" s="4"/>
      <c r="EC415" s="84"/>
      <c r="ED415" s="84"/>
      <c r="EE415" s="84"/>
      <c r="EF415" s="4"/>
      <c r="EG415" s="4"/>
      <c r="EH415" s="88"/>
      <c r="EI415" s="130"/>
    </row>
    <row r="416" spans="30:139" ht="6.95" customHeight="1" x14ac:dyDescent="0.15">
      <c r="AD416" s="52"/>
      <c r="AE416" s="2"/>
      <c r="AF416" s="214" t="s">
        <v>26</v>
      </c>
      <c r="AG416" s="214"/>
      <c r="AH416" s="214"/>
      <c r="AI416" s="214"/>
      <c r="AJ416" s="82"/>
      <c r="AK416" s="82"/>
      <c r="AL416" s="82"/>
      <c r="AM416" s="82"/>
      <c r="AN416" s="82"/>
      <c r="AO416" s="2"/>
      <c r="AP416" s="2"/>
      <c r="AQ416" s="82"/>
      <c r="AR416" s="82"/>
      <c r="AS416" s="82"/>
      <c r="AT416" s="82"/>
      <c r="AU416" s="82"/>
      <c r="AV416" s="82"/>
      <c r="AW416" s="82"/>
      <c r="AX416" s="82"/>
      <c r="AY416" s="214" t="s">
        <v>26</v>
      </c>
      <c r="AZ416" s="214"/>
      <c r="BA416" s="214"/>
      <c r="BB416" s="214"/>
      <c r="BC416" s="82"/>
      <c r="BD416" s="82"/>
      <c r="BE416" s="82"/>
      <c r="BF416" s="82"/>
      <c r="BG416" s="82"/>
      <c r="BH416" s="2"/>
      <c r="BI416" s="2"/>
      <c r="BJ416" s="82"/>
      <c r="BK416" s="82"/>
      <c r="BL416" s="82"/>
      <c r="BM416" s="82"/>
      <c r="BN416" s="82"/>
      <c r="BO416" s="82"/>
      <c r="BP416" s="99"/>
      <c r="BQ416" s="110"/>
      <c r="BR416" s="52"/>
      <c r="BS416" s="2"/>
      <c r="BT416" s="214" t="s">
        <v>30</v>
      </c>
      <c r="BU416" s="214"/>
      <c r="BV416" s="214"/>
      <c r="BW416" s="214"/>
      <c r="BX416" s="82"/>
      <c r="BY416" s="82"/>
      <c r="BZ416" s="82"/>
      <c r="CA416" s="82"/>
      <c r="CB416" s="82"/>
      <c r="CC416" s="2"/>
      <c r="CD416" s="2"/>
      <c r="CE416" s="82"/>
      <c r="CF416" s="82"/>
      <c r="CG416" s="82"/>
      <c r="CH416" s="82"/>
      <c r="CI416" s="82"/>
      <c r="CJ416" s="82"/>
      <c r="CK416" s="82"/>
      <c r="CL416" s="82"/>
      <c r="CM416" s="214" t="s">
        <v>30</v>
      </c>
      <c r="CN416" s="214"/>
      <c r="CO416" s="214"/>
      <c r="CP416" s="214"/>
      <c r="CQ416" s="82"/>
      <c r="CR416" s="82"/>
      <c r="CS416" s="82"/>
      <c r="CT416" s="82"/>
      <c r="CU416" s="82"/>
      <c r="CV416" s="2"/>
      <c r="CW416" s="2"/>
      <c r="CX416" s="82"/>
      <c r="CY416" s="82"/>
      <c r="CZ416" s="82"/>
      <c r="DA416" s="82"/>
      <c r="DB416" s="82"/>
      <c r="DC416" s="82"/>
      <c r="DD416" s="99"/>
      <c r="DF416" s="124"/>
      <c r="DG416" s="2"/>
      <c r="DH416" s="2"/>
      <c r="DI416" s="2"/>
      <c r="DJ416" s="2"/>
      <c r="DK416" s="2"/>
      <c r="DL416" s="84"/>
      <c r="DM416" s="84"/>
      <c r="DN416" s="88"/>
      <c r="DO416" s="88"/>
      <c r="DP416" s="88"/>
      <c r="DQ416" s="88"/>
      <c r="DR416" s="88"/>
      <c r="DS416" s="88"/>
      <c r="DT416" s="88"/>
      <c r="DU416" s="88"/>
      <c r="DV416" s="4"/>
      <c r="DW416" s="84"/>
      <c r="DX416" s="84"/>
      <c r="DY416" s="84"/>
      <c r="DZ416" s="4"/>
      <c r="EA416" s="88"/>
      <c r="EB416" s="4"/>
      <c r="EC416" s="84"/>
      <c r="ED416" s="84"/>
      <c r="EE416" s="84"/>
      <c r="EF416" s="4"/>
      <c r="EG416" s="4"/>
      <c r="EH416" s="88"/>
      <c r="EI416" s="130"/>
    </row>
    <row r="417" spans="30:139" ht="6.95" customHeight="1" x14ac:dyDescent="0.15">
      <c r="AD417" s="56"/>
      <c r="AE417" s="3"/>
      <c r="AF417" s="197"/>
      <c r="AG417" s="197"/>
      <c r="AH417" s="197"/>
      <c r="AI417" s="197"/>
      <c r="AJ417" s="82"/>
      <c r="AK417" s="197">
        <f>IF(AF416="D16",750, IF(AF416="D13",600))</f>
        <v>750</v>
      </c>
      <c r="AL417" s="197"/>
      <c r="AM417" s="197"/>
      <c r="AN417" s="197"/>
      <c r="AO417" s="2"/>
      <c r="AP417" s="2"/>
      <c r="AQ417" s="82"/>
      <c r="AR417" s="82"/>
      <c r="AS417" s="82"/>
      <c r="AT417" s="82"/>
      <c r="AU417" s="82"/>
      <c r="AV417" s="82"/>
      <c r="AW417" s="82"/>
      <c r="AX417" s="82"/>
      <c r="AY417" s="197"/>
      <c r="AZ417" s="197"/>
      <c r="BA417" s="197"/>
      <c r="BB417" s="197"/>
      <c r="BC417" s="82"/>
      <c r="BD417" s="197">
        <f>IF(AY416="D16",750, IF(AY416="D13",600))</f>
        <v>750</v>
      </c>
      <c r="BE417" s="197"/>
      <c r="BF417" s="197"/>
      <c r="BG417" s="197"/>
      <c r="BH417" s="2"/>
      <c r="BI417" s="2"/>
      <c r="BJ417" s="82"/>
      <c r="BK417" s="82"/>
      <c r="BL417" s="82"/>
      <c r="BM417" s="82"/>
      <c r="BN417" s="82"/>
      <c r="BO417" s="82"/>
      <c r="BP417" s="99"/>
      <c r="BQ417" s="110"/>
      <c r="BR417" s="56"/>
      <c r="BS417" s="3"/>
      <c r="BT417" s="197"/>
      <c r="BU417" s="197"/>
      <c r="BV417" s="197"/>
      <c r="BW417" s="197"/>
      <c r="BX417" s="82"/>
      <c r="BY417" s="197">
        <f>IF(BT416="D16",750, IF(BT416="D13",600))</f>
        <v>600</v>
      </c>
      <c r="BZ417" s="197"/>
      <c r="CA417" s="197"/>
      <c r="CB417" s="197"/>
      <c r="CC417" s="2"/>
      <c r="CD417" s="2"/>
      <c r="CE417" s="82"/>
      <c r="CF417" s="82"/>
      <c r="CG417" s="82"/>
      <c r="CH417" s="82"/>
      <c r="CI417" s="82"/>
      <c r="CJ417" s="82"/>
      <c r="CK417" s="82"/>
      <c r="CL417" s="82"/>
      <c r="CM417" s="197"/>
      <c r="CN417" s="197"/>
      <c r="CO417" s="197"/>
      <c r="CP417" s="197"/>
      <c r="CQ417" s="82"/>
      <c r="CR417" s="197">
        <f>IF(CM416="D16",750, IF(CM416="D13",600))</f>
        <v>600</v>
      </c>
      <c r="CS417" s="197"/>
      <c r="CT417" s="197"/>
      <c r="CU417" s="197"/>
      <c r="CV417" s="2"/>
      <c r="CW417" s="2"/>
      <c r="CX417" s="82"/>
      <c r="CY417" s="82"/>
      <c r="CZ417" s="82"/>
      <c r="DA417" s="82"/>
      <c r="DB417" s="82"/>
      <c r="DC417" s="82"/>
      <c r="DD417" s="99"/>
      <c r="DF417" s="127"/>
      <c r="DG417" s="96"/>
      <c r="DH417" s="96"/>
      <c r="DI417" s="96"/>
      <c r="DJ417" s="86"/>
      <c r="DK417" s="96"/>
      <c r="DL417" s="96"/>
      <c r="DM417" s="96"/>
      <c r="DN417" s="96"/>
      <c r="DO417" s="87"/>
      <c r="DP417" s="88"/>
      <c r="DQ417" s="88"/>
      <c r="DR417" s="88"/>
      <c r="DS417" s="88"/>
      <c r="DT417" s="88"/>
      <c r="DU417" s="88"/>
      <c r="DV417" s="88"/>
      <c r="DW417" s="88"/>
      <c r="DX417" s="88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125"/>
    </row>
    <row r="418" spans="30:139" ht="6.95" customHeight="1" x14ac:dyDescent="0.15">
      <c r="AD418" s="56"/>
      <c r="AE418" s="3"/>
      <c r="AF418" s="85"/>
      <c r="AG418" s="85"/>
      <c r="AH418" s="85"/>
      <c r="AI418" s="85"/>
      <c r="AJ418" s="85"/>
      <c r="AK418" s="197"/>
      <c r="AL418" s="197"/>
      <c r="AM418" s="197"/>
      <c r="AN418" s="197"/>
      <c r="AO418" s="85"/>
      <c r="AP418" s="85"/>
      <c r="AQ418" s="85"/>
      <c r="AR418" s="85"/>
      <c r="AS418" s="85"/>
      <c r="AT418" s="85"/>
      <c r="AU418" s="82"/>
      <c r="AV418" s="82"/>
      <c r="AW418" s="82"/>
      <c r="AX418" s="82"/>
      <c r="AY418" s="85"/>
      <c r="AZ418" s="85"/>
      <c r="BA418" s="85"/>
      <c r="BB418" s="85"/>
      <c r="BC418" s="85"/>
      <c r="BD418" s="197"/>
      <c r="BE418" s="197"/>
      <c r="BF418" s="197"/>
      <c r="BG418" s="197"/>
      <c r="BH418" s="85"/>
      <c r="BI418" s="85"/>
      <c r="BJ418" s="85"/>
      <c r="BK418" s="85"/>
      <c r="BL418" s="85"/>
      <c r="BM418" s="85"/>
      <c r="BN418" s="85"/>
      <c r="BO418" s="85"/>
      <c r="BP418" s="99"/>
      <c r="BQ418" s="110"/>
      <c r="BR418" s="56"/>
      <c r="BS418" s="3"/>
      <c r="BT418" s="85"/>
      <c r="BU418" s="85"/>
      <c r="BV418" s="85"/>
      <c r="BW418" s="85"/>
      <c r="BX418" s="85"/>
      <c r="BY418" s="197"/>
      <c r="BZ418" s="197"/>
      <c r="CA418" s="197"/>
      <c r="CB418" s="197"/>
      <c r="CC418" s="85"/>
      <c r="CD418" s="85"/>
      <c r="CE418" s="85"/>
      <c r="CF418" s="85"/>
      <c r="CG418" s="85"/>
      <c r="CH418" s="85"/>
      <c r="CI418" s="82"/>
      <c r="CJ418" s="82"/>
      <c r="CK418" s="82"/>
      <c r="CL418" s="82"/>
      <c r="CM418" s="85"/>
      <c r="CN418" s="85"/>
      <c r="CO418" s="85"/>
      <c r="CP418" s="85"/>
      <c r="CQ418" s="85"/>
      <c r="CR418" s="197"/>
      <c r="CS418" s="197"/>
      <c r="CT418" s="197"/>
      <c r="CU418" s="197"/>
      <c r="CV418" s="85"/>
      <c r="CW418" s="85"/>
      <c r="CX418" s="85"/>
      <c r="CY418" s="85"/>
      <c r="CZ418" s="85"/>
      <c r="DA418" s="85"/>
      <c r="DB418" s="85"/>
      <c r="DC418" s="85"/>
      <c r="DD418" s="99"/>
      <c r="DF418" s="127"/>
      <c r="DG418" s="96"/>
      <c r="DH418" s="96"/>
      <c r="DI418" s="96"/>
      <c r="DJ418" s="86"/>
      <c r="DK418" s="96"/>
      <c r="DL418" s="96"/>
      <c r="DM418" s="96"/>
      <c r="DN418" s="96"/>
      <c r="DO418" s="87"/>
      <c r="DP418" s="88"/>
      <c r="DQ418" s="88"/>
      <c r="DR418" s="88"/>
      <c r="DS418" s="88"/>
      <c r="DT418" s="88"/>
      <c r="DU418" s="88"/>
      <c r="DV418" s="88"/>
      <c r="DW418" s="88"/>
      <c r="DX418" s="88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125"/>
    </row>
    <row r="419" spans="30:139" ht="6.95" customHeight="1" x14ac:dyDescent="0.15">
      <c r="AD419" s="56"/>
      <c r="AE419" s="3"/>
      <c r="AF419" s="3"/>
      <c r="AG419" s="3"/>
      <c r="AH419" s="3"/>
      <c r="AI419" s="3"/>
      <c r="AJ419" s="3"/>
      <c r="AK419" s="2"/>
      <c r="AL419" s="2"/>
      <c r="AM419" s="85"/>
      <c r="AN419" s="85"/>
      <c r="AO419" s="215">
        <f>CHOOSE(SUM((AD404&gt;={700,750,800,850,900,950})*1), 515,565,615,665,715,765)</f>
        <v>615</v>
      </c>
      <c r="AP419" s="215"/>
      <c r="AQ419" s="215"/>
      <c r="AR419" s="215"/>
      <c r="AS419" s="3"/>
      <c r="AT419" s="3"/>
      <c r="AU419" s="2"/>
      <c r="AV419" s="2"/>
      <c r="AW419" s="85"/>
      <c r="AX419" s="85"/>
      <c r="AY419" s="3"/>
      <c r="AZ419" s="3"/>
      <c r="BA419" s="3"/>
      <c r="BB419" s="3"/>
      <c r="BC419" s="3"/>
      <c r="BD419" s="2"/>
      <c r="BE419" s="2"/>
      <c r="BF419" s="85"/>
      <c r="BG419" s="85"/>
      <c r="BH419" s="215">
        <f>AO419-100</f>
        <v>515</v>
      </c>
      <c r="BI419" s="215"/>
      <c r="BJ419" s="215"/>
      <c r="BK419" s="215"/>
      <c r="BL419" s="3"/>
      <c r="BM419" s="3"/>
      <c r="BN419" s="3"/>
      <c r="BO419" s="3"/>
      <c r="BP419" s="99"/>
      <c r="BQ419" s="110"/>
      <c r="BR419" s="56"/>
      <c r="BS419" s="3"/>
      <c r="BT419" s="3"/>
      <c r="BU419" s="3"/>
      <c r="BV419" s="3"/>
      <c r="BW419" s="3"/>
      <c r="BX419" s="3"/>
      <c r="BY419" s="2"/>
      <c r="BZ419" s="2"/>
      <c r="CA419" s="85"/>
      <c r="CB419" s="85"/>
      <c r="CC419" s="215">
        <f>CHOOSE(SUM((BR404&gt;={700,750,800,850,900,950})*1), 515,565,615,665,715,765)</f>
        <v>565</v>
      </c>
      <c r="CD419" s="215"/>
      <c r="CE419" s="215"/>
      <c r="CF419" s="215"/>
      <c r="CG419" s="3"/>
      <c r="CH419" s="3"/>
      <c r="CI419" s="2"/>
      <c r="CJ419" s="2"/>
      <c r="CK419" s="85"/>
      <c r="CL419" s="85"/>
      <c r="CM419" s="3"/>
      <c r="CN419" s="3"/>
      <c r="CO419" s="3"/>
      <c r="CP419" s="3"/>
      <c r="CQ419" s="3"/>
      <c r="CR419" s="2"/>
      <c r="CS419" s="2"/>
      <c r="CT419" s="85"/>
      <c r="CU419" s="85"/>
      <c r="CV419" s="215">
        <f>CC419-100</f>
        <v>465</v>
      </c>
      <c r="CW419" s="215"/>
      <c r="CX419" s="215"/>
      <c r="CY419" s="215"/>
      <c r="CZ419" s="3"/>
      <c r="DA419" s="3"/>
      <c r="DB419" s="3"/>
      <c r="DC419" s="3"/>
      <c r="DD419" s="99"/>
      <c r="DF419" s="127"/>
      <c r="DG419" s="96"/>
      <c r="DH419" s="96"/>
      <c r="DI419" s="96"/>
      <c r="DJ419" s="86"/>
      <c r="DK419" s="96"/>
      <c r="DL419" s="96"/>
      <c r="DM419" s="96"/>
      <c r="DN419" s="96"/>
      <c r="DO419" s="96"/>
      <c r="DP419" s="96"/>
      <c r="DQ419" s="4"/>
      <c r="DR419" s="88"/>
      <c r="DS419" s="88"/>
      <c r="DT419" s="88"/>
      <c r="DU419" s="88"/>
      <c r="DV419" s="88"/>
      <c r="DW419" s="88"/>
      <c r="DX419" s="88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125"/>
    </row>
    <row r="420" spans="30:139" ht="6.95" customHeight="1" x14ac:dyDescent="0.15">
      <c r="AD420" s="56"/>
      <c r="AE420" s="3"/>
      <c r="AF420" s="3"/>
      <c r="AG420" s="3"/>
      <c r="AH420" s="3"/>
      <c r="AI420" s="3"/>
      <c r="AJ420" s="3"/>
      <c r="AK420" s="4"/>
      <c r="AL420" s="4"/>
      <c r="AM420" s="85"/>
      <c r="AN420" s="85"/>
      <c r="AO420" s="215"/>
      <c r="AP420" s="215"/>
      <c r="AQ420" s="215"/>
      <c r="AR420" s="215"/>
      <c r="AS420" s="3"/>
      <c r="AT420" s="3"/>
      <c r="AU420" s="4"/>
      <c r="AV420" s="4"/>
      <c r="AW420" s="85"/>
      <c r="AX420" s="85"/>
      <c r="AY420" s="3"/>
      <c r="AZ420" s="3"/>
      <c r="BA420" s="3"/>
      <c r="BB420" s="3"/>
      <c r="BC420" s="3"/>
      <c r="BD420" s="4"/>
      <c r="BE420" s="4"/>
      <c r="BF420" s="85"/>
      <c r="BG420" s="85"/>
      <c r="BH420" s="215"/>
      <c r="BI420" s="215"/>
      <c r="BJ420" s="215"/>
      <c r="BK420" s="215"/>
      <c r="BL420" s="3"/>
      <c r="BM420" s="3"/>
      <c r="BN420" s="3"/>
      <c r="BO420" s="3"/>
      <c r="BP420" s="99"/>
      <c r="BQ420" s="110"/>
      <c r="BR420" s="56"/>
      <c r="BS420" s="3"/>
      <c r="BT420" s="3"/>
      <c r="BU420" s="3"/>
      <c r="BV420" s="3"/>
      <c r="BW420" s="3"/>
      <c r="BX420" s="3"/>
      <c r="BY420" s="4"/>
      <c r="BZ420" s="4"/>
      <c r="CA420" s="85"/>
      <c r="CB420" s="85"/>
      <c r="CC420" s="215"/>
      <c r="CD420" s="215"/>
      <c r="CE420" s="215"/>
      <c r="CF420" s="215"/>
      <c r="CG420" s="3"/>
      <c r="CH420" s="3"/>
      <c r="CI420" s="4"/>
      <c r="CJ420" s="4"/>
      <c r="CK420" s="85"/>
      <c r="CL420" s="85"/>
      <c r="CM420" s="3"/>
      <c r="CN420" s="3"/>
      <c r="CO420" s="3"/>
      <c r="CP420" s="3"/>
      <c r="CQ420" s="3"/>
      <c r="CR420" s="4"/>
      <c r="CS420" s="4"/>
      <c r="CT420" s="85"/>
      <c r="CU420" s="85"/>
      <c r="CV420" s="215"/>
      <c r="CW420" s="215"/>
      <c r="CX420" s="215"/>
      <c r="CY420" s="215"/>
      <c r="CZ420" s="3"/>
      <c r="DA420" s="3"/>
      <c r="DB420" s="3"/>
      <c r="DC420" s="3"/>
      <c r="DD420" s="99"/>
      <c r="DF420" s="127"/>
      <c r="DG420" s="96"/>
      <c r="DH420" s="96"/>
      <c r="DI420" s="96"/>
      <c r="DJ420" s="86"/>
      <c r="DK420" s="96"/>
      <c r="DL420" s="96"/>
      <c r="DM420" s="96"/>
      <c r="DN420" s="96"/>
      <c r="DO420" s="96"/>
      <c r="DP420" s="96"/>
      <c r="DQ420" s="4"/>
      <c r="DR420" s="88"/>
      <c r="DS420" s="88"/>
      <c r="DT420" s="88"/>
      <c r="DU420" s="88"/>
      <c r="DV420" s="88"/>
      <c r="DW420" s="88"/>
      <c r="DX420" s="88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125"/>
    </row>
    <row r="421" spans="30:139" ht="6.95" customHeight="1" x14ac:dyDescent="0.15">
      <c r="AD421" s="56"/>
      <c r="AE421" s="3"/>
      <c r="AF421" s="3"/>
      <c r="AG421" s="3"/>
      <c r="AH421" s="3"/>
      <c r="AI421" s="3"/>
      <c r="AJ421" s="3"/>
      <c r="AK421" s="4"/>
      <c r="AL421" s="4"/>
      <c r="AM421" s="84"/>
      <c r="AN421" s="84"/>
      <c r="AO421" s="200" t="s">
        <v>29</v>
      </c>
      <c r="AP421" s="200"/>
      <c r="AQ421" s="200"/>
      <c r="AR421" s="200"/>
      <c r="AS421" s="3"/>
      <c r="AT421" s="3"/>
      <c r="AU421" s="4"/>
      <c r="AV421" s="4"/>
      <c r="AW421" s="84"/>
      <c r="AX421" s="84"/>
      <c r="AY421" s="3"/>
      <c r="AZ421" s="3"/>
      <c r="BA421" s="3"/>
      <c r="BB421" s="3"/>
      <c r="BC421" s="3"/>
      <c r="BD421" s="4"/>
      <c r="BE421" s="4"/>
      <c r="BF421" s="84"/>
      <c r="BG421" s="84"/>
      <c r="BH421" s="200" t="s">
        <v>29</v>
      </c>
      <c r="BI421" s="200"/>
      <c r="BJ421" s="200"/>
      <c r="BK421" s="200"/>
      <c r="BL421" s="3"/>
      <c r="BM421" s="3"/>
      <c r="BN421" s="3"/>
      <c r="BO421" s="3"/>
      <c r="BP421" s="99"/>
      <c r="BQ421" s="110"/>
      <c r="BR421" s="56"/>
      <c r="BS421" s="3"/>
      <c r="BT421" s="3"/>
      <c r="BU421" s="3"/>
      <c r="BV421" s="3"/>
      <c r="BW421" s="3"/>
      <c r="BX421" s="3"/>
      <c r="BY421" s="4"/>
      <c r="BZ421" s="4"/>
      <c r="CA421" s="84"/>
      <c r="CB421" s="84"/>
      <c r="CC421" s="200" t="s">
        <v>29</v>
      </c>
      <c r="CD421" s="200"/>
      <c r="CE421" s="200"/>
      <c r="CF421" s="200"/>
      <c r="CG421" s="3"/>
      <c r="CH421" s="3"/>
      <c r="CI421" s="4"/>
      <c r="CJ421" s="4"/>
      <c r="CK421" s="84"/>
      <c r="CL421" s="84"/>
      <c r="CM421" s="3"/>
      <c r="CN421" s="3"/>
      <c r="CO421" s="3"/>
      <c r="CP421" s="3"/>
      <c r="CQ421" s="3"/>
      <c r="CR421" s="4"/>
      <c r="CS421" s="4"/>
      <c r="CT421" s="84"/>
      <c r="CU421" s="84"/>
      <c r="CV421" s="200" t="s">
        <v>29</v>
      </c>
      <c r="CW421" s="200"/>
      <c r="CX421" s="200"/>
      <c r="CY421" s="200"/>
      <c r="CZ421" s="3"/>
      <c r="DA421" s="3"/>
      <c r="DB421" s="3"/>
      <c r="DC421" s="3"/>
      <c r="DD421" s="99"/>
      <c r="DF421" s="127"/>
      <c r="DG421" s="96"/>
      <c r="DH421" s="96"/>
      <c r="DI421" s="96"/>
      <c r="DJ421" s="4"/>
      <c r="DK421" s="96"/>
      <c r="DL421" s="96"/>
      <c r="DM421" s="96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125"/>
    </row>
    <row r="422" spans="30:139" ht="6.95" customHeight="1" x14ac:dyDescent="0.15">
      <c r="AD422" s="56"/>
      <c r="AE422" s="3"/>
      <c r="AF422" s="3"/>
      <c r="AG422" s="3"/>
      <c r="AH422" s="3"/>
      <c r="AI422" s="3"/>
      <c r="AJ422" s="84"/>
      <c r="AK422" s="200">
        <f>IF(AF416="D13",CHOOSE(SUM((AO419&gt;={515,565,615,665,715,765})*1), 300, 250, 200, 150, 100, 100), CHOOSE(SUM((AO419&gt;={515,565,615,665,715,765})*1), 450, 400, 350, 300, 250, 200))</f>
        <v>350</v>
      </c>
      <c r="AL422" s="200"/>
      <c r="AM422" s="200"/>
      <c r="AN422" s="200"/>
      <c r="AO422" s="200"/>
      <c r="AP422" s="200"/>
      <c r="AQ422" s="200"/>
      <c r="AR422" s="200"/>
      <c r="AS422" s="84"/>
      <c r="AT422" s="84"/>
      <c r="AU422" s="84"/>
      <c r="AV422" s="84"/>
      <c r="AW422" s="84"/>
      <c r="AX422" s="84"/>
      <c r="AY422" s="3"/>
      <c r="AZ422" s="3"/>
      <c r="BA422" s="3"/>
      <c r="BB422" s="3"/>
      <c r="BC422" s="84"/>
      <c r="BD422" s="200">
        <f>IF(AY416="D13",CHOOSE(SUM((BH419&gt;={415,465,515,565,615,665})*1), 400, 350, 300, 250, 200, 150), CHOOSE(SUM((BH419&gt;={415,465,515,565,615,665})*1), 550, 500, 450, 400, 350, 300))</f>
        <v>450</v>
      </c>
      <c r="BE422" s="200"/>
      <c r="BF422" s="200"/>
      <c r="BG422" s="200"/>
      <c r="BH422" s="200"/>
      <c r="BI422" s="200"/>
      <c r="BJ422" s="200"/>
      <c r="BK422" s="200"/>
      <c r="BL422" s="84"/>
      <c r="BM422" s="84"/>
      <c r="BN422" s="3"/>
      <c r="BO422" s="84"/>
      <c r="BP422" s="99"/>
      <c r="BQ422" s="110"/>
      <c r="BR422" s="56"/>
      <c r="BS422" s="3"/>
      <c r="BT422" s="3"/>
      <c r="BU422" s="3"/>
      <c r="BV422" s="3"/>
      <c r="BW422" s="3"/>
      <c r="BX422" s="84"/>
      <c r="BY422" s="200">
        <f>IF(BT416="D13",CHOOSE(SUM((CC419&gt;={515,565,615,665,715,765})*1), 300, 250, 200, 150, 100, 100), CHOOSE(SUM((CC419&gt;={515,565,615,665,715,765})*1), 450, 400, 350, 300, 250, 200))</f>
        <v>250</v>
      </c>
      <c r="BZ422" s="200"/>
      <c r="CA422" s="200"/>
      <c r="CB422" s="200"/>
      <c r="CC422" s="200"/>
      <c r="CD422" s="200"/>
      <c r="CE422" s="200"/>
      <c r="CF422" s="200"/>
      <c r="CG422" s="84"/>
      <c r="CH422" s="84"/>
      <c r="CI422" s="84"/>
      <c r="CJ422" s="84"/>
      <c r="CK422" s="84"/>
      <c r="CL422" s="84"/>
      <c r="CM422" s="3"/>
      <c r="CN422" s="3"/>
      <c r="CO422" s="3"/>
      <c r="CP422" s="3"/>
      <c r="CQ422" s="84"/>
      <c r="CR422" s="200">
        <f>IF(CM416="D13",CHOOSE(SUM((CV419&gt;={415,465,515,565,615,665})*1), 400, 350, 300, 250, 200, 150), CHOOSE(SUM((CV419&gt;={415,465,515,565,615,665})*1), 550, 500, 450, 400, 350, 300))</f>
        <v>350</v>
      </c>
      <c r="CS422" s="200"/>
      <c r="CT422" s="200"/>
      <c r="CU422" s="200"/>
      <c r="CV422" s="200"/>
      <c r="CW422" s="200"/>
      <c r="CX422" s="200"/>
      <c r="CY422" s="200"/>
      <c r="CZ422" s="84"/>
      <c r="DA422" s="84"/>
      <c r="DB422" s="3"/>
      <c r="DC422" s="84"/>
      <c r="DD422" s="99"/>
      <c r="DF422" s="127"/>
      <c r="DG422" s="96"/>
      <c r="DH422" s="96"/>
      <c r="DI422" s="96"/>
      <c r="DJ422" s="4"/>
      <c r="DK422" s="96"/>
      <c r="DL422" s="96"/>
      <c r="DM422" s="96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125"/>
    </row>
    <row r="423" spans="30:139" ht="6.95" customHeight="1" x14ac:dyDescent="0.15">
      <c r="AD423" s="56"/>
      <c r="AE423" s="3"/>
      <c r="AF423" s="3"/>
      <c r="AG423" s="3"/>
      <c r="AH423" s="3"/>
      <c r="AI423" s="3"/>
      <c r="AJ423" s="84"/>
      <c r="AK423" s="200"/>
      <c r="AL423" s="200"/>
      <c r="AM423" s="200"/>
      <c r="AN423" s="200"/>
      <c r="AO423" s="196" t="s">
        <v>42</v>
      </c>
      <c r="AP423" s="196"/>
      <c r="AQ423" s="196"/>
      <c r="AR423" s="196">
        <v>2</v>
      </c>
      <c r="AS423" s="196"/>
      <c r="AT423" s="196" t="s">
        <v>43</v>
      </c>
      <c r="AU423" s="196"/>
      <c r="AV423" s="196"/>
      <c r="AW423" s="84"/>
      <c r="AX423" s="84"/>
      <c r="AY423" s="3"/>
      <c r="AZ423" s="3"/>
      <c r="BA423" s="3"/>
      <c r="BB423" s="3"/>
      <c r="BC423" s="84"/>
      <c r="BD423" s="200"/>
      <c r="BE423" s="200"/>
      <c r="BF423" s="200"/>
      <c r="BG423" s="200"/>
      <c r="BH423" s="196" t="s">
        <v>42</v>
      </c>
      <c r="BI423" s="196"/>
      <c r="BJ423" s="196"/>
      <c r="BK423" s="196">
        <v>2</v>
      </c>
      <c r="BL423" s="196"/>
      <c r="BM423" s="196" t="s">
        <v>43</v>
      </c>
      <c r="BN423" s="196"/>
      <c r="BO423" s="196"/>
      <c r="BP423" s="99"/>
      <c r="BQ423" s="110"/>
      <c r="BR423" s="56"/>
      <c r="BS423" s="3"/>
      <c r="BT423" s="3"/>
      <c r="BU423" s="3"/>
      <c r="BV423" s="3"/>
      <c r="BW423" s="3"/>
      <c r="BX423" s="84"/>
      <c r="BY423" s="200"/>
      <c r="BZ423" s="200"/>
      <c r="CA423" s="200"/>
      <c r="CB423" s="200"/>
      <c r="CC423" s="196" t="s">
        <v>42</v>
      </c>
      <c r="CD423" s="196"/>
      <c r="CE423" s="196"/>
      <c r="CF423" s="196">
        <v>1</v>
      </c>
      <c r="CG423" s="196"/>
      <c r="CH423" s="196" t="s">
        <v>43</v>
      </c>
      <c r="CI423" s="196"/>
      <c r="CJ423" s="196"/>
      <c r="CK423" s="84"/>
      <c r="CL423" s="84"/>
      <c r="CM423" s="3"/>
      <c r="CN423" s="3"/>
      <c r="CO423" s="3"/>
      <c r="CP423" s="3"/>
      <c r="CQ423" s="84"/>
      <c r="CR423" s="200"/>
      <c r="CS423" s="200"/>
      <c r="CT423" s="200"/>
      <c r="CU423" s="200"/>
      <c r="CV423" s="196" t="s">
        <v>42</v>
      </c>
      <c r="CW423" s="196"/>
      <c r="CX423" s="196"/>
      <c r="CY423" s="196"/>
      <c r="CZ423" s="196"/>
      <c r="DA423" s="196" t="s">
        <v>43</v>
      </c>
      <c r="DB423" s="196"/>
      <c r="DC423" s="196"/>
      <c r="DD423" s="99"/>
      <c r="DF423" s="127"/>
      <c r="DG423" s="3"/>
      <c r="DH423" s="3"/>
      <c r="DI423" s="3"/>
      <c r="DJ423" s="4"/>
      <c r="DK423" s="4"/>
      <c r="DL423" s="4"/>
      <c r="DM423" s="96"/>
      <c r="DN423" s="96"/>
      <c r="DO423" s="96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125"/>
    </row>
    <row r="424" spans="30:139" ht="6.95" customHeight="1" x14ac:dyDescent="0.15">
      <c r="AD424" s="52"/>
      <c r="AE424" s="2"/>
      <c r="AF424" s="2"/>
      <c r="AG424" s="2"/>
      <c r="AH424" s="2"/>
      <c r="AI424" s="2"/>
      <c r="AJ424" s="2"/>
      <c r="AK424" s="2"/>
      <c r="AL424" s="88"/>
      <c r="AM424" s="88"/>
      <c r="AN424" s="88"/>
      <c r="AO424" s="196"/>
      <c r="AP424" s="196"/>
      <c r="AQ424" s="196"/>
      <c r="AR424" s="196"/>
      <c r="AS424" s="196"/>
      <c r="AT424" s="196"/>
      <c r="AU424" s="196"/>
      <c r="AV424" s="196"/>
      <c r="AW424" s="88"/>
      <c r="AX424" s="88"/>
      <c r="AY424" s="2"/>
      <c r="AZ424" s="2"/>
      <c r="BA424" s="2"/>
      <c r="BB424" s="2"/>
      <c r="BC424" s="2"/>
      <c r="BD424" s="2"/>
      <c r="BE424" s="88"/>
      <c r="BF424" s="88"/>
      <c r="BG424" s="88"/>
      <c r="BH424" s="196"/>
      <c r="BI424" s="196"/>
      <c r="BJ424" s="196"/>
      <c r="BK424" s="196"/>
      <c r="BL424" s="196"/>
      <c r="BM424" s="196"/>
      <c r="BN424" s="196"/>
      <c r="BO424" s="196"/>
      <c r="BP424" s="99"/>
      <c r="BQ424" s="110"/>
      <c r="BR424" s="52"/>
      <c r="BS424" s="2"/>
      <c r="BT424" s="2"/>
      <c r="BU424" s="2"/>
      <c r="BV424" s="2"/>
      <c r="BW424" s="2"/>
      <c r="BX424" s="2"/>
      <c r="BY424" s="2"/>
      <c r="BZ424" s="88"/>
      <c r="CA424" s="88"/>
      <c r="CB424" s="88"/>
      <c r="CC424" s="196"/>
      <c r="CD424" s="196"/>
      <c r="CE424" s="196"/>
      <c r="CF424" s="196"/>
      <c r="CG424" s="196"/>
      <c r="CH424" s="196"/>
      <c r="CI424" s="196"/>
      <c r="CJ424" s="196"/>
      <c r="CK424" s="88"/>
      <c r="CL424" s="88"/>
      <c r="CM424" s="2"/>
      <c r="CN424" s="2"/>
      <c r="CO424" s="2"/>
      <c r="CP424" s="2"/>
      <c r="CQ424" s="2"/>
      <c r="CR424" s="2"/>
      <c r="CS424" s="88"/>
      <c r="CT424" s="88"/>
      <c r="CU424" s="88"/>
      <c r="CV424" s="196"/>
      <c r="CW424" s="196"/>
      <c r="CX424" s="196"/>
      <c r="CY424" s="196"/>
      <c r="CZ424" s="196"/>
      <c r="DA424" s="196"/>
      <c r="DB424" s="196"/>
      <c r="DC424" s="196"/>
      <c r="DD424" s="99"/>
      <c r="DF424" s="127"/>
      <c r="DG424" s="3"/>
      <c r="DH424" s="3"/>
      <c r="DI424" s="3"/>
      <c r="DJ424" s="4"/>
      <c r="DK424" s="4"/>
      <c r="DL424" s="4"/>
      <c r="DM424" s="96"/>
      <c r="DN424" s="96"/>
      <c r="DO424" s="96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125"/>
    </row>
    <row r="425" spans="30:139" ht="6.95" customHeight="1" x14ac:dyDescent="0.15">
      <c r="AD425" s="83"/>
      <c r="AE425" s="82"/>
      <c r="AF425" s="197" t="s">
        <v>28</v>
      </c>
      <c r="AG425" s="197"/>
      <c r="AH425" s="197"/>
      <c r="AI425" s="197"/>
      <c r="AJ425" s="82"/>
      <c r="AK425" s="82"/>
      <c r="AL425" s="82"/>
      <c r="AM425" s="2"/>
      <c r="AN425" s="2"/>
      <c r="AO425" s="2"/>
      <c r="AP425" s="2"/>
      <c r="AQ425" s="2"/>
      <c r="AR425" s="2"/>
      <c r="AS425" s="2"/>
      <c r="AT425" s="2"/>
      <c r="AU425" s="3"/>
      <c r="AV425" s="82"/>
      <c r="AW425" s="88"/>
      <c r="AX425" s="88"/>
      <c r="AY425" s="197" t="s">
        <v>27</v>
      </c>
      <c r="AZ425" s="197"/>
      <c r="BA425" s="197"/>
      <c r="BB425" s="197"/>
      <c r="BC425" s="82"/>
      <c r="BD425" s="82"/>
      <c r="BE425" s="3"/>
      <c r="BF425" s="3"/>
      <c r="BG425" s="3"/>
      <c r="BH425" s="3"/>
      <c r="BI425" s="198"/>
      <c r="BJ425" s="198"/>
      <c r="BK425" s="198"/>
      <c r="BL425" s="198"/>
      <c r="BM425" s="1"/>
      <c r="BN425" s="1"/>
      <c r="BO425" s="1"/>
      <c r="BP425" s="99"/>
      <c r="BQ425" s="110"/>
      <c r="BR425" s="83"/>
      <c r="BS425" s="82"/>
      <c r="BT425" s="197" t="s">
        <v>28</v>
      </c>
      <c r="BU425" s="197"/>
      <c r="BV425" s="197"/>
      <c r="BW425" s="197"/>
      <c r="BX425" s="82"/>
      <c r="BY425" s="82"/>
      <c r="BZ425" s="82"/>
      <c r="CA425" s="2"/>
      <c r="CB425" s="2"/>
      <c r="CC425" s="2"/>
      <c r="CD425" s="2"/>
      <c r="CE425" s="2"/>
      <c r="CF425" s="2"/>
      <c r="CG425" s="2"/>
      <c r="CH425" s="2"/>
      <c r="CI425" s="3"/>
      <c r="CJ425" s="82"/>
      <c r="CK425" s="88"/>
      <c r="CL425" s="88"/>
      <c r="CM425" s="197" t="s">
        <v>27</v>
      </c>
      <c r="CN425" s="197"/>
      <c r="CO425" s="197"/>
      <c r="CP425" s="197"/>
      <c r="CQ425" s="82"/>
      <c r="CR425" s="82"/>
      <c r="CS425" s="3"/>
      <c r="CT425" s="3"/>
      <c r="CU425" s="3"/>
      <c r="CV425" s="3"/>
      <c r="CW425" s="198"/>
      <c r="CX425" s="198"/>
      <c r="CY425" s="198"/>
      <c r="CZ425" s="198"/>
      <c r="DA425" s="1"/>
      <c r="DB425" s="1"/>
      <c r="DC425" s="1"/>
      <c r="DD425" s="99"/>
      <c r="DF425" s="127"/>
      <c r="DG425" s="3"/>
      <c r="DH425" s="3"/>
      <c r="DI425" s="96"/>
      <c r="DJ425" s="96"/>
      <c r="DK425" s="96"/>
      <c r="DL425" s="4"/>
      <c r="DM425" s="4"/>
      <c r="DN425" s="4"/>
      <c r="DO425" s="4"/>
      <c r="DP425" s="88"/>
      <c r="DQ425" s="88"/>
      <c r="DR425" s="88"/>
      <c r="DS425" s="88"/>
      <c r="DT425" s="88"/>
      <c r="DU425" s="88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125"/>
    </row>
    <row r="426" spans="30:139" ht="6.95" customHeight="1" x14ac:dyDescent="0.15">
      <c r="AD426" s="56"/>
      <c r="AE426" s="3"/>
      <c r="AF426" s="197"/>
      <c r="AG426" s="197"/>
      <c r="AH426" s="197"/>
      <c r="AI426" s="197"/>
      <c r="AJ426" s="82"/>
      <c r="AK426" s="82"/>
      <c r="AL426" s="82"/>
      <c r="AM426" s="2"/>
      <c r="AN426" s="2"/>
      <c r="AO426" s="2"/>
      <c r="AP426" s="2"/>
      <c r="AQ426" s="2"/>
      <c r="AR426" s="2"/>
      <c r="AS426" s="2"/>
      <c r="AT426" s="2"/>
      <c r="AU426" s="3"/>
      <c r="AV426" s="82"/>
      <c r="AW426" s="82"/>
      <c r="AX426" s="3"/>
      <c r="AY426" s="197"/>
      <c r="AZ426" s="197"/>
      <c r="BA426" s="197"/>
      <c r="BB426" s="197"/>
      <c r="BC426" s="82"/>
      <c r="BD426" s="82"/>
      <c r="BE426" s="3"/>
      <c r="BF426" s="3"/>
      <c r="BG426" s="3"/>
      <c r="BH426" s="3"/>
      <c r="BI426" s="198"/>
      <c r="BJ426" s="198"/>
      <c r="BK426" s="198"/>
      <c r="BL426" s="198"/>
      <c r="BM426" s="1"/>
      <c r="BN426" s="1"/>
      <c r="BO426" s="1"/>
      <c r="BP426" s="99"/>
      <c r="BQ426" s="110"/>
      <c r="BR426" s="56"/>
      <c r="BS426" s="3"/>
      <c r="BT426" s="197"/>
      <c r="BU426" s="197"/>
      <c r="BV426" s="197"/>
      <c r="BW426" s="197"/>
      <c r="BX426" s="82"/>
      <c r="BY426" s="82"/>
      <c r="BZ426" s="82"/>
      <c r="CA426" s="2"/>
      <c r="CB426" s="2"/>
      <c r="CC426" s="2"/>
      <c r="CD426" s="2"/>
      <c r="CE426" s="2"/>
      <c r="CF426" s="2"/>
      <c r="CG426" s="2"/>
      <c r="CH426" s="2"/>
      <c r="CI426" s="3"/>
      <c r="CJ426" s="82"/>
      <c r="CK426" s="82"/>
      <c r="CL426" s="3"/>
      <c r="CM426" s="197"/>
      <c r="CN426" s="197"/>
      <c r="CO426" s="197"/>
      <c r="CP426" s="197"/>
      <c r="CQ426" s="82"/>
      <c r="CR426" s="82"/>
      <c r="CS426" s="3"/>
      <c r="CT426" s="3"/>
      <c r="CU426" s="3"/>
      <c r="CV426" s="3"/>
      <c r="CW426" s="198"/>
      <c r="CX426" s="198"/>
      <c r="CY426" s="198"/>
      <c r="CZ426" s="198"/>
      <c r="DA426" s="1"/>
      <c r="DB426" s="1"/>
      <c r="DC426" s="1"/>
      <c r="DD426" s="99"/>
      <c r="DF426" s="127"/>
      <c r="DG426" s="3"/>
      <c r="DH426" s="3"/>
      <c r="DI426" s="96"/>
      <c r="DJ426" s="96"/>
      <c r="DK426" s="96"/>
      <c r="DL426" s="4"/>
      <c r="DM426" s="4"/>
      <c r="DN426" s="4"/>
      <c r="DO426" s="4"/>
      <c r="DP426" s="88"/>
      <c r="DQ426" s="88"/>
      <c r="DR426" s="88"/>
      <c r="DS426" s="88"/>
      <c r="DT426" s="88"/>
      <c r="DU426" s="88"/>
      <c r="DV426" s="88"/>
      <c r="DW426" s="88"/>
      <c r="DX426" s="88"/>
      <c r="DY426" s="88"/>
      <c r="DZ426" s="4"/>
      <c r="EA426" s="4"/>
      <c r="EB426" s="4"/>
      <c r="EC426" s="4"/>
      <c r="ED426" s="4"/>
      <c r="EE426" s="4"/>
      <c r="EF426" s="4"/>
      <c r="EG426" s="4"/>
      <c r="EH426" s="4"/>
      <c r="EI426" s="125"/>
    </row>
    <row r="427" spans="30:139" ht="6.95" customHeight="1" x14ac:dyDescent="0.15">
      <c r="AD427" s="56"/>
      <c r="AE427" s="3"/>
      <c r="AF427" s="3"/>
      <c r="AG427" s="3"/>
      <c r="AH427" s="3"/>
      <c r="AI427" s="2"/>
      <c r="AJ427" s="2"/>
      <c r="AK427" s="2"/>
      <c r="AL427" s="2"/>
      <c r="AM427" s="2"/>
      <c r="AN427" s="82"/>
      <c r="AO427" s="82"/>
      <c r="AP427" s="82"/>
      <c r="AQ427" s="82"/>
      <c r="AR427" s="82"/>
      <c r="AS427" s="82"/>
      <c r="AT427" s="2"/>
      <c r="AU427" s="3"/>
      <c r="AV427" s="82"/>
      <c r="AW427" s="82"/>
      <c r="AX427" s="3"/>
      <c r="AY427" s="3"/>
      <c r="AZ427" s="2"/>
      <c r="BA427" s="3"/>
      <c r="BB427" s="82"/>
      <c r="BC427" s="82"/>
      <c r="BD427" s="3"/>
      <c r="BE427" s="3"/>
      <c r="BF427" s="3"/>
      <c r="BG427" s="3"/>
      <c r="BH427" s="3"/>
      <c r="BI427" s="3"/>
      <c r="BJ427" s="3"/>
      <c r="BK427" s="3"/>
      <c r="BL427" s="3"/>
      <c r="BM427" s="1"/>
      <c r="BN427" s="1"/>
      <c r="BO427" s="1"/>
      <c r="BP427" s="99"/>
      <c r="BQ427" s="110"/>
      <c r="BR427" s="56"/>
      <c r="BS427" s="3"/>
      <c r="BT427" s="3"/>
      <c r="BU427" s="3"/>
      <c r="BV427" s="3"/>
      <c r="BW427" s="2"/>
      <c r="BX427" s="2"/>
      <c r="BY427" s="2"/>
      <c r="BZ427" s="2"/>
      <c r="CA427" s="2"/>
      <c r="CB427" s="82"/>
      <c r="CC427" s="82"/>
      <c r="CD427" s="82"/>
      <c r="CE427" s="82"/>
      <c r="CF427" s="82"/>
      <c r="CG427" s="82"/>
      <c r="CH427" s="2"/>
      <c r="CI427" s="3"/>
      <c r="CJ427" s="82"/>
      <c r="CK427" s="82"/>
      <c r="CL427" s="3"/>
      <c r="CM427" s="3"/>
      <c r="CN427" s="2"/>
      <c r="CO427" s="3"/>
      <c r="CP427" s="82"/>
      <c r="CQ427" s="82"/>
      <c r="CR427" s="3"/>
      <c r="CS427" s="3"/>
      <c r="CT427" s="3"/>
      <c r="CU427" s="3"/>
      <c r="CV427" s="3"/>
      <c r="CW427" s="3"/>
      <c r="CX427" s="3"/>
      <c r="CY427" s="3"/>
      <c r="CZ427" s="3"/>
      <c r="DA427" s="1"/>
      <c r="DB427" s="1"/>
      <c r="DC427" s="1"/>
      <c r="DD427" s="99"/>
      <c r="DF427" s="127"/>
      <c r="DG427" s="82"/>
      <c r="DH427" s="82"/>
      <c r="DI427" s="82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125"/>
    </row>
    <row r="428" spans="30:139" ht="6.95" customHeight="1" x14ac:dyDescent="0.15">
      <c r="AD428" s="56"/>
      <c r="AE428" s="3"/>
      <c r="AF428" s="199">
        <f>CHOOSE(SUM((AD404&gt;={700,750,800,850,900,950})*1), 500,550,600,650,750,800)</f>
        <v>600</v>
      </c>
      <c r="AG428" s="199"/>
      <c r="AH428" s="199"/>
      <c r="AI428" s="199"/>
      <c r="AJ428" s="4"/>
      <c r="AK428" s="4"/>
      <c r="AL428" s="4"/>
      <c r="AM428" s="4"/>
      <c r="AN428" s="82"/>
      <c r="AO428" s="82"/>
      <c r="AP428" s="82"/>
      <c r="AQ428" s="82"/>
      <c r="AR428" s="82"/>
      <c r="AS428" s="82"/>
      <c r="AT428" s="4"/>
      <c r="AU428" s="3"/>
      <c r="AV428" s="3"/>
      <c r="AW428" s="82"/>
      <c r="AX428" s="3"/>
      <c r="AY428" s="3"/>
      <c r="AZ428" s="4"/>
      <c r="BA428" s="3"/>
      <c r="BB428" s="3"/>
      <c r="BC428" s="3"/>
      <c r="BD428" s="3"/>
      <c r="BE428" s="3"/>
      <c r="BF428" s="3"/>
      <c r="BG428" s="3"/>
      <c r="BH428" s="197">
        <f>CHOOSE(SUM(($BR$138&gt;={700,750})*1), 700,800)</f>
        <v>800</v>
      </c>
      <c r="BI428" s="197"/>
      <c r="BJ428" s="197"/>
      <c r="BK428" s="197"/>
      <c r="BL428" s="3"/>
      <c r="BM428" s="1"/>
      <c r="BN428" s="1"/>
      <c r="BO428" s="1"/>
      <c r="BP428" s="99"/>
      <c r="BQ428" s="110"/>
      <c r="BR428" s="56"/>
      <c r="BS428" s="3"/>
      <c r="BT428" s="199">
        <f>CHOOSE(SUM((BR404&gt;={700,750,800,850,900,950})*1), 500,550,600,650,750,800)</f>
        <v>550</v>
      </c>
      <c r="BU428" s="199"/>
      <c r="BV428" s="199"/>
      <c r="BW428" s="199"/>
      <c r="BX428" s="4"/>
      <c r="BY428" s="4"/>
      <c r="BZ428" s="4"/>
      <c r="CA428" s="4"/>
      <c r="CB428" s="82"/>
      <c r="CC428" s="82"/>
      <c r="CD428" s="82"/>
      <c r="CE428" s="82"/>
      <c r="CF428" s="82"/>
      <c r="CG428" s="82"/>
      <c r="CH428" s="4"/>
      <c r="CI428" s="3"/>
      <c r="CJ428" s="3"/>
      <c r="CK428" s="82"/>
      <c r="CL428" s="3"/>
      <c r="CM428" s="3"/>
      <c r="CN428" s="4"/>
      <c r="CO428" s="3"/>
      <c r="CP428" s="3"/>
      <c r="CQ428" s="3"/>
      <c r="CR428" s="3"/>
      <c r="CS428" s="3"/>
      <c r="CT428" s="3"/>
      <c r="CU428" s="3"/>
      <c r="CV428" s="197">
        <f>CHOOSE(SUM(($BR$138&gt;={700,750})*1), 700,800)</f>
        <v>800</v>
      </c>
      <c r="CW428" s="197"/>
      <c r="CX428" s="197"/>
      <c r="CY428" s="197"/>
      <c r="CZ428" s="3"/>
      <c r="DA428" s="1"/>
      <c r="DB428" s="1"/>
      <c r="DC428" s="1"/>
      <c r="DD428" s="99"/>
      <c r="DF428" s="134"/>
      <c r="DG428" s="135"/>
      <c r="DH428" s="135"/>
      <c r="DI428" s="135"/>
      <c r="DJ428" s="136"/>
      <c r="DK428" s="136"/>
      <c r="DL428" s="136"/>
      <c r="DM428" s="136"/>
      <c r="DN428" s="136"/>
      <c r="DO428" s="136"/>
      <c r="DP428" s="136"/>
      <c r="DQ428" s="136"/>
      <c r="DR428" s="136"/>
      <c r="DS428" s="136"/>
      <c r="DT428" s="136"/>
      <c r="DU428" s="136"/>
      <c r="DV428" s="136"/>
      <c r="DW428" s="136"/>
      <c r="DX428" s="136"/>
      <c r="DY428" s="136"/>
      <c r="DZ428" s="136"/>
      <c r="EA428" s="136"/>
      <c r="EB428" s="136"/>
      <c r="EC428" s="136"/>
      <c r="ED428" s="136"/>
      <c r="EE428" s="136"/>
      <c r="EF428" s="136"/>
      <c r="EG428" s="136"/>
      <c r="EH428" s="136"/>
      <c r="EI428" s="137"/>
    </row>
    <row r="429" spans="30:139" ht="6.95" customHeight="1" x14ac:dyDescent="0.15">
      <c r="AD429" s="56"/>
      <c r="AE429" s="3"/>
      <c r="AF429" s="199"/>
      <c r="AG429" s="199"/>
      <c r="AH429" s="199"/>
      <c r="AI429" s="199"/>
      <c r="AJ429" s="4"/>
      <c r="AK429" s="4"/>
      <c r="AL429" s="4"/>
      <c r="AM429" s="4"/>
      <c r="AN429" s="82"/>
      <c r="AO429" s="82"/>
      <c r="AP429" s="82"/>
      <c r="AQ429" s="4"/>
      <c r="AR429" s="4"/>
      <c r="AS429" s="4"/>
      <c r="AT429" s="4"/>
      <c r="AU429" s="4"/>
      <c r="AV429" s="4"/>
      <c r="AW429" s="3"/>
      <c r="AX429" s="3"/>
      <c r="AY429" s="4"/>
      <c r="AZ429" s="4"/>
      <c r="BA429" s="4"/>
      <c r="BB429" s="4"/>
      <c r="BC429" s="4"/>
      <c r="BD429" s="4"/>
      <c r="BE429" s="4"/>
      <c r="BF429" s="4"/>
      <c r="BG429" s="4"/>
      <c r="BH429" s="197"/>
      <c r="BI429" s="197"/>
      <c r="BJ429" s="197"/>
      <c r="BK429" s="197"/>
      <c r="BL429" s="4"/>
      <c r="BM429" s="1"/>
      <c r="BN429" s="1"/>
      <c r="BO429" s="1"/>
      <c r="BP429" s="99"/>
      <c r="BQ429" s="110"/>
      <c r="BR429" s="56"/>
      <c r="BS429" s="3"/>
      <c r="BT429" s="199"/>
      <c r="BU429" s="199"/>
      <c r="BV429" s="199"/>
      <c r="BW429" s="199"/>
      <c r="BX429" s="4"/>
      <c r="BY429" s="4"/>
      <c r="BZ429" s="4"/>
      <c r="CA429" s="4"/>
      <c r="CB429" s="82"/>
      <c r="CC429" s="82"/>
      <c r="CD429" s="82"/>
      <c r="CE429" s="4"/>
      <c r="CF429" s="4"/>
      <c r="CG429" s="4"/>
      <c r="CH429" s="4"/>
      <c r="CI429" s="4"/>
      <c r="CJ429" s="4"/>
      <c r="CK429" s="3"/>
      <c r="CL429" s="3"/>
      <c r="CM429" s="4"/>
      <c r="CN429" s="4"/>
      <c r="CO429" s="4"/>
      <c r="CP429" s="4"/>
      <c r="CQ429" s="4"/>
      <c r="CR429" s="4"/>
      <c r="CS429" s="4"/>
      <c r="CT429" s="4"/>
      <c r="CU429" s="4"/>
      <c r="CV429" s="197"/>
      <c r="CW429" s="197"/>
      <c r="CX429" s="197"/>
      <c r="CY429" s="197"/>
      <c r="CZ429" s="4"/>
      <c r="DA429" s="1"/>
      <c r="DB429" s="1"/>
      <c r="DC429" s="1"/>
      <c r="DD429" s="99"/>
    </row>
    <row r="430" spans="30:139" ht="6.95" customHeight="1" x14ac:dyDescent="0.15">
      <c r="AD430" s="56"/>
      <c r="AE430" s="3"/>
      <c r="AF430" s="3"/>
      <c r="AG430" s="3"/>
      <c r="AH430" s="3"/>
      <c r="AI430" s="4"/>
      <c r="AJ430" s="4"/>
      <c r="AK430" s="4"/>
      <c r="AL430" s="4"/>
      <c r="AM430" s="88"/>
      <c r="AN430" s="88"/>
      <c r="AO430" s="88"/>
      <c r="AP430" s="88"/>
      <c r="AQ430" s="88"/>
      <c r="AR430" s="88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1"/>
      <c r="BN430" s="1"/>
      <c r="BO430" s="1"/>
      <c r="BP430" s="99"/>
      <c r="BQ430" s="110"/>
      <c r="BR430" s="56"/>
      <c r="BS430" s="3"/>
      <c r="BT430" s="3"/>
      <c r="BU430" s="3"/>
      <c r="BV430" s="3"/>
      <c r="BW430" s="4"/>
      <c r="BX430" s="4"/>
      <c r="BY430" s="4"/>
      <c r="BZ430" s="4"/>
      <c r="CA430" s="88"/>
      <c r="CB430" s="88"/>
      <c r="CC430" s="88"/>
      <c r="CD430" s="88"/>
      <c r="CE430" s="88"/>
      <c r="CF430" s="88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1"/>
      <c r="DB430" s="1"/>
      <c r="DC430" s="1"/>
      <c r="DD430" s="99"/>
    </row>
    <row r="431" spans="30:139" ht="6.95" customHeight="1" x14ac:dyDescent="0.15">
      <c r="AD431" s="56"/>
      <c r="AE431" s="3"/>
      <c r="AF431" s="3"/>
      <c r="AG431" s="3"/>
      <c r="AH431" s="3"/>
      <c r="AI431" s="4"/>
      <c r="AJ431" s="4"/>
      <c r="AK431" s="84"/>
      <c r="AL431" s="84"/>
      <c r="AM431" s="88"/>
      <c r="AN431" s="88"/>
      <c r="AO431" s="196" t="s">
        <v>42</v>
      </c>
      <c r="AP431" s="196"/>
      <c r="AQ431" s="196"/>
      <c r="AR431" s="196">
        <v>6</v>
      </c>
      <c r="AS431" s="196"/>
      <c r="AT431" s="196" t="s">
        <v>43</v>
      </c>
      <c r="AU431" s="196"/>
      <c r="AV431" s="196"/>
      <c r="AW431" s="4"/>
      <c r="AX431" s="4"/>
      <c r="AY431" s="4"/>
      <c r="AZ431" s="88"/>
      <c r="BA431" s="4"/>
      <c r="BB431" s="200">
        <f>CHOOSE(SUM(($BR$138&gt;={700,750})*1), 300,200)</f>
        <v>200</v>
      </c>
      <c r="BC431" s="200"/>
      <c r="BD431" s="200"/>
      <c r="BE431" s="200"/>
      <c r="BF431" s="4"/>
      <c r="BG431" s="88"/>
      <c r="BH431" s="196" t="s">
        <v>42</v>
      </c>
      <c r="BI431" s="196"/>
      <c r="BJ431" s="196"/>
      <c r="BK431" s="196">
        <v>2</v>
      </c>
      <c r="BL431" s="196"/>
      <c r="BM431" s="196" t="s">
        <v>43</v>
      </c>
      <c r="BN431" s="196"/>
      <c r="BO431" s="196"/>
      <c r="BP431" s="99"/>
      <c r="BQ431" s="110"/>
      <c r="BR431" s="56"/>
      <c r="BS431" s="3"/>
      <c r="BT431" s="3"/>
      <c r="BU431" s="3"/>
      <c r="BV431" s="3"/>
      <c r="BW431" s="4"/>
      <c r="BX431" s="4"/>
      <c r="BY431" s="84"/>
      <c r="BZ431" s="84"/>
      <c r="CA431" s="88"/>
      <c r="CB431" s="88"/>
      <c r="CC431" s="196" t="s">
        <v>42</v>
      </c>
      <c r="CD431" s="196"/>
      <c r="CE431" s="196"/>
      <c r="CF431" s="196">
        <v>6</v>
      </c>
      <c r="CG431" s="196"/>
      <c r="CH431" s="196" t="s">
        <v>43</v>
      </c>
      <c r="CI431" s="196"/>
      <c r="CJ431" s="196"/>
      <c r="CK431" s="4"/>
      <c r="CL431" s="4"/>
      <c r="CM431" s="4"/>
      <c r="CN431" s="88"/>
      <c r="CO431" s="4"/>
      <c r="CP431" s="200">
        <f>CHOOSE(SUM(($BR$138&gt;={700,750})*1), 300,200)</f>
        <v>200</v>
      </c>
      <c r="CQ431" s="200"/>
      <c r="CR431" s="200"/>
      <c r="CS431" s="200"/>
      <c r="CT431" s="4"/>
      <c r="CU431" s="88"/>
      <c r="CV431" s="196" t="s">
        <v>42</v>
      </c>
      <c r="CW431" s="196"/>
      <c r="CX431" s="196"/>
      <c r="CY431" s="196">
        <v>2</v>
      </c>
      <c r="CZ431" s="196"/>
      <c r="DA431" s="196" t="s">
        <v>43</v>
      </c>
      <c r="DB431" s="196"/>
      <c r="DC431" s="196"/>
      <c r="DD431" s="99"/>
    </row>
    <row r="432" spans="30:139" ht="6.95" customHeight="1" x14ac:dyDescent="0.15">
      <c r="AD432" s="56"/>
      <c r="AE432" s="3"/>
      <c r="AF432" s="2"/>
      <c r="AG432" s="2"/>
      <c r="AH432" s="2"/>
      <c r="AI432" s="2"/>
      <c r="AJ432" s="2"/>
      <c r="AK432" s="84"/>
      <c r="AL432" s="84"/>
      <c r="AM432" s="88"/>
      <c r="AN432" s="88"/>
      <c r="AO432" s="196"/>
      <c r="AP432" s="196"/>
      <c r="AQ432" s="196"/>
      <c r="AR432" s="196"/>
      <c r="AS432" s="196"/>
      <c r="AT432" s="196"/>
      <c r="AU432" s="196"/>
      <c r="AV432" s="196"/>
      <c r="AW432" s="84"/>
      <c r="AX432" s="84"/>
      <c r="AY432" s="4"/>
      <c r="AZ432" s="88"/>
      <c r="BA432" s="4"/>
      <c r="BB432" s="200"/>
      <c r="BC432" s="200"/>
      <c r="BD432" s="200"/>
      <c r="BE432" s="200"/>
      <c r="BF432" s="4"/>
      <c r="BG432" s="88"/>
      <c r="BH432" s="196"/>
      <c r="BI432" s="196"/>
      <c r="BJ432" s="196"/>
      <c r="BK432" s="196"/>
      <c r="BL432" s="196"/>
      <c r="BM432" s="196"/>
      <c r="BN432" s="196"/>
      <c r="BO432" s="196"/>
      <c r="BP432" s="99"/>
      <c r="BQ432" s="110"/>
      <c r="BR432" s="56"/>
      <c r="BS432" s="3"/>
      <c r="BT432" s="2"/>
      <c r="BU432" s="2"/>
      <c r="BV432" s="2"/>
      <c r="BW432" s="2"/>
      <c r="BX432" s="2"/>
      <c r="BY432" s="84"/>
      <c r="BZ432" s="84"/>
      <c r="CA432" s="88"/>
      <c r="CB432" s="88"/>
      <c r="CC432" s="196"/>
      <c r="CD432" s="196"/>
      <c r="CE432" s="196"/>
      <c r="CF432" s="196"/>
      <c r="CG432" s="196"/>
      <c r="CH432" s="196"/>
      <c r="CI432" s="196"/>
      <c r="CJ432" s="196"/>
      <c r="CK432" s="84"/>
      <c r="CL432" s="84"/>
      <c r="CM432" s="4"/>
      <c r="CN432" s="88"/>
      <c r="CO432" s="4"/>
      <c r="CP432" s="200"/>
      <c r="CQ432" s="200"/>
      <c r="CR432" s="200"/>
      <c r="CS432" s="200"/>
      <c r="CT432" s="4"/>
      <c r="CU432" s="88"/>
      <c r="CV432" s="196"/>
      <c r="CW432" s="196"/>
      <c r="CX432" s="196"/>
      <c r="CY432" s="196"/>
      <c r="CZ432" s="196"/>
      <c r="DA432" s="196"/>
      <c r="DB432" s="196"/>
      <c r="DC432" s="196"/>
      <c r="DD432" s="99"/>
    </row>
    <row r="433" spans="30:108" ht="6.95" customHeight="1" x14ac:dyDescent="0.15">
      <c r="AD433" s="52"/>
      <c r="AE433" s="2"/>
      <c r="AF433" s="2"/>
      <c r="AG433" s="2"/>
      <c r="AH433" s="2"/>
      <c r="AI433" s="2"/>
      <c r="AJ433" s="2"/>
      <c r="AK433" s="84"/>
      <c r="AL433" s="84"/>
      <c r="AM433" s="88"/>
      <c r="AN433" s="88"/>
      <c r="AO433" s="103"/>
      <c r="AP433" s="103"/>
      <c r="AQ433" s="103"/>
      <c r="AR433" s="103"/>
      <c r="AS433" s="103"/>
      <c r="AT433" s="103"/>
      <c r="AU433" s="103"/>
      <c r="AV433" s="103"/>
      <c r="AW433" s="84"/>
      <c r="AX433" s="84"/>
      <c r="AY433" s="4"/>
      <c r="AZ433" s="88"/>
      <c r="BA433" s="4"/>
      <c r="BB433" s="107"/>
      <c r="BC433" s="107"/>
      <c r="BD433" s="107"/>
      <c r="BE433" s="107"/>
      <c r="BF433" s="4"/>
      <c r="BG433" s="88"/>
      <c r="BH433" s="103"/>
      <c r="BI433" s="103"/>
      <c r="BJ433" s="103"/>
      <c r="BK433" s="103"/>
      <c r="BL433" s="103"/>
      <c r="BM433" s="103"/>
      <c r="BN433" s="103"/>
      <c r="BO433" s="103"/>
      <c r="BP433" s="99"/>
      <c r="BQ433" s="110"/>
      <c r="BR433" s="52"/>
      <c r="BS433" s="2"/>
      <c r="BT433" s="2"/>
      <c r="BU433" s="2"/>
      <c r="BV433" s="2"/>
      <c r="BW433" s="2"/>
      <c r="BX433" s="2"/>
      <c r="BY433" s="84"/>
      <c r="BZ433" s="84"/>
      <c r="CA433" s="88"/>
      <c r="CB433" s="88"/>
      <c r="CC433" s="103"/>
      <c r="CD433" s="103"/>
      <c r="CE433" s="103"/>
      <c r="CF433" s="103"/>
      <c r="CG433" s="103"/>
      <c r="CH433" s="103"/>
      <c r="CI433" s="103"/>
      <c r="CJ433" s="103"/>
      <c r="CK433" s="84"/>
      <c r="CL433" s="84"/>
      <c r="CM433" s="4"/>
      <c r="CN433" s="4"/>
      <c r="CO433" s="4"/>
      <c r="CP433" s="4"/>
      <c r="CQ433" s="4"/>
      <c r="CR433" s="4"/>
      <c r="CS433" s="4"/>
      <c r="CT433" s="4"/>
      <c r="CU433" s="4"/>
      <c r="CV433" s="1"/>
      <c r="CW433" s="1"/>
      <c r="CX433" s="1"/>
      <c r="CY433" s="1"/>
      <c r="CZ433" s="1"/>
      <c r="DA433" s="1"/>
      <c r="DB433" s="1"/>
      <c r="DC433" s="1"/>
      <c r="DD433" s="99"/>
    </row>
    <row r="434" spans="30:108" ht="6.95" customHeight="1" x14ac:dyDescent="0.15">
      <c r="AD434" s="56"/>
      <c r="AE434" s="3"/>
      <c r="AF434" s="3"/>
      <c r="AG434" s="3"/>
      <c r="AH434" s="3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1"/>
      <c r="BI434" s="1"/>
      <c r="BJ434" s="1"/>
      <c r="BK434" s="1"/>
      <c r="BL434" s="1"/>
      <c r="BM434" s="1"/>
      <c r="BN434" s="1"/>
      <c r="BO434" s="1"/>
      <c r="BP434" s="99"/>
      <c r="BQ434" s="110"/>
      <c r="BR434" s="56"/>
      <c r="BS434" s="3"/>
      <c r="BT434" s="2"/>
      <c r="BU434" s="2"/>
      <c r="BV434" s="2"/>
      <c r="BW434" s="2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1"/>
      <c r="CW434" s="1"/>
      <c r="CX434" s="1"/>
      <c r="CY434" s="1"/>
      <c r="CZ434" s="1"/>
      <c r="DA434" s="1"/>
      <c r="DB434" s="1"/>
      <c r="DC434" s="1"/>
      <c r="DD434" s="99"/>
    </row>
    <row r="435" spans="30:108" ht="6.95" customHeight="1" x14ac:dyDescent="0.15">
      <c r="AD435" s="56"/>
      <c r="AE435" s="3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3"/>
      <c r="AQ435" s="103"/>
      <c r="AR435" s="103"/>
      <c r="AS435" s="103"/>
      <c r="AT435" s="103"/>
      <c r="AU435" s="103"/>
      <c r="AV435" s="103"/>
      <c r="AW435" s="103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1"/>
      <c r="BI435" s="1"/>
      <c r="BJ435" s="1"/>
      <c r="BK435" s="1"/>
      <c r="BL435" s="1"/>
      <c r="BM435" s="1"/>
      <c r="BN435" s="1"/>
      <c r="BO435" s="1"/>
      <c r="BP435" s="99"/>
      <c r="BQ435" s="110"/>
      <c r="BR435" s="56"/>
      <c r="BS435" s="3"/>
      <c r="BT435" s="2"/>
      <c r="BU435" s="2"/>
      <c r="BV435" s="2"/>
      <c r="BW435" s="2"/>
      <c r="BX435" s="106"/>
      <c r="BY435" s="106"/>
      <c r="BZ435" s="106"/>
      <c r="CA435" s="106"/>
      <c r="CB435" s="106"/>
      <c r="CC435" s="106"/>
      <c r="CD435" s="103"/>
      <c r="CE435" s="103"/>
      <c r="CF435" s="103"/>
      <c r="CG435" s="103"/>
      <c r="CH435" s="103"/>
      <c r="CI435" s="103"/>
      <c r="CJ435" s="103"/>
      <c r="CK435" s="103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1"/>
      <c r="CW435" s="1"/>
      <c r="CX435" s="1"/>
      <c r="CY435" s="1"/>
      <c r="CZ435" s="1"/>
      <c r="DA435" s="1"/>
      <c r="DB435" s="1"/>
      <c r="DC435" s="1"/>
      <c r="DD435" s="147"/>
    </row>
    <row r="436" spans="30:108" ht="6.95" customHeight="1" x14ac:dyDescent="0.15">
      <c r="AD436" s="56"/>
      <c r="AE436" s="3"/>
      <c r="AF436" s="200" t="s">
        <v>26</v>
      </c>
      <c r="AG436" s="200"/>
      <c r="AH436" s="200"/>
      <c r="AI436" s="200"/>
      <c r="AJ436" s="106"/>
      <c r="AK436" s="106"/>
      <c r="AL436" s="106"/>
      <c r="AM436" s="106"/>
      <c r="AN436" s="106"/>
      <c r="AO436" s="106"/>
      <c r="AP436" s="103"/>
      <c r="AQ436" s="103"/>
      <c r="AR436" s="103"/>
      <c r="AS436" s="103"/>
      <c r="AT436" s="103"/>
      <c r="AU436" s="103"/>
      <c r="AV436" s="103"/>
      <c r="AW436" s="103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1"/>
      <c r="BI436" s="1"/>
      <c r="BJ436" s="1"/>
      <c r="BK436" s="1"/>
      <c r="BL436" s="1"/>
      <c r="BM436" s="1"/>
      <c r="BN436" s="1"/>
      <c r="BO436" s="1"/>
      <c r="BP436" s="99"/>
      <c r="BQ436" s="93"/>
      <c r="BR436" s="56"/>
      <c r="BS436" s="3"/>
      <c r="BT436" s="2"/>
      <c r="BU436" s="2"/>
      <c r="BV436" s="2"/>
      <c r="BW436" s="2"/>
      <c r="BX436" s="106"/>
      <c r="BY436" s="106"/>
      <c r="BZ436" s="106"/>
      <c r="CA436" s="106"/>
      <c r="CB436" s="106"/>
      <c r="CC436" s="106"/>
      <c r="CD436" s="103"/>
      <c r="CE436" s="103"/>
      <c r="CF436" s="103"/>
      <c r="CG436" s="103"/>
      <c r="CH436" s="103"/>
      <c r="CI436" s="103"/>
      <c r="CJ436" s="103"/>
      <c r="CK436" s="103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1"/>
      <c r="CW436" s="1"/>
      <c r="CX436" s="1"/>
      <c r="CY436" s="1"/>
      <c r="CZ436" s="1"/>
      <c r="DA436" s="1"/>
      <c r="DB436" s="1"/>
      <c r="DC436" s="1"/>
      <c r="DD436" s="147"/>
    </row>
    <row r="437" spans="30:108" ht="6.95" customHeight="1" x14ac:dyDescent="0.15">
      <c r="AD437" s="56"/>
      <c r="AE437" s="3"/>
      <c r="AF437" s="200"/>
      <c r="AG437" s="200"/>
      <c r="AH437" s="200"/>
      <c r="AI437" s="200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1"/>
      <c r="BI437" s="1"/>
      <c r="BJ437" s="199">
        <f>CHOOSE(SUM((AD404&gt;={700,750,800,850,900,950})*1), 140,190,240,290,340,390)</f>
        <v>240</v>
      </c>
      <c r="BK437" s="199"/>
      <c r="BL437" s="199"/>
      <c r="BM437" s="199"/>
      <c r="BN437" s="1"/>
      <c r="BO437" s="1"/>
      <c r="BP437" s="99"/>
      <c r="BQ437" s="93"/>
      <c r="BR437" s="56"/>
      <c r="BS437" s="3"/>
      <c r="BT437" s="193" t="s">
        <v>44</v>
      </c>
      <c r="BU437" s="193"/>
      <c r="BV437" s="193"/>
      <c r="BW437" s="193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1"/>
      <c r="CW437" s="1"/>
      <c r="CX437" s="199">
        <f>CHOOSE(SUM((BR404&gt;={700,750,800,850,900,950})*1), 140,190,240,290,340,390)</f>
        <v>190</v>
      </c>
      <c r="CY437" s="199"/>
      <c r="CZ437" s="199"/>
      <c r="DA437" s="199"/>
      <c r="DB437" s="1"/>
      <c r="DC437" s="1"/>
      <c r="DD437" s="147"/>
    </row>
    <row r="438" spans="30:108" ht="6.95" customHeight="1" x14ac:dyDescent="0.15">
      <c r="AD438" s="56"/>
      <c r="AE438" s="3"/>
      <c r="AF438" s="106"/>
      <c r="AG438" s="106"/>
      <c r="AH438" s="106"/>
      <c r="AI438" s="106"/>
      <c r="AJ438" s="104"/>
      <c r="AK438" s="105"/>
      <c r="AL438" s="105"/>
      <c r="AM438" s="105"/>
      <c r="AN438" s="105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1"/>
      <c r="BI438" s="1"/>
      <c r="BJ438" s="199"/>
      <c r="BK438" s="199"/>
      <c r="BL438" s="199"/>
      <c r="BM438" s="199"/>
      <c r="BN438" s="1"/>
      <c r="BO438" s="1"/>
      <c r="BP438" s="99"/>
      <c r="BQ438" s="93"/>
      <c r="BR438" s="56"/>
      <c r="BS438" s="3"/>
      <c r="BT438" s="193"/>
      <c r="BU438" s="193"/>
      <c r="BV438" s="193"/>
      <c r="BW438" s="193"/>
      <c r="BX438" s="104"/>
      <c r="BY438" s="105"/>
      <c r="BZ438" s="105"/>
      <c r="CA438" s="105"/>
      <c r="CB438" s="105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1"/>
      <c r="CW438" s="1"/>
      <c r="CX438" s="199"/>
      <c r="CY438" s="199"/>
      <c r="CZ438" s="199"/>
      <c r="DA438" s="199"/>
      <c r="DB438" s="1"/>
      <c r="DC438" s="1"/>
      <c r="DD438" s="147"/>
    </row>
    <row r="439" spans="30:108" ht="6.95" customHeight="1" x14ac:dyDescent="0.15">
      <c r="AD439" s="56"/>
      <c r="AE439" s="3"/>
      <c r="AF439" s="197" t="str">
        <f>AF436</f>
        <v>D16</v>
      </c>
      <c r="AG439" s="197"/>
      <c r="AH439" s="197"/>
      <c r="AI439" s="197"/>
      <c r="AJ439" s="104"/>
      <c r="AK439" s="105"/>
      <c r="AL439" s="105"/>
      <c r="AM439" s="105"/>
      <c r="AN439" s="105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1"/>
      <c r="BI439" s="1"/>
      <c r="BJ439" s="96"/>
      <c r="BK439" s="96"/>
      <c r="BL439" s="96"/>
      <c r="BM439" s="96"/>
      <c r="BN439" s="110"/>
      <c r="BO439" s="1"/>
      <c r="BP439" s="99"/>
      <c r="BQ439" s="93"/>
      <c r="BR439" s="56"/>
      <c r="BS439" s="3"/>
      <c r="BT439" s="2"/>
      <c r="BU439" s="2"/>
      <c r="BV439" s="2"/>
      <c r="BW439" s="2"/>
      <c r="BX439" s="104"/>
      <c r="BY439" s="105"/>
      <c r="BZ439" s="105"/>
      <c r="CA439" s="105"/>
      <c r="CB439" s="105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1"/>
      <c r="CW439" s="1"/>
      <c r="CX439" s="96"/>
      <c r="CY439" s="96"/>
      <c r="CZ439" s="96"/>
      <c r="DA439" s="96"/>
      <c r="DB439" s="110"/>
      <c r="DC439" s="1"/>
      <c r="DD439" s="147"/>
    </row>
    <row r="440" spans="30:108" ht="6.95" customHeight="1" x14ac:dyDescent="0.15">
      <c r="AD440" s="56"/>
      <c r="AE440" s="3"/>
      <c r="AF440" s="197"/>
      <c r="AG440" s="197"/>
      <c r="AH440" s="197"/>
      <c r="AI440" s="197"/>
      <c r="AJ440" s="4"/>
      <c r="AK440" s="4"/>
      <c r="AL440" s="105"/>
      <c r="AM440" s="105"/>
      <c r="AN440" s="105"/>
      <c r="AO440" s="105"/>
      <c r="AP440" s="105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1"/>
      <c r="BI440" s="1"/>
      <c r="BJ440" s="1"/>
      <c r="BK440" s="1"/>
      <c r="BL440" s="110"/>
      <c r="BM440" s="110"/>
      <c r="BN440" s="110"/>
      <c r="BO440" s="1"/>
      <c r="BP440" s="99"/>
      <c r="BQ440" s="93"/>
      <c r="BR440" s="56"/>
      <c r="BS440" s="3"/>
      <c r="BT440" s="2"/>
      <c r="BU440" s="2"/>
      <c r="BV440" s="2"/>
      <c r="BW440" s="2"/>
      <c r="BX440" s="4"/>
      <c r="BY440" s="4"/>
      <c r="BZ440" s="105"/>
      <c r="CA440" s="105"/>
      <c r="CB440" s="105"/>
      <c r="CC440" s="105"/>
      <c r="CD440" s="105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1"/>
      <c r="CW440" s="1"/>
      <c r="CX440" s="1"/>
      <c r="CY440" s="1"/>
      <c r="CZ440" s="110"/>
      <c r="DA440" s="110"/>
      <c r="DB440" s="110"/>
      <c r="DC440" s="1"/>
      <c r="DD440" s="147"/>
    </row>
    <row r="441" spans="30:108" ht="6.95" customHeight="1" x14ac:dyDescent="0.15">
      <c r="AD441" s="56"/>
      <c r="AE441" s="3"/>
      <c r="AF441" s="106"/>
      <c r="AG441" s="106"/>
      <c r="AH441" s="106"/>
      <c r="AI441" s="106"/>
      <c r="AJ441" s="4"/>
      <c r="AK441" s="4"/>
      <c r="AL441" s="105"/>
      <c r="AM441" s="105"/>
      <c r="AN441" s="105"/>
      <c r="AO441" s="105"/>
      <c r="AP441" s="105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196" t="s">
        <v>42</v>
      </c>
      <c r="BI441" s="196"/>
      <c r="BJ441" s="196"/>
      <c r="BK441" s="196">
        <v>1</v>
      </c>
      <c r="BL441" s="196"/>
      <c r="BM441" s="196" t="s">
        <v>43</v>
      </c>
      <c r="BN441" s="196"/>
      <c r="BO441" s="196"/>
      <c r="BP441" s="99"/>
      <c r="BQ441" s="93"/>
      <c r="BR441" s="56"/>
      <c r="BS441" s="3"/>
      <c r="BT441" s="193" t="s">
        <v>44</v>
      </c>
      <c r="BU441" s="193"/>
      <c r="BV441" s="193"/>
      <c r="BW441" s="193"/>
      <c r="BX441" s="4"/>
      <c r="BY441" s="4"/>
      <c r="BZ441" s="105"/>
      <c r="CA441" s="105"/>
      <c r="CB441" s="105"/>
      <c r="CC441" s="105"/>
      <c r="CD441" s="105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196" t="s">
        <v>42</v>
      </c>
      <c r="CW441" s="196"/>
      <c r="CX441" s="196"/>
      <c r="CY441" s="196">
        <v>1</v>
      </c>
      <c r="CZ441" s="196"/>
      <c r="DA441" s="196" t="s">
        <v>43</v>
      </c>
      <c r="DB441" s="196"/>
      <c r="DC441" s="196"/>
      <c r="DD441" s="147"/>
    </row>
    <row r="442" spans="30:108" ht="6.95" customHeight="1" x14ac:dyDescent="0.15">
      <c r="AD442" s="56"/>
      <c r="AE442" s="3"/>
      <c r="AF442" s="3"/>
      <c r="AG442" s="3"/>
      <c r="AH442" s="105"/>
      <c r="AI442" s="105"/>
      <c r="AJ442" s="105"/>
      <c r="AK442" s="105"/>
      <c r="AL442" s="4"/>
      <c r="AM442" s="4"/>
      <c r="AN442" s="4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196"/>
      <c r="BI442" s="196"/>
      <c r="BJ442" s="196"/>
      <c r="BK442" s="196"/>
      <c r="BL442" s="196"/>
      <c r="BM442" s="196"/>
      <c r="BN442" s="196"/>
      <c r="BO442" s="196"/>
      <c r="BP442" s="99"/>
      <c r="BQ442" s="93"/>
      <c r="BR442" s="56"/>
      <c r="BS442" s="3"/>
      <c r="BT442" s="193"/>
      <c r="BU442" s="193"/>
      <c r="BV442" s="193"/>
      <c r="BW442" s="193"/>
      <c r="BX442" s="105"/>
      <c r="BY442" s="105"/>
      <c r="BZ442" s="4"/>
      <c r="CA442" s="4"/>
      <c r="CB442" s="4"/>
      <c r="CC442" s="103"/>
      <c r="CD442" s="103"/>
      <c r="CE442" s="103"/>
      <c r="CF442" s="103"/>
      <c r="CG442" s="103"/>
      <c r="CH442" s="103"/>
      <c r="CI442" s="103"/>
      <c r="CJ442" s="103"/>
      <c r="CK442" s="103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196"/>
      <c r="CW442" s="196"/>
      <c r="CX442" s="196"/>
      <c r="CY442" s="196"/>
      <c r="CZ442" s="196"/>
      <c r="DA442" s="196"/>
      <c r="DB442" s="196"/>
      <c r="DC442" s="196"/>
      <c r="DD442" s="147"/>
    </row>
    <row r="443" spans="30:108" ht="6.95" customHeight="1" x14ac:dyDescent="0.15">
      <c r="AD443" s="56"/>
      <c r="AE443" s="3"/>
      <c r="AF443" s="198" t="s">
        <v>44</v>
      </c>
      <c r="AG443" s="198"/>
      <c r="AH443" s="198"/>
      <c r="AI443" s="198"/>
      <c r="AJ443" s="105"/>
      <c r="AK443" s="105"/>
      <c r="AL443" s="218">
        <v>1800</v>
      </c>
      <c r="AM443" s="218"/>
      <c r="AN443" s="218"/>
      <c r="AO443" s="218"/>
      <c r="AP443" s="218"/>
      <c r="AQ443" s="218"/>
      <c r="AR443" s="218"/>
      <c r="AS443" s="103"/>
      <c r="AT443" s="196" t="s">
        <v>42</v>
      </c>
      <c r="AU443" s="196"/>
      <c r="AV443" s="196"/>
      <c r="AW443" s="196"/>
      <c r="AX443" s="196"/>
      <c r="AY443" s="196" t="s">
        <v>43</v>
      </c>
      <c r="AZ443" s="196"/>
      <c r="BA443" s="196"/>
      <c r="BB443" s="4"/>
      <c r="BC443" s="4"/>
      <c r="BD443" s="4"/>
      <c r="BE443" s="4"/>
      <c r="BF443" s="4"/>
      <c r="BG443" s="4"/>
      <c r="BH443" s="103"/>
      <c r="BI443" s="103"/>
      <c r="BJ443" s="103"/>
      <c r="BK443" s="103"/>
      <c r="BL443" s="103"/>
      <c r="BM443" s="103"/>
      <c r="BN443" s="103"/>
      <c r="BO443" s="103"/>
      <c r="BP443" s="99"/>
      <c r="BQ443" s="93"/>
      <c r="BR443" s="56"/>
      <c r="BS443" s="3"/>
      <c r="BT443" s="193" t="s">
        <v>26</v>
      </c>
      <c r="BU443" s="193"/>
      <c r="BV443" s="193"/>
      <c r="BW443" s="193"/>
      <c r="BX443" s="4"/>
      <c r="BY443" s="193" t="s">
        <v>49</v>
      </c>
      <c r="BZ443" s="193"/>
      <c r="CA443" s="193"/>
      <c r="CB443" s="193"/>
      <c r="CC443" s="193"/>
      <c r="CD443" s="193"/>
      <c r="CE443" s="193"/>
      <c r="CF443" s="193"/>
      <c r="CG443" s="103"/>
      <c r="CH443" s="196" t="s">
        <v>42</v>
      </c>
      <c r="CI443" s="196"/>
      <c r="CJ443" s="196"/>
      <c r="CK443" s="196"/>
      <c r="CL443" s="196"/>
      <c r="CM443" s="196" t="s">
        <v>43</v>
      </c>
      <c r="CN443" s="196"/>
      <c r="CO443" s="196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147"/>
    </row>
    <row r="444" spans="30:108" ht="6.95" customHeight="1" x14ac:dyDescent="0.15">
      <c r="AD444" s="56"/>
      <c r="AE444" s="3"/>
      <c r="AF444" s="198"/>
      <c r="AG444" s="198"/>
      <c r="AH444" s="198"/>
      <c r="AI444" s="198"/>
      <c r="AJ444" s="4"/>
      <c r="AK444" s="4"/>
      <c r="AL444" s="218"/>
      <c r="AM444" s="218"/>
      <c r="AN444" s="218"/>
      <c r="AO444" s="218"/>
      <c r="AP444" s="218"/>
      <c r="AQ444" s="218"/>
      <c r="AR444" s="218"/>
      <c r="AS444" s="103"/>
      <c r="AT444" s="196"/>
      <c r="AU444" s="196"/>
      <c r="AV444" s="196"/>
      <c r="AW444" s="196"/>
      <c r="AX444" s="196"/>
      <c r="AY444" s="196"/>
      <c r="AZ444" s="196"/>
      <c r="BA444" s="196"/>
      <c r="BB444" s="4"/>
      <c r="BC444" s="4"/>
      <c r="BD444" s="4"/>
      <c r="BE444" s="4"/>
      <c r="BF444" s="4"/>
      <c r="BG444" s="4"/>
      <c r="BH444" s="1"/>
      <c r="BI444" s="1"/>
      <c r="BJ444" s="1"/>
      <c r="BK444" s="1"/>
      <c r="BL444" s="1"/>
      <c r="BM444" s="1"/>
      <c r="BN444" s="1"/>
      <c r="BO444" s="1"/>
      <c r="BP444" s="99"/>
      <c r="BQ444" s="93"/>
      <c r="BR444" s="56"/>
      <c r="BS444" s="3"/>
      <c r="BT444" s="193"/>
      <c r="BU444" s="193"/>
      <c r="BV444" s="193"/>
      <c r="BW444" s="193"/>
      <c r="BX444" s="4"/>
      <c r="BY444" s="193"/>
      <c r="BZ444" s="193"/>
      <c r="CA444" s="193"/>
      <c r="CB444" s="193"/>
      <c r="CC444" s="193"/>
      <c r="CD444" s="193"/>
      <c r="CE444" s="193"/>
      <c r="CF444" s="193"/>
      <c r="CG444" s="103"/>
      <c r="CH444" s="196"/>
      <c r="CI444" s="196"/>
      <c r="CJ444" s="196"/>
      <c r="CK444" s="196"/>
      <c r="CL444" s="196"/>
      <c r="CM444" s="196"/>
      <c r="CN444" s="196"/>
      <c r="CO444" s="196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147"/>
    </row>
    <row r="445" spans="30:108" ht="6.95" customHeight="1" x14ac:dyDescent="0.15">
      <c r="AD445" s="56"/>
      <c r="AE445" s="3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3"/>
      <c r="AT445" s="103"/>
      <c r="AU445" s="103"/>
      <c r="AV445" s="103"/>
      <c r="AW445" s="103"/>
      <c r="AX445" s="103"/>
      <c r="AY445" s="103"/>
      <c r="AZ445" s="103"/>
      <c r="BA445" s="103"/>
      <c r="BB445" s="4"/>
      <c r="BC445" s="4"/>
      <c r="BD445" s="4"/>
      <c r="BE445" s="4"/>
      <c r="BF445" s="4"/>
      <c r="BG445" s="4"/>
      <c r="BH445" s="103"/>
      <c r="BI445" s="103"/>
      <c r="BJ445" s="103"/>
      <c r="BK445" s="103"/>
      <c r="BL445" s="103"/>
      <c r="BM445" s="103"/>
      <c r="BN445" s="103"/>
      <c r="BO445" s="103"/>
      <c r="BP445" s="99"/>
      <c r="BQ445" s="93"/>
      <c r="BR445" s="56"/>
      <c r="BS445" s="3"/>
      <c r="BT445" s="105"/>
      <c r="BU445" s="105"/>
      <c r="BV445" s="105"/>
      <c r="BW445" s="105"/>
      <c r="BX445" s="105"/>
      <c r="BY445" s="105"/>
      <c r="BZ445" s="105"/>
      <c r="CA445" s="105"/>
      <c r="CB445" s="105"/>
      <c r="CC445" s="105"/>
      <c r="CD445" s="105"/>
      <c r="CE445" s="105"/>
      <c r="CF445" s="105"/>
      <c r="CG445" s="103"/>
      <c r="CH445" s="103"/>
      <c r="CI445" s="103"/>
      <c r="CJ445" s="103"/>
      <c r="CK445" s="103"/>
      <c r="CL445" s="103"/>
      <c r="CM445" s="103"/>
      <c r="CN445" s="103"/>
      <c r="CO445" s="103"/>
      <c r="CP445" s="4"/>
      <c r="CQ445" s="4"/>
      <c r="CR445" s="4"/>
      <c r="CS445" s="4"/>
      <c r="CT445" s="4"/>
      <c r="CU445" s="4"/>
      <c r="CV445" s="103"/>
      <c r="CW445" s="103"/>
      <c r="CX445" s="103"/>
      <c r="CY445" s="103"/>
      <c r="CZ445" s="103"/>
      <c r="DA445" s="103"/>
      <c r="DB445" s="103"/>
      <c r="DC445" s="103"/>
      <c r="DD445" s="147"/>
    </row>
    <row r="446" spans="30:108" ht="6.95" customHeight="1" x14ac:dyDescent="0.15">
      <c r="AD446" s="56"/>
      <c r="AE446" s="3"/>
      <c r="AF446" s="193" t="s">
        <v>44</v>
      </c>
      <c r="AG446" s="193"/>
      <c r="AH446" s="193"/>
      <c r="AI446" s="193"/>
      <c r="AJ446" s="2"/>
      <c r="AK446" s="2"/>
      <c r="AL446" s="2"/>
      <c r="AM446" s="105"/>
      <c r="AN446" s="105"/>
      <c r="AO446" s="105"/>
      <c r="AP446" s="105"/>
      <c r="AQ446" s="105"/>
      <c r="AR446" s="105"/>
      <c r="AS446" s="103"/>
      <c r="AT446" s="103"/>
      <c r="AU446" s="103"/>
      <c r="AV446" s="103"/>
      <c r="AW446" s="103"/>
      <c r="AX446" s="103"/>
      <c r="AY446" s="103"/>
      <c r="AZ446" s="103"/>
      <c r="BA446" s="103"/>
      <c r="BB446" s="4"/>
      <c r="BC446" s="4"/>
      <c r="BD446" s="4"/>
      <c r="BE446" s="4"/>
      <c r="BF446" s="4"/>
      <c r="BG446" s="4"/>
      <c r="BH446" s="1"/>
      <c r="BI446" s="1"/>
      <c r="BJ446" s="1"/>
      <c r="BK446" s="1"/>
      <c r="BL446" s="1"/>
      <c r="BM446" s="1"/>
      <c r="BN446" s="1"/>
      <c r="BO446" s="1"/>
      <c r="BP446" s="99"/>
      <c r="BQ446" s="93"/>
      <c r="BR446" s="56"/>
      <c r="BS446" s="3"/>
      <c r="BT446" s="193" t="s">
        <v>44</v>
      </c>
      <c r="BU446" s="193"/>
      <c r="BV446" s="193"/>
      <c r="BW446" s="193"/>
      <c r="BX446" s="2"/>
      <c r="BY446" s="2"/>
      <c r="BZ446" s="2"/>
      <c r="CA446" s="105"/>
      <c r="CB446" s="105"/>
      <c r="CC446" s="105"/>
      <c r="CD446" s="105"/>
      <c r="CE446" s="105"/>
      <c r="CF446" s="105"/>
      <c r="CG446" s="103"/>
      <c r="CH446" s="103"/>
      <c r="CI446" s="103"/>
      <c r="CJ446" s="103"/>
      <c r="CK446" s="103"/>
      <c r="CL446" s="103"/>
      <c r="CM446" s="103"/>
      <c r="CN446" s="103"/>
      <c r="CO446" s="103"/>
      <c r="CP446" s="4"/>
      <c r="CQ446" s="4"/>
      <c r="CR446" s="4"/>
      <c r="CS446" s="4"/>
      <c r="CT446" s="4"/>
      <c r="CU446" s="4"/>
      <c r="CV446" s="1"/>
      <c r="CW446" s="1"/>
      <c r="CX446" s="1"/>
      <c r="CY446" s="1"/>
      <c r="CZ446" s="1"/>
      <c r="DA446" s="1"/>
      <c r="DB446" s="1"/>
      <c r="DC446" s="1"/>
      <c r="DD446" s="147"/>
    </row>
    <row r="447" spans="30:108" ht="6.95" customHeight="1" x14ac:dyDescent="0.15">
      <c r="AD447" s="56"/>
      <c r="AE447" s="3"/>
      <c r="AF447" s="193"/>
      <c r="AG447" s="193"/>
      <c r="AH447" s="193"/>
      <c r="AI447" s="193"/>
      <c r="AJ447" s="194">
        <f>CHOOSE(SUM((AD404&gt;={700,750,800,850,900,950})*1), 205,255,305,355,405,455)</f>
        <v>305</v>
      </c>
      <c r="AK447" s="194"/>
      <c r="AL447" s="19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1"/>
      <c r="BI447" s="1"/>
      <c r="BJ447" s="1"/>
      <c r="BK447" s="1"/>
      <c r="BL447" s="1"/>
      <c r="BM447" s="1"/>
      <c r="BN447" s="1"/>
      <c r="BO447" s="1"/>
      <c r="BP447" s="99"/>
      <c r="BQ447" s="93"/>
      <c r="BR447" s="56"/>
      <c r="BS447" s="3"/>
      <c r="BT447" s="193"/>
      <c r="BU447" s="193"/>
      <c r="BV447" s="193"/>
      <c r="BW447" s="193"/>
      <c r="BX447" s="194">
        <f>CHOOSE(SUM((BR404&gt;={700,750,800,850,900,950})*1), 205,255,305,355,405,455)</f>
        <v>255</v>
      </c>
      <c r="BY447" s="194"/>
      <c r="BZ447" s="19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1"/>
      <c r="CW447" s="1"/>
      <c r="CX447" s="1"/>
      <c r="CY447" s="1"/>
      <c r="CZ447" s="1"/>
      <c r="DA447" s="1"/>
      <c r="DB447" s="1"/>
      <c r="DC447" s="1"/>
      <c r="DD447" s="99"/>
    </row>
    <row r="448" spans="30:108" ht="6.95" customHeight="1" x14ac:dyDescent="0.15">
      <c r="AD448" s="56"/>
      <c r="AE448" s="3"/>
      <c r="AF448" s="105"/>
      <c r="AG448" s="105"/>
      <c r="AH448" s="105"/>
      <c r="AI448" s="105"/>
      <c r="AJ448" s="194"/>
      <c r="AK448" s="194"/>
      <c r="AL448" s="19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195">
        <f>CHOOSE(SUM((AD404&gt;={700,750,800,850,900,950})*1), 290,360,430,500,570,640)</f>
        <v>430</v>
      </c>
      <c r="BC448" s="195"/>
      <c r="BD448" s="195"/>
      <c r="BE448" s="4"/>
      <c r="BF448" s="4"/>
      <c r="BG448" s="4"/>
      <c r="BH448" s="196" t="s">
        <v>42</v>
      </c>
      <c r="BI448" s="196"/>
      <c r="BJ448" s="196"/>
      <c r="BK448" s="196">
        <v>1</v>
      </c>
      <c r="BL448" s="196"/>
      <c r="BM448" s="196" t="s">
        <v>43</v>
      </c>
      <c r="BN448" s="196"/>
      <c r="BO448" s="196"/>
      <c r="BP448" s="99"/>
      <c r="BQ448" s="93"/>
      <c r="BR448" s="56"/>
      <c r="BS448" s="3"/>
      <c r="BT448" s="105"/>
      <c r="BU448" s="105"/>
      <c r="BV448" s="105"/>
      <c r="BW448" s="105"/>
      <c r="BX448" s="194"/>
      <c r="BY448" s="194"/>
      <c r="BZ448" s="19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195">
        <f>CHOOSE(SUM((BR404&gt;={700,750,800,850,900,950})*1), 290,360,430,500,570,640)</f>
        <v>360</v>
      </c>
      <c r="CQ448" s="195"/>
      <c r="CR448" s="195"/>
      <c r="CS448" s="4"/>
      <c r="CT448" s="4"/>
      <c r="CU448" s="4"/>
      <c r="CV448" s="196" t="s">
        <v>42</v>
      </c>
      <c r="CW448" s="196"/>
      <c r="CX448" s="196"/>
      <c r="CY448" s="196">
        <v>1</v>
      </c>
      <c r="CZ448" s="196"/>
      <c r="DA448" s="196" t="s">
        <v>43</v>
      </c>
      <c r="DB448" s="196"/>
      <c r="DC448" s="196"/>
      <c r="DD448" s="99"/>
    </row>
    <row r="449" spans="30:108" ht="6.95" customHeight="1" x14ac:dyDescent="0.15">
      <c r="AD449" s="56"/>
      <c r="AE449" s="3"/>
      <c r="AF449" s="3"/>
      <c r="AG449" s="3"/>
      <c r="AH449" s="3"/>
      <c r="AI449" s="4"/>
      <c r="AJ449" s="194"/>
      <c r="AK449" s="194"/>
      <c r="AL449" s="194"/>
      <c r="AM449" s="2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195"/>
      <c r="BC449" s="195"/>
      <c r="BD449" s="195"/>
      <c r="BE449" s="4"/>
      <c r="BF449" s="4"/>
      <c r="BG449" s="4"/>
      <c r="BH449" s="196"/>
      <c r="BI449" s="196"/>
      <c r="BJ449" s="196"/>
      <c r="BK449" s="196"/>
      <c r="BL449" s="196"/>
      <c r="BM449" s="196"/>
      <c r="BN449" s="196"/>
      <c r="BO449" s="196"/>
      <c r="BP449" s="99"/>
      <c r="BQ449" s="93"/>
      <c r="BR449" s="56"/>
      <c r="BS449" s="3"/>
      <c r="BT449" s="3"/>
      <c r="BU449" s="3"/>
      <c r="BV449" s="3"/>
      <c r="BW449" s="4"/>
      <c r="BX449" s="194"/>
      <c r="BY449" s="194"/>
      <c r="BZ449" s="194"/>
      <c r="CA449" s="2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195"/>
      <c r="CQ449" s="195"/>
      <c r="CR449" s="195"/>
      <c r="CS449" s="4"/>
      <c r="CT449" s="4"/>
      <c r="CU449" s="4"/>
      <c r="CV449" s="196"/>
      <c r="CW449" s="196"/>
      <c r="CX449" s="196"/>
      <c r="CY449" s="196"/>
      <c r="CZ449" s="196"/>
      <c r="DA449" s="196"/>
      <c r="DB449" s="196"/>
      <c r="DC449" s="196"/>
      <c r="DD449" s="99"/>
    </row>
    <row r="450" spans="30:108" ht="6.95" customHeight="1" x14ac:dyDescent="0.15">
      <c r="AD450" s="56"/>
      <c r="AE450" s="3"/>
      <c r="AF450" s="3"/>
      <c r="AG450" s="3"/>
      <c r="AH450" s="3"/>
      <c r="AI450" s="4"/>
      <c r="AJ450" s="194"/>
      <c r="AK450" s="194"/>
      <c r="AL450" s="194"/>
      <c r="AM450" s="2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111"/>
      <c r="BC450" s="111"/>
      <c r="BD450" s="111"/>
      <c r="BE450" s="88"/>
      <c r="BF450" s="88"/>
      <c r="BG450" s="88"/>
      <c r="BH450" s="103"/>
      <c r="BI450" s="103"/>
      <c r="BJ450" s="103"/>
      <c r="BK450" s="103"/>
      <c r="BL450" s="103"/>
      <c r="BM450" s="103"/>
      <c r="BN450" s="103"/>
      <c r="BO450" s="103"/>
      <c r="BP450" s="99"/>
      <c r="BQ450" s="93"/>
      <c r="BR450" s="56"/>
      <c r="BS450" s="3"/>
      <c r="BT450" s="3"/>
      <c r="BU450" s="3"/>
      <c r="BV450" s="3"/>
      <c r="BW450" s="4"/>
      <c r="BX450" s="194"/>
      <c r="BY450" s="194"/>
      <c r="BZ450" s="194"/>
      <c r="CA450" s="2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111"/>
      <c r="CQ450" s="111"/>
      <c r="CR450" s="111"/>
      <c r="CS450" s="88"/>
      <c r="CT450" s="88"/>
      <c r="CU450" s="88"/>
      <c r="CV450" s="103"/>
      <c r="CW450" s="103"/>
      <c r="CX450" s="103"/>
      <c r="CY450" s="103"/>
      <c r="CZ450" s="103"/>
      <c r="DA450" s="103"/>
      <c r="DB450" s="103"/>
      <c r="DC450" s="103"/>
      <c r="DD450" s="99"/>
    </row>
    <row r="451" spans="30:108" ht="6.95" customHeight="1" x14ac:dyDescent="0.15">
      <c r="AD451" s="115"/>
      <c r="AE451" s="116"/>
      <c r="AF451" s="193" t="s">
        <v>44</v>
      </c>
      <c r="AG451" s="193"/>
      <c r="AH451" s="193"/>
      <c r="AI451" s="193"/>
      <c r="AJ451" s="2"/>
      <c r="AK451" s="2"/>
      <c r="AL451" s="2"/>
      <c r="AM451" s="105"/>
      <c r="AN451" s="105"/>
      <c r="AO451" s="105"/>
      <c r="AP451" s="105"/>
      <c r="AQ451" s="105"/>
      <c r="AR451" s="105"/>
      <c r="AS451" s="103"/>
      <c r="AT451" s="103"/>
      <c r="AU451" s="103"/>
      <c r="AV451" s="103"/>
      <c r="AW451" s="103"/>
      <c r="AX451" s="103"/>
      <c r="AY451" s="103"/>
      <c r="AZ451" s="103"/>
      <c r="BA451" s="103"/>
      <c r="BB451" s="4"/>
      <c r="BC451" s="4"/>
      <c r="BD451" s="4"/>
      <c r="BE451" s="88"/>
      <c r="BF451" s="88"/>
      <c r="BG451" s="88"/>
      <c r="BH451" s="103"/>
      <c r="BI451" s="103"/>
      <c r="BJ451" s="103"/>
      <c r="BK451" s="103"/>
      <c r="BL451" s="103"/>
      <c r="BM451" s="103"/>
      <c r="BN451" s="103"/>
      <c r="BO451" s="103"/>
      <c r="BP451" s="99"/>
      <c r="BQ451" s="93"/>
      <c r="BR451" s="115"/>
      <c r="BS451" s="116"/>
      <c r="BT451" s="193" t="s">
        <v>44</v>
      </c>
      <c r="BU451" s="193"/>
      <c r="BV451" s="193"/>
      <c r="BW451" s="193"/>
      <c r="BX451" s="2"/>
      <c r="BY451" s="2"/>
      <c r="BZ451" s="2"/>
      <c r="CA451" s="105"/>
      <c r="CB451" s="105"/>
      <c r="CC451" s="105"/>
      <c r="CD451" s="105"/>
      <c r="CE451" s="105"/>
      <c r="CF451" s="105"/>
      <c r="CG451" s="103"/>
      <c r="CH451" s="103"/>
      <c r="CI451" s="103"/>
      <c r="CJ451" s="103"/>
      <c r="CK451" s="103"/>
      <c r="CL451" s="103"/>
      <c r="CM451" s="103"/>
      <c r="CN451" s="103"/>
      <c r="CO451" s="103"/>
      <c r="CP451" s="4"/>
      <c r="CQ451" s="4"/>
      <c r="CR451" s="4"/>
      <c r="CS451" s="88"/>
      <c r="CT451" s="88"/>
      <c r="CU451" s="88"/>
      <c r="CV451" s="103"/>
      <c r="CW451" s="103"/>
      <c r="CX451" s="103"/>
      <c r="CY451" s="103"/>
      <c r="CZ451" s="103"/>
      <c r="DA451" s="103"/>
      <c r="DB451" s="103"/>
      <c r="DC451" s="103"/>
      <c r="DD451" s="99"/>
    </row>
    <row r="452" spans="30:108" ht="6.95" customHeight="1" x14ac:dyDescent="0.15">
      <c r="AD452" s="115"/>
      <c r="AE452" s="116"/>
      <c r="AF452" s="193"/>
      <c r="AG452" s="193"/>
      <c r="AH452" s="193"/>
      <c r="AI452" s="193"/>
      <c r="AJ452" s="194"/>
      <c r="AK452" s="194"/>
      <c r="AL452" s="19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1"/>
      <c r="BI452" s="1"/>
      <c r="BJ452" s="1"/>
      <c r="BK452" s="1"/>
      <c r="BL452" s="1"/>
      <c r="BM452" s="1"/>
      <c r="BN452" s="1"/>
      <c r="BO452" s="1"/>
      <c r="BP452" s="99"/>
      <c r="BQ452" s="93"/>
      <c r="BR452" s="115"/>
      <c r="BS452" s="116"/>
      <c r="BT452" s="193"/>
      <c r="BU452" s="193"/>
      <c r="BV452" s="193"/>
      <c r="BW452" s="193"/>
      <c r="BX452" s="194"/>
      <c r="BY452" s="194"/>
      <c r="BZ452" s="19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1"/>
      <c r="CW452" s="1"/>
      <c r="CX452" s="1"/>
      <c r="CY452" s="1"/>
      <c r="CZ452" s="1"/>
      <c r="DA452" s="1"/>
      <c r="DB452" s="1"/>
      <c r="DC452" s="1"/>
      <c r="DD452" s="99"/>
    </row>
    <row r="453" spans="30:108" ht="6.95" customHeight="1" x14ac:dyDescent="0.15">
      <c r="AD453" s="148"/>
      <c r="AE453" s="90"/>
      <c r="AF453" s="90"/>
      <c r="AG453" s="90"/>
      <c r="AH453" s="90"/>
      <c r="AI453" s="90"/>
      <c r="AJ453" s="194"/>
      <c r="AK453" s="194"/>
      <c r="AL453" s="19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195"/>
      <c r="BC453" s="195"/>
      <c r="BD453" s="195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  <c r="BO453" s="90"/>
      <c r="BP453" s="149"/>
      <c r="BQ453" s="93"/>
      <c r="BR453" s="153"/>
      <c r="BS453" s="1"/>
      <c r="BT453" s="90"/>
      <c r="BU453" s="90"/>
      <c r="BV453" s="90"/>
      <c r="BW453" s="90"/>
      <c r="BX453" s="194"/>
      <c r="BY453" s="194"/>
      <c r="BZ453" s="19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195"/>
      <c r="CQ453" s="195"/>
      <c r="CR453" s="195"/>
      <c r="CS453" s="90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99"/>
    </row>
    <row r="454" spans="30:108" ht="6.95" customHeight="1" x14ac:dyDescent="0.15">
      <c r="AD454" s="148"/>
      <c r="AE454" s="90"/>
      <c r="AF454" s="90"/>
      <c r="AG454" s="90"/>
      <c r="AH454" s="90"/>
      <c r="AI454" s="90"/>
      <c r="AJ454" s="194"/>
      <c r="AK454" s="194"/>
      <c r="AL454" s="194"/>
      <c r="AM454" s="2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195"/>
      <c r="BC454" s="195"/>
      <c r="BD454" s="195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149"/>
      <c r="BQ454" s="93"/>
      <c r="BR454" s="153"/>
      <c r="BS454" s="1"/>
      <c r="BT454" s="90"/>
      <c r="BU454" s="90"/>
      <c r="BV454" s="90"/>
      <c r="BW454" s="90"/>
      <c r="BX454" s="194"/>
      <c r="BY454" s="194"/>
      <c r="BZ454" s="194"/>
      <c r="CA454" s="2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195"/>
      <c r="CQ454" s="195"/>
      <c r="CR454" s="195"/>
      <c r="CS454" s="90"/>
      <c r="CT454" s="1"/>
      <c r="CU454" s="1"/>
      <c r="CV454" s="196" t="s">
        <v>42</v>
      </c>
      <c r="CW454" s="196"/>
      <c r="CX454" s="196"/>
      <c r="CY454" s="196">
        <v>1</v>
      </c>
      <c r="CZ454" s="196"/>
      <c r="DA454" s="196" t="s">
        <v>43</v>
      </c>
      <c r="DB454" s="196"/>
      <c r="DC454" s="196"/>
      <c r="DD454" s="99"/>
    </row>
    <row r="455" spans="30:108" ht="6.95" customHeight="1" x14ac:dyDescent="0.15">
      <c r="AD455" s="148"/>
      <c r="AE455" s="90"/>
      <c r="AF455" s="90"/>
      <c r="AG455" s="90"/>
      <c r="AH455" s="90"/>
      <c r="AI455" s="90"/>
      <c r="AJ455" s="194"/>
      <c r="AK455" s="194"/>
      <c r="AL455" s="194"/>
      <c r="AM455" s="2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111"/>
      <c r="BC455" s="111"/>
      <c r="BD455" s="111"/>
      <c r="BE455" s="90"/>
      <c r="BF455" s="90"/>
      <c r="BG455" s="90"/>
      <c r="BH455" s="196" t="s">
        <v>42</v>
      </c>
      <c r="BI455" s="196"/>
      <c r="BJ455" s="196"/>
      <c r="BK455" s="196">
        <v>1</v>
      </c>
      <c r="BL455" s="196"/>
      <c r="BM455" s="196" t="s">
        <v>43</v>
      </c>
      <c r="BN455" s="196"/>
      <c r="BO455" s="196"/>
      <c r="BP455" s="149"/>
      <c r="BQ455" s="93"/>
      <c r="BR455" s="153"/>
      <c r="BS455" s="1"/>
      <c r="BT455" s="90"/>
      <c r="BU455" s="90"/>
      <c r="BV455" s="90"/>
      <c r="BW455" s="90"/>
      <c r="BX455" s="194"/>
      <c r="BY455" s="194"/>
      <c r="BZ455" s="194"/>
      <c r="CA455" s="2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111"/>
      <c r="CQ455" s="111"/>
      <c r="CR455" s="111"/>
      <c r="CS455" s="90"/>
      <c r="CT455" s="1"/>
      <c r="CU455" s="1"/>
      <c r="CV455" s="196"/>
      <c r="CW455" s="196"/>
      <c r="CX455" s="196"/>
      <c r="CY455" s="196"/>
      <c r="CZ455" s="196"/>
      <c r="DA455" s="196"/>
      <c r="DB455" s="196"/>
      <c r="DC455" s="196"/>
      <c r="DD455" s="99"/>
    </row>
    <row r="456" spans="30:108" ht="6.95" customHeight="1" x14ac:dyDescent="0.15">
      <c r="AD456" s="148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196"/>
      <c r="BI456" s="196"/>
      <c r="BJ456" s="196"/>
      <c r="BK456" s="196"/>
      <c r="BL456" s="196"/>
      <c r="BM456" s="196"/>
      <c r="BN456" s="196"/>
      <c r="BO456" s="196"/>
      <c r="BP456" s="149"/>
      <c r="BQ456" s="93"/>
      <c r="BR456" s="153"/>
      <c r="BS456" s="1"/>
      <c r="BT456" s="90"/>
      <c r="BU456" s="90"/>
      <c r="BV456" s="90"/>
      <c r="BW456" s="90"/>
      <c r="BX456" s="90"/>
      <c r="BY456" s="90"/>
      <c r="BZ456" s="90"/>
      <c r="CA456" s="90"/>
      <c r="CB456" s="90"/>
      <c r="CC456" s="90"/>
      <c r="CD456" s="90"/>
      <c r="CE456" s="90"/>
      <c r="CF456" s="90"/>
      <c r="CG456" s="90"/>
      <c r="CH456" s="90"/>
      <c r="CI456" s="90"/>
      <c r="CJ456" s="90"/>
      <c r="CK456" s="90"/>
      <c r="CL456" s="90"/>
      <c r="CM456" s="90"/>
      <c r="CN456" s="90"/>
      <c r="CO456" s="90"/>
      <c r="CP456" s="90"/>
      <c r="CQ456" s="90"/>
      <c r="CR456" s="90"/>
      <c r="CS456" s="90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99"/>
    </row>
    <row r="457" spans="30:108" ht="6.95" customHeight="1" thickBot="1" x14ac:dyDescent="0.2">
      <c r="AD457" s="150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/>
      <c r="AQ457" s="151"/>
      <c r="AR457" s="151"/>
      <c r="AS457" s="151"/>
      <c r="AT457" s="151"/>
      <c r="AU457" s="151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/>
      <c r="BG457" s="151"/>
      <c r="BH457" s="151"/>
      <c r="BI457" s="151"/>
      <c r="BJ457" s="151"/>
      <c r="BK457" s="151"/>
      <c r="BL457" s="151"/>
      <c r="BM457" s="151"/>
      <c r="BN457" s="151"/>
      <c r="BO457" s="151"/>
      <c r="BP457" s="152"/>
      <c r="BQ457" s="93"/>
      <c r="BR457" s="154"/>
      <c r="BS457" s="100"/>
      <c r="BT457" s="151"/>
      <c r="BU457" s="151"/>
      <c r="BV457" s="151"/>
      <c r="BW457" s="151"/>
      <c r="BX457" s="151"/>
      <c r="BY457" s="151"/>
      <c r="BZ457" s="151"/>
      <c r="CA457" s="151"/>
      <c r="CB457" s="151"/>
      <c r="CC457" s="151"/>
      <c r="CD457" s="151"/>
      <c r="CE457" s="151"/>
      <c r="CF457" s="151"/>
      <c r="CG457" s="151"/>
      <c r="CH457" s="151"/>
      <c r="CI457" s="151"/>
      <c r="CJ457" s="151"/>
      <c r="CK457" s="151"/>
      <c r="CL457" s="151"/>
      <c r="CM457" s="151"/>
      <c r="CN457" s="151"/>
      <c r="CO457" s="151"/>
      <c r="CP457" s="151"/>
      <c r="CQ457" s="151"/>
      <c r="CR457" s="151"/>
      <c r="CS457" s="151"/>
      <c r="CT457" s="100"/>
      <c r="CU457" s="100"/>
      <c r="CV457" s="100"/>
      <c r="CW457" s="100"/>
      <c r="CX457" s="100"/>
      <c r="CY457" s="100"/>
      <c r="CZ457" s="100"/>
      <c r="DA457" s="100"/>
      <c r="DB457" s="100"/>
      <c r="DC457" s="100"/>
      <c r="DD457" s="101"/>
    </row>
    <row r="458" spans="30:108" ht="6.95" customHeight="1" thickBot="1" x14ac:dyDescent="0.2">
      <c r="AD458" s="216">
        <v>750</v>
      </c>
      <c r="AE458" s="216"/>
      <c r="AF458" s="216"/>
      <c r="BQ458" s="93"/>
      <c r="BR458" s="230">
        <v>750</v>
      </c>
      <c r="BS458" s="230"/>
      <c r="BT458" s="230"/>
    </row>
    <row r="459" spans="30:108" ht="6.95" customHeight="1" x14ac:dyDescent="0.15">
      <c r="AD459" s="108" t="s">
        <v>25</v>
      </c>
      <c r="AE459" s="109"/>
      <c r="AF459" s="109"/>
      <c r="AG459" s="109"/>
      <c r="AH459" s="109"/>
      <c r="AI459" s="202" t="s">
        <v>40</v>
      </c>
      <c r="AJ459" s="202"/>
      <c r="AK459" s="202">
        <v>1</v>
      </c>
      <c r="AL459" s="202"/>
      <c r="AM459" s="202" t="s">
        <v>41</v>
      </c>
      <c r="AN459" s="202"/>
      <c r="AO459" s="202"/>
      <c r="AP459" s="202"/>
      <c r="AQ459" s="202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6">
        <f>SUM(AR477,BK477,AR485,BK485,BK508,BK502,AW497)*AK459</f>
        <v>11</v>
      </c>
      <c r="BN459" s="206"/>
      <c r="BO459" s="206"/>
      <c r="BP459" s="208"/>
      <c r="BQ459" s="93"/>
      <c r="BR459" s="108" t="s">
        <v>25</v>
      </c>
      <c r="BS459" s="109"/>
      <c r="BT459" s="109"/>
      <c r="BU459" s="109"/>
      <c r="BV459" s="109"/>
      <c r="BW459" s="202" t="s">
        <v>40</v>
      </c>
      <c r="BX459" s="202"/>
      <c r="BY459" s="202">
        <v>2</v>
      </c>
      <c r="BZ459" s="202"/>
      <c r="CA459" s="202" t="s">
        <v>41</v>
      </c>
      <c r="CB459" s="202"/>
      <c r="CC459" s="202"/>
      <c r="CD459" s="202"/>
      <c r="CE459" s="202"/>
      <c r="CF459" s="204"/>
      <c r="CG459" s="204"/>
      <c r="CH459" s="204"/>
      <c r="CI459" s="204"/>
      <c r="CJ459" s="204"/>
      <c r="CK459" s="204"/>
      <c r="CL459" s="204"/>
      <c r="CM459" s="204"/>
      <c r="CN459" s="204"/>
      <c r="CO459" s="204"/>
      <c r="CP459" s="204"/>
      <c r="CQ459" s="204"/>
      <c r="CR459" s="204"/>
      <c r="CS459" s="204"/>
      <c r="CT459" s="204"/>
      <c r="CU459" s="204"/>
      <c r="CV459" s="204"/>
      <c r="CW459" s="204"/>
      <c r="CX459" s="204"/>
      <c r="CY459" s="204"/>
      <c r="CZ459" s="204"/>
      <c r="DA459" s="206">
        <f>SUM(CF477,CY477,CF485,CY485,CY502,CK497)*BY459</f>
        <v>28</v>
      </c>
      <c r="DB459" s="206"/>
      <c r="DC459" s="206"/>
      <c r="DD459" s="208"/>
    </row>
    <row r="460" spans="30:108" ht="6.95" customHeight="1" thickBot="1" x14ac:dyDescent="0.2">
      <c r="AD460" s="80"/>
      <c r="AE460" s="81"/>
      <c r="AF460" s="81"/>
      <c r="AG460" s="81"/>
      <c r="AH460" s="81"/>
      <c r="AI460" s="203"/>
      <c r="AJ460" s="203"/>
      <c r="AK460" s="203"/>
      <c r="AL460" s="203"/>
      <c r="AM460" s="203"/>
      <c r="AN460" s="203"/>
      <c r="AO460" s="203"/>
      <c r="AP460" s="203"/>
      <c r="AQ460" s="203"/>
      <c r="AR460" s="205"/>
      <c r="AS460" s="205"/>
      <c r="AT460" s="205"/>
      <c r="AU460" s="205"/>
      <c r="AV460" s="205"/>
      <c r="AW460" s="205"/>
      <c r="AX460" s="205"/>
      <c r="AY460" s="205"/>
      <c r="AZ460" s="205"/>
      <c r="BA460" s="205"/>
      <c r="BB460" s="205"/>
      <c r="BC460" s="205"/>
      <c r="BD460" s="205"/>
      <c r="BE460" s="205"/>
      <c r="BF460" s="205"/>
      <c r="BG460" s="205"/>
      <c r="BH460" s="205"/>
      <c r="BI460" s="205"/>
      <c r="BJ460" s="205"/>
      <c r="BK460" s="205"/>
      <c r="BL460" s="205"/>
      <c r="BM460" s="207"/>
      <c r="BN460" s="207"/>
      <c r="BO460" s="207"/>
      <c r="BP460" s="209"/>
      <c r="BQ460" s="93"/>
      <c r="BR460" s="80"/>
      <c r="BS460" s="81"/>
      <c r="BT460" s="81"/>
      <c r="BU460" s="81"/>
      <c r="BV460" s="81"/>
      <c r="BW460" s="203"/>
      <c r="BX460" s="203"/>
      <c r="BY460" s="203"/>
      <c r="BZ460" s="203"/>
      <c r="CA460" s="203"/>
      <c r="CB460" s="203"/>
      <c r="CC460" s="203"/>
      <c r="CD460" s="203"/>
      <c r="CE460" s="203"/>
      <c r="CF460" s="205"/>
      <c r="CG460" s="205"/>
      <c r="CH460" s="205"/>
      <c r="CI460" s="205"/>
      <c r="CJ460" s="205"/>
      <c r="CK460" s="205"/>
      <c r="CL460" s="205"/>
      <c r="CM460" s="205"/>
      <c r="CN460" s="205"/>
      <c r="CO460" s="205"/>
      <c r="CP460" s="205"/>
      <c r="CQ460" s="205"/>
      <c r="CR460" s="205"/>
      <c r="CS460" s="205"/>
      <c r="CT460" s="205"/>
      <c r="CU460" s="205"/>
      <c r="CV460" s="205"/>
      <c r="CW460" s="205"/>
      <c r="CX460" s="205"/>
      <c r="CY460" s="205"/>
      <c r="CZ460" s="205"/>
      <c r="DA460" s="207"/>
      <c r="DB460" s="207"/>
      <c r="DC460" s="207"/>
      <c r="DD460" s="209"/>
    </row>
    <row r="461" spans="30:108" ht="6.95" customHeight="1" x14ac:dyDescent="0.15">
      <c r="AD461" s="5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1"/>
      <c r="BI461" s="1"/>
      <c r="BJ461" s="1"/>
      <c r="BK461" s="1"/>
      <c r="BL461" s="1"/>
      <c r="BM461" s="1"/>
      <c r="BN461" s="92"/>
      <c r="BO461" s="92"/>
      <c r="BP461" s="98"/>
      <c r="BQ461" s="93"/>
      <c r="BR461" s="5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1"/>
      <c r="CW461" s="1"/>
      <c r="CX461" s="1"/>
      <c r="CY461" s="1"/>
      <c r="CZ461" s="1"/>
      <c r="DA461" s="1"/>
      <c r="DB461" s="92"/>
      <c r="DC461" s="92"/>
      <c r="DD461" s="98"/>
    </row>
    <row r="462" spans="30:108" ht="6.95" customHeight="1" x14ac:dyDescent="0.15">
      <c r="AD462" s="5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1"/>
      <c r="BI462" s="1"/>
      <c r="BJ462" s="1"/>
      <c r="BK462" s="1"/>
      <c r="BL462" s="1"/>
      <c r="BM462" s="1"/>
      <c r="BN462" s="1"/>
      <c r="BO462" s="1"/>
      <c r="BP462" s="99"/>
      <c r="BQ462" s="93"/>
      <c r="BR462" s="5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1"/>
      <c r="CW462" s="1"/>
      <c r="CX462" s="1"/>
      <c r="CY462" s="1"/>
      <c r="CZ462" s="1"/>
      <c r="DA462" s="1"/>
      <c r="DB462" s="1"/>
      <c r="DC462" s="1"/>
      <c r="DD462" s="99"/>
    </row>
    <row r="463" spans="30:108" ht="6.95" customHeight="1" x14ac:dyDescent="0.15">
      <c r="AD463" s="5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1"/>
      <c r="BI463" s="1"/>
      <c r="BJ463" s="1"/>
      <c r="BK463" s="1"/>
      <c r="BL463" s="1"/>
      <c r="BM463" s="1"/>
      <c r="BN463" s="1"/>
      <c r="BO463" s="1"/>
      <c r="BP463" s="99"/>
      <c r="BQ463" s="93"/>
      <c r="BR463" s="5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1"/>
      <c r="CW463" s="1"/>
      <c r="CX463" s="1"/>
      <c r="CY463" s="1"/>
      <c r="CZ463" s="1"/>
      <c r="DA463" s="1"/>
      <c r="DB463" s="1"/>
      <c r="DC463" s="1"/>
      <c r="DD463" s="99"/>
    </row>
    <row r="464" spans="30:108" ht="6.95" customHeight="1" x14ac:dyDescent="0.15">
      <c r="AD464" s="5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1"/>
      <c r="BI464" s="1"/>
      <c r="BJ464" s="1"/>
      <c r="BK464" s="1"/>
      <c r="BL464" s="1"/>
      <c r="BM464" s="1"/>
      <c r="BN464" s="1"/>
      <c r="BO464" s="1"/>
      <c r="BP464" s="99"/>
      <c r="BQ464" s="93"/>
      <c r="BR464" s="5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1"/>
      <c r="CW464" s="1"/>
      <c r="CX464" s="1"/>
      <c r="CY464" s="1"/>
      <c r="CZ464" s="1"/>
      <c r="DA464" s="1"/>
      <c r="DB464" s="1"/>
      <c r="DC464" s="1"/>
      <c r="DD464" s="99"/>
    </row>
    <row r="465" spans="30:108" ht="6.95" customHeight="1" x14ac:dyDescent="0.15">
      <c r="AD465" s="5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1"/>
      <c r="BI465" s="1"/>
      <c r="BJ465" s="1"/>
      <c r="BK465" s="1"/>
      <c r="BL465" s="1"/>
      <c r="BM465" s="1"/>
      <c r="BN465" s="1"/>
      <c r="BO465" s="1"/>
      <c r="BP465" s="99"/>
      <c r="BQ465" s="93"/>
      <c r="BR465" s="5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1"/>
      <c r="CW465" s="1"/>
      <c r="CX465" s="1"/>
      <c r="CY465" s="1"/>
      <c r="CZ465" s="1"/>
      <c r="DA465" s="1"/>
      <c r="DB465" s="1"/>
      <c r="DC465" s="1"/>
      <c r="DD465" s="99"/>
    </row>
    <row r="466" spans="30:108" ht="6.95" customHeight="1" x14ac:dyDescent="0.15">
      <c r="AD466" s="5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1"/>
      <c r="BI466" s="1"/>
      <c r="BJ466" s="1"/>
      <c r="BK466" s="1"/>
      <c r="BL466" s="1"/>
      <c r="BM466" s="1"/>
      <c r="BN466" s="1"/>
      <c r="BO466" s="1"/>
      <c r="BP466" s="99"/>
      <c r="BQ466" s="93"/>
      <c r="BR466" s="5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1"/>
      <c r="CW466" s="1"/>
      <c r="CX466" s="1"/>
      <c r="CY466" s="1"/>
      <c r="CZ466" s="1"/>
      <c r="DA466" s="1"/>
      <c r="DB466" s="1"/>
      <c r="DC466" s="1"/>
      <c r="DD466" s="99"/>
    </row>
    <row r="467" spans="30:108" ht="6.95" customHeight="1" x14ac:dyDescent="0.15">
      <c r="AD467" s="5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1"/>
      <c r="BI467" s="1"/>
      <c r="BJ467" s="1"/>
      <c r="BK467" s="1"/>
      <c r="BL467" s="1"/>
      <c r="BM467" s="1"/>
      <c r="BN467" s="1"/>
      <c r="BO467" s="1"/>
      <c r="BP467" s="99"/>
      <c r="BQ467" s="93"/>
      <c r="BR467" s="5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1"/>
      <c r="CW467" s="1"/>
      <c r="CX467" s="1"/>
      <c r="CY467" s="1"/>
      <c r="CZ467" s="1"/>
      <c r="DA467" s="1"/>
      <c r="DB467" s="1"/>
      <c r="DC467" s="1"/>
      <c r="DD467" s="99"/>
    </row>
    <row r="468" spans="30:108" ht="6.95" customHeight="1" x14ac:dyDescent="0.15">
      <c r="AD468" s="210">
        <v>3</v>
      </c>
      <c r="AE468" s="211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1"/>
      <c r="BI468" s="1"/>
      <c r="BJ468" s="1"/>
      <c r="BK468" s="1"/>
      <c r="BL468" s="1"/>
      <c r="BM468" s="1"/>
      <c r="BN468" s="1"/>
      <c r="BO468" s="1"/>
      <c r="BP468" s="99"/>
      <c r="BQ468" s="93"/>
      <c r="BR468" s="210">
        <v>5</v>
      </c>
      <c r="BS468" s="211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1"/>
      <c r="CW468" s="1"/>
      <c r="CX468" s="1"/>
      <c r="CY468" s="1"/>
      <c r="CZ468" s="1"/>
      <c r="DA468" s="1"/>
      <c r="DB468" s="1"/>
      <c r="DC468" s="1"/>
      <c r="DD468" s="99"/>
    </row>
    <row r="469" spans="30:108" ht="6.95" customHeight="1" thickBot="1" x14ac:dyDescent="0.2">
      <c r="AD469" s="212"/>
      <c r="AE469" s="21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100"/>
      <c r="BI469" s="100"/>
      <c r="BJ469" s="100"/>
      <c r="BK469" s="100"/>
      <c r="BL469" s="100"/>
      <c r="BM469" s="100"/>
      <c r="BN469" s="100"/>
      <c r="BO469" s="100"/>
      <c r="BP469" s="101"/>
      <c r="BQ469" s="93"/>
      <c r="BR469" s="212"/>
      <c r="BS469" s="21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100"/>
      <c r="CW469" s="100"/>
      <c r="CX469" s="100"/>
      <c r="CY469" s="100"/>
      <c r="CZ469" s="100"/>
      <c r="DA469" s="100"/>
      <c r="DB469" s="100"/>
      <c r="DC469" s="100"/>
      <c r="DD469" s="101"/>
    </row>
    <row r="470" spans="30:108" ht="6.95" customHeight="1" x14ac:dyDescent="0.15">
      <c r="AD470" s="83"/>
      <c r="AE470" s="82"/>
      <c r="AF470" s="214" t="s">
        <v>30</v>
      </c>
      <c r="AG470" s="214"/>
      <c r="AH470" s="214"/>
      <c r="AI470" s="214"/>
      <c r="AJ470" s="82"/>
      <c r="AK470" s="82"/>
      <c r="AL470" s="82"/>
      <c r="AM470" s="82"/>
      <c r="AN470" s="82"/>
      <c r="AO470" s="2"/>
      <c r="AP470" s="2"/>
      <c r="AQ470" s="82"/>
      <c r="AR470" s="82"/>
      <c r="AS470" s="82"/>
      <c r="AT470" s="82"/>
      <c r="AU470" s="82"/>
      <c r="AV470" s="82"/>
      <c r="AW470" s="82"/>
      <c r="AX470" s="82"/>
      <c r="AY470" s="214" t="s">
        <v>30</v>
      </c>
      <c r="AZ470" s="214"/>
      <c r="BA470" s="214"/>
      <c r="BB470" s="214"/>
      <c r="BC470" s="82"/>
      <c r="BD470" s="82"/>
      <c r="BE470" s="82"/>
      <c r="BF470" s="82"/>
      <c r="BG470" s="82"/>
      <c r="BH470" s="2"/>
      <c r="BI470" s="2"/>
      <c r="BJ470" s="82"/>
      <c r="BK470" s="82"/>
      <c r="BL470" s="82"/>
      <c r="BM470" s="82"/>
      <c r="BN470" s="82"/>
      <c r="BO470" s="82"/>
      <c r="BP470" s="99"/>
      <c r="BQ470" s="93"/>
      <c r="BR470" s="52"/>
      <c r="BS470" s="180"/>
      <c r="BT470" s="214" t="s">
        <v>28</v>
      </c>
      <c r="BU470" s="214"/>
      <c r="BV470" s="214"/>
      <c r="BW470" s="214"/>
      <c r="BX470" s="82"/>
      <c r="BY470" s="82"/>
      <c r="BZ470" s="82"/>
      <c r="CA470" s="82"/>
      <c r="CB470" s="82"/>
      <c r="CC470" s="180"/>
      <c r="CD470" s="180"/>
      <c r="CE470" s="82"/>
      <c r="CF470" s="82"/>
      <c r="CG470" s="82"/>
      <c r="CH470" s="82"/>
      <c r="CI470" s="82"/>
      <c r="CJ470" s="82"/>
      <c r="CK470" s="82"/>
      <c r="CL470" s="82"/>
      <c r="CM470" s="214"/>
      <c r="CN470" s="214"/>
      <c r="CO470" s="214"/>
      <c r="CP470" s="214"/>
      <c r="CQ470" s="82"/>
      <c r="CR470" s="82"/>
      <c r="CS470" s="82"/>
      <c r="CT470" s="82"/>
      <c r="CU470" s="82"/>
      <c r="CV470" s="180"/>
      <c r="CW470" s="180"/>
      <c r="CX470" s="82"/>
      <c r="CY470" s="82"/>
      <c r="CZ470" s="82"/>
      <c r="DA470" s="82"/>
      <c r="DB470" s="82"/>
      <c r="DC470" s="82"/>
      <c r="DD470" s="99"/>
    </row>
    <row r="471" spans="30:108" ht="6.95" customHeight="1" x14ac:dyDescent="0.15">
      <c r="AD471" s="56"/>
      <c r="AE471" s="82"/>
      <c r="AF471" s="197"/>
      <c r="AG471" s="197"/>
      <c r="AH471" s="197"/>
      <c r="AI471" s="197"/>
      <c r="AJ471" s="82"/>
      <c r="AK471" s="106"/>
      <c r="AL471" s="106"/>
      <c r="AM471" s="106"/>
      <c r="AN471" s="106"/>
      <c r="AO471" s="2"/>
      <c r="AP471" s="2"/>
      <c r="AQ471" s="82"/>
      <c r="AR471" s="82"/>
      <c r="AS471" s="82"/>
      <c r="AT471" s="82"/>
      <c r="AU471" s="82"/>
      <c r="AV471" s="82"/>
      <c r="AW471" s="82"/>
      <c r="AX471" s="82"/>
      <c r="AY471" s="197"/>
      <c r="AZ471" s="197"/>
      <c r="BA471" s="197"/>
      <c r="BB471" s="197"/>
      <c r="BC471" s="82"/>
      <c r="BD471" s="197">
        <f>IF(AY470="D16",750, IF(AY470="D13",600))</f>
        <v>600</v>
      </c>
      <c r="BE471" s="197"/>
      <c r="BF471" s="197"/>
      <c r="BG471" s="197"/>
      <c r="BH471" s="2"/>
      <c r="BI471" s="2"/>
      <c r="BJ471" s="82"/>
      <c r="BK471" s="82"/>
      <c r="BL471" s="82"/>
      <c r="BM471" s="82"/>
      <c r="BN471" s="82"/>
      <c r="BO471" s="82"/>
      <c r="BP471" s="99"/>
      <c r="BQ471" s="93"/>
      <c r="BR471" s="56"/>
      <c r="BS471" s="3"/>
      <c r="BT471" s="197"/>
      <c r="BU471" s="197"/>
      <c r="BV471" s="197"/>
      <c r="BW471" s="197"/>
      <c r="BX471" s="82"/>
      <c r="BY471" s="197"/>
      <c r="BZ471" s="197"/>
      <c r="CA471" s="197"/>
      <c r="CB471" s="197"/>
      <c r="CC471" s="180"/>
      <c r="CD471" s="180"/>
      <c r="CE471" s="82"/>
      <c r="CF471" s="82"/>
      <c r="CG471" s="82"/>
      <c r="CH471" s="82"/>
      <c r="CI471" s="82"/>
      <c r="CJ471" s="82"/>
      <c r="CK471" s="82"/>
      <c r="CL471" s="82"/>
      <c r="CM471" s="197"/>
      <c r="CN471" s="197"/>
      <c r="CO471" s="197"/>
      <c r="CP471" s="197"/>
      <c r="CQ471" s="82"/>
      <c r="CR471" s="197"/>
      <c r="CS471" s="197"/>
      <c r="CT471" s="197"/>
      <c r="CU471" s="197"/>
      <c r="CV471" s="180"/>
      <c r="CW471" s="180"/>
      <c r="CX471" s="82"/>
      <c r="CY471" s="82"/>
      <c r="CZ471" s="82"/>
      <c r="DA471" s="82"/>
      <c r="DB471" s="82"/>
      <c r="DC471" s="82"/>
      <c r="DD471" s="99"/>
    </row>
    <row r="472" spans="30:108" ht="6.95" customHeight="1" x14ac:dyDescent="0.15">
      <c r="AD472" s="56"/>
      <c r="AE472" s="82"/>
      <c r="AF472" s="85"/>
      <c r="AG472" s="85"/>
      <c r="AH472" s="85"/>
      <c r="AI472" s="85"/>
      <c r="AJ472" s="85"/>
      <c r="AK472" s="106"/>
      <c r="AL472" s="106"/>
      <c r="AM472" s="106"/>
      <c r="AN472" s="106"/>
      <c r="AO472" s="85"/>
      <c r="AP472" s="85"/>
      <c r="AQ472" s="85"/>
      <c r="AR472" s="85"/>
      <c r="AS472" s="85"/>
      <c r="AT472" s="85"/>
      <c r="AU472" s="85"/>
      <c r="AV472" s="85"/>
      <c r="AW472" s="82"/>
      <c r="AX472" s="82"/>
      <c r="AY472" s="85"/>
      <c r="AZ472" s="85"/>
      <c r="BA472" s="85"/>
      <c r="BB472" s="85"/>
      <c r="BC472" s="85"/>
      <c r="BD472" s="197"/>
      <c r="BE472" s="197"/>
      <c r="BF472" s="197"/>
      <c r="BG472" s="197"/>
      <c r="BH472" s="85"/>
      <c r="BI472" s="85"/>
      <c r="BJ472" s="85"/>
      <c r="BK472" s="85"/>
      <c r="BL472" s="85"/>
      <c r="BM472" s="85"/>
      <c r="BN472" s="85"/>
      <c r="BO472" s="85"/>
      <c r="BP472" s="99"/>
      <c r="BQ472" s="93"/>
      <c r="BR472" s="56"/>
      <c r="BS472" s="3"/>
      <c r="BT472" s="85"/>
      <c r="BU472" s="85"/>
      <c r="BV472" s="85"/>
      <c r="BW472" s="85"/>
      <c r="BX472" s="85"/>
      <c r="BY472" s="197"/>
      <c r="BZ472" s="197"/>
      <c r="CA472" s="197"/>
      <c r="CB472" s="197"/>
      <c r="CC472" s="85"/>
      <c r="CD472" s="85"/>
      <c r="CE472" s="85"/>
      <c r="CF472" s="85"/>
      <c r="CG472" s="85"/>
      <c r="CH472" s="85"/>
      <c r="CI472" s="82"/>
      <c r="CJ472" s="82"/>
      <c r="CK472" s="82"/>
      <c r="CL472" s="82"/>
      <c r="CM472" s="85"/>
      <c r="CN472" s="85"/>
      <c r="CO472" s="85"/>
      <c r="CP472" s="85"/>
      <c r="CQ472" s="85"/>
      <c r="CR472" s="197"/>
      <c r="CS472" s="197"/>
      <c r="CT472" s="197"/>
      <c r="CU472" s="197"/>
      <c r="CV472" s="85"/>
      <c r="CW472" s="85"/>
      <c r="CX472" s="85"/>
      <c r="CY472" s="85"/>
      <c r="CZ472" s="85"/>
      <c r="DA472" s="85"/>
      <c r="DB472" s="85"/>
      <c r="DC472" s="85"/>
      <c r="DD472" s="99"/>
    </row>
    <row r="473" spans="30:108" ht="6.95" customHeight="1" x14ac:dyDescent="0.15">
      <c r="AD473" s="56"/>
      <c r="AE473" s="215">
        <f>CHOOSE(SUM((AD458&gt;={700,750,800,850,900,950})*1), 515,565,615,665,715,765)</f>
        <v>565</v>
      </c>
      <c r="AF473" s="215"/>
      <c r="AG473" s="215"/>
      <c r="AH473" s="215"/>
      <c r="AI473" s="3"/>
      <c r="AJ473" s="3"/>
      <c r="AK473" s="2"/>
      <c r="AL473" s="2"/>
      <c r="AM473" s="85"/>
      <c r="AN473" s="85"/>
      <c r="AO473" s="118"/>
      <c r="AP473" s="118"/>
      <c r="AQ473" s="118"/>
      <c r="AR473" s="118"/>
      <c r="AS473" s="3"/>
      <c r="AT473" s="3"/>
      <c r="AU473" s="3"/>
      <c r="AV473" s="3"/>
      <c r="AW473" s="85"/>
      <c r="AX473" s="85"/>
      <c r="AY473" s="3"/>
      <c r="AZ473" s="3"/>
      <c r="BA473" s="3"/>
      <c r="BB473" s="3"/>
      <c r="BC473" s="3"/>
      <c r="BD473" s="2"/>
      <c r="BE473" s="2"/>
      <c r="BF473" s="85"/>
      <c r="BG473" s="85"/>
      <c r="BH473" s="215">
        <f>AE473-100</f>
        <v>465</v>
      </c>
      <c r="BI473" s="215"/>
      <c r="BJ473" s="215"/>
      <c r="BK473" s="215"/>
      <c r="BL473" s="3"/>
      <c r="BM473" s="3"/>
      <c r="BN473" s="3"/>
      <c r="BO473" s="3"/>
      <c r="BP473" s="99"/>
      <c r="BQ473" s="93"/>
      <c r="BR473" s="56"/>
      <c r="BS473" s="3"/>
      <c r="BT473" s="199">
        <f>CHOOSE(SUM((BR458&gt;={700,750,800,850,900,950})*1), 565,615,665,715,765,815)</f>
        <v>615</v>
      </c>
      <c r="BU473" s="199"/>
      <c r="BV473" s="199"/>
      <c r="BW473" s="199"/>
      <c r="BX473" s="3"/>
      <c r="BY473" s="180"/>
      <c r="BZ473" s="180"/>
      <c r="CA473" s="85"/>
      <c r="CB473" s="85"/>
      <c r="CC473" s="215"/>
      <c r="CD473" s="215"/>
      <c r="CE473" s="215"/>
      <c r="CF473" s="215"/>
      <c r="CG473" s="3"/>
      <c r="CH473" s="3"/>
      <c r="CI473" s="180"/>
      <c r="CJ473" s="180"/>
      <c r="CK473" s="85"/>
      <c r="CL473" s="85"/>
      <c r="CM473" s="3"/>
      <c r="CN473" s="3"/>
      <c r="CO473" s="3"/>
      <c r="CP473" s="3"/>
      <c r="CQ473" s="3"/>
      <c r="CR473" s="180"/>
      <c r="CS473" s="180"/>
      <c r="CT473" s="85"/>
      <c r="CU473" s="85"/>
      <c r="CV473" s="215"/>
      <c r="CW473" s="215"/>
      <c r="CX473" s="215"/>
      <c r="CY473" s="215"/>
      <c r="CZ473" s="3"/>
      <c r="DA473" s="3"/>
      <c r="DB473" s="3"/>
      <c r="DC473" s="3"/>
      <c r="DD473" s="99"/>
    </row>
    <row r="474" spans="30:108" ht="6.95" customHeight="1" x14ac:dyDescent="0.15">
      <c r="AD474" s="56"/>
      <c r="AE474" s="215"/>
      <c r="AF474" s="215"/>
      <c r="AG474" s="215"/>
      <c r="AH474" s="215"/>
      <c r="AI474" s="3"/>
      <c r="AJ474" s="3"/>
      <c r="AK474" s="4"/>
      <c r="AL474" s="4"/>
      <c r="AM474" s="85"/>
      <c r="AN474" s="85"/>
      <c r="AO474" s="118"/>
      <c r="AP474" s="118"/>
      <c r="AQ474" s="118"/>
      <c r="AR474" s="118"/>
      <c r="AS474" s="3"/>
      <c r="AT474" s="3"/>
      <c r="AU474" s="3"/>
      <c r="AV474" s="3"/>
      <c r="AW474" s="85"/>
      <c r="AX474" s="85"/>
      <c r="AY474" s="3"/>
      <c r="AZ474" s="3"/>
      <c r="BA474" s="3"/>
      <c r="BB474" s="3"/>
      <c r="BC474" s="3"/>
      <c r="BD474" s="4"/>
      <c r="BE474" s="4"/>
      <c r="BF474" s="85"/>
      <c r="BG474" s="85"/>
      <c r="BH474" s="215"/>
      <c r="BI474" s="215"/>
      <c r="BJ474" s="215"/>
      <c r="BK474" s="215"/>
      <c r="BL474" s="3"/>
      <c r="BM474" s="3"/>
      <c r="BN474" s="3"/>
      <c r="BO474" s="3"/>
      <c r="BP474" s="99"/>
      <c r="BQ474" s="93"/>
      <c r="BR474" s="56"/>
      <c r="BS474" s="3"/>
      <c r="BT474" s="199"/>
      <c r="BU474" s="199"/>
      <c r="BV474" s="199"/>
      <c r="BW474" s="199"/>
      <c r="BX474" s="3"/>
      <c r="BY474" s="4"/>
      <c r="BZ474" s="4"/>
      <c r="CA474" s="85"/>
      <c r="CB474" s="85"/>
      <c r="CC474" s="215"/>
      <c r="CD474" s="215"/>
      <c r="CE474" s="215"/>
      <c r="CF474" s="215"/>
      <c r="CG474" s="3"/>
      <c r="CH474" s="3"/>
      <c r="CI474" s="4"/>
      <c r="CJ474" s="4"/>
      <c r="CK474" s="85"/>
      <c r="CL474" s="85"/>
      <c r="CM474" s="3"/>
      <c r="CN474" s="3"/>
      <c r="CO474" s="3"/>
      <c r="CP474" s="3"/>
      <c r="CQ474" s="3"/>
      <c r="CR474" s="4"/>
      <c r="CS474" s="4"/>
      <c r="CT474" s="85"/>
      <c r="CU474" s="85"/>
      <c r="CV474" s="215"/>
      <c r="CW474" s="215"/>
      <c r="CX474" s="215"/>
      <c r="CY474" s="215"/>
      <c r="CZ474" s="3"/>
      <c r="DA474" s="3"/>
      <c r="DB474" s="3"/>
      <c r="DC474" s="3"/>
      <c r="DD474" s="99"/>
    </row>
    <row r="475" spans="30:108" ht="6.95" customHeight="1" x14ac:dyDescent="0.15">
      <c r="AD475" s="56"/>
      <c r="AE475" s="200" t="s">
        <v>29</v>
      </c>
      <c r="AF475" s="200"/>
      <c r="AG475" s="200"/>
      <c r="AH475" s="200"/>
      <c r="AI475" s="3"/>
      <c r="AJ475" s="3"/>
      <c r="AK475" s="4"/>
      <c r="AL475" s="4"/>
      <c r="AM475" s="84"/>
      <c r="AN475" s="84"/>
      <c r="AO475" s="107"/>
      <c r="AP475" s="107"/>
      <c r="AQ475" s="107"/>
      <c r="AR475" s="107"/>
      <c r="AS475" s="3"/>
      <c r="AT475" s="3"/>
      <c r="AU475" s="3"/>
      <c r="AV475" s="3"/>
      <c r="AW475" s="84"/>
      <c r="AX475" s="84"/>
      <c r="AY475" s="3"/>
      <c r="AZ475" s="3"/>
      <c r="BA475" s="3"/>
      <c r="BB475" s="3"/>
      <c r="BC475" s="3"/>
      <c r="BD475" s="4"/>
      <c r="BE475" s="4"/>
      <c r="BF475" s="84"/>
      <c r="BG475" s="84"/>
      <c r="BH475" s="200" t="s">
        <v>29</v>
      </c>
      <c r="BI475" s="200"/>
      <c r="BJ475" s="200"/>
      <c r="BK475" s="200"/>
      <c r="BL475" s="3"/>
      <c r="BM475" s="3"/>
      <c r="BN475" s="3"/>
      <c r="BO475" s="3"/>
      <c r="BP475" s="99"/>
      <c r="BQ475" s="93"/>
      <c r="BR475" s="56"/>
      <c r="BS475" s="3"/>
      <c r="BT475" s="3"/>
      <c r="BU475" s="3"/>
      <c r="BV475" s="3"/>
      <c r="BW475" s="3"/>
      <c r="BX475" s="3"/>
      <c r="BY475" s="4"/>
      <c r="BZ475" s="4"/>
      <c r="CA475" s="84"/>
      <c r="CB475" s="84"/>
      <c r="CC475" s="200"/>
      <c r="CD475" s="200"/>
      <c r="CE475" s="200"/>
      <c r="CF475" s="200"/>
      <c r="CG475" s="3"/>
      <c r="CH475" s="3"/>
      <c r="CI475" s="4"/>
      <c r="CJ475" s="4"/>
      <c r="CK475" s="84"/>
      <c r="CL475" s="84"/>
      <c r="CM475" s="3"/>
      <c r="CN475" s="3"/>
      <c r="CO475" s="3"/>
      <c r="CP475" s="3"/>
      <c r="CQ475" s="3"/>
      <c r="CR475" s="4"/>
      <c r="CS475" s="4"/>
      <c r="CT475" s="84"/>
      <c r="CU475" s="84"/>
      <c r="CV475" s="200"/>
      <c r="CW475" s="200"/>
      <c r="CX475" s="200"/>
      <c r="CY475" s="200"/>
      <c r="CZ475" s="3"/>
      <c r="DA475" s="3"/>
      <c r="DB475" s="3"/>
      <c r="DC475" s="3"/>
      <c r="DD475" s="99"/>
    </row>
    <row r="476" spans="30:108" ht="6.95" customHeight="1" x14ac:dyDescent="0.15">
      <c r="AD476" s="56"/>
      <c r="AE476" s="200"/>
      <c r="AF476" s="200"/>
      <c r="AG476" s="200"/>
      <c r="AH476" s="200"/>
      <c r="AI476" s="3"/>
      <c r="AJ476" s="84"/>
      <c r="AK476" s="107"/>
      <c r="AL476" s="107"/>
      <c r="AM476" s="107"/>
      <c r="AN476" s="107"/>
      <c r="AO476" s="107"/>
      <c r="AP476" s="107"/>
      <c r="AQ476" s="107"/>
      <c r="AR476" s="107"/>
      <c r="AS476" s="84"/>
      <c r="AT476" s="84"/>
      <c r="AU476" s="3"/>
      <c r="AV476" s="84"/>
      <c r="AW476" s="84"/>
      <c r="AX476" s="84"/>
      <c r="AY476" s="3"/>
      <c r="AZ476" s="3"/>
      <c r="BA476" s="3"/>
      <c r="BB476" s="3"/>
      <c r="BC476" s="84"/>
      <c r="BD476" s="200">
        <f>IF(AY470="D13",CHOOSE(SUM((BH473&gt;={415,465,515,565,615,665})*1), 400, 350, 300, 250, 200, 150), CHOOSE(SUM((BH473&gt;={415,465,515,565,615,665})*1), 550, 500, 450, 400, 350, 300))</f>
        <v>350</v>
      </c>
      <c r="BE476" s="200"/>
      <c r="BF476" s="200"/>
      <c r="BG476" s="200"/>
      <c r="BH476" s="200"/>
      <c r="BI476" s="200"/>
      <c r="BJ476" s="200"/>
      <c r="BK476" s="200"/>
      <c r="BL476" s="84"/>
      <c r="BM476" s="84"/>
      <c r="BN476" s="3"/>
      <c r="BO476" s="84"/>
      <c r="BP476" s="99"/>
      <c r="BQ476" s="93"/>
      <c r="BR476" s="56"/>
      <c r="BS476" s="3"/>
      <c r="BT476" s="3"/>
      <c r="BU476" s="3"/>
      <c r="BV476" s="3"/>
      <c r="BW476" s="3"/>
      <c r="BX476" s="84"/>
      <c r="BY476" s="200"/>
      <c r="BZ476" s="200"/>
      <c r="CA476" s="200"/>
      <c r="CB476" s="200"/>
      <c r="CC476" s="200"/>
      <c r="CD476" s="200"/>
      <c r="CE476" s="200"/>
      <c r="CF476" s="200"/>
      <c r="CG476" s="84"/>
      <c r="CH476" s="84"/>
      <c r="CI476" s="84"/>
      <c r="CJ476" s="84"/>
      <c r="CK476" s="84"/>
      <c r="CL476" s="84"/>
      <c r="CM476" s="3"/>
      <c r="CN476" s="3"/>
      <c r="CO476" s="3"/>
      <c r="CP476" s="3"/>
      <c r="CQ476" s="84"/>
      <c r="CR476" s="200"/>
      <c r="CS476" s="200"/>
      <c r="CT476" s="200"/>
      <c r="CU476" s="200"/>
      <c r="CV476" s="200"/>
      <c r="CW476" s="200"/>
      <c r="CX476" s="200"/>
      <c r="CY476" s="200"/>
      <c r="CZ476" s="84"/>
      <c r="DA476" s="84"/>
      <c r="DB476" s="3"/>
      <c r="DC476" s="84"/>
      <c r="DD476" s="99"/>
    </row>
    <row r="477" spans="30:108" ht="6.95" customHeight="1" x14ac:dyDescent="0.15">
      <c r="AD477" s="56"/>
      <c r="AE477" s="84"/>
      <c r="AF477" s="3"/>
      <c r="AG477" s="3"/>
      <c r="AH477" s="3"/>
      <c r="AI477" s="3"/>
      <c r="AJ477" s="84"/>
      <c r="AK477" s="107"/>
      <c r="AL477" s="107"/>
      <c r="AM477" s="107"/>
      <c r="AN477" s="107"/>
      <c r="AO477" s="196" t="s">
        <v>42</v>
      </c>
      <c r="AP477" s="196"/>
      <c r="AQ477" s="196"/>
      <c r="AR477" s="196">
        <v>1</v>
      </c>
      <c r="AS477" s="196"/>
      <c r="AT477" s="196" t="s">
        <v>43</v>
      </c>
      <c r="AU477" s="196"/>
      <c r="AV477" s="196"/>
      <c r="AW477" s="84"/>
      <c r="AX477" s="84"/>
      <c r="AY477" s="3"/>
      <c r="AZ477" s="3"/>
      <c r="BA477" s="3"/>
      <c r="BB477" s="3"/>
      <c r="BC477" s="84"/>
      <c r="BD477" s="200"/>
      <c r="BE477" s="200"/>
      <c r="BF477" s="200"/>
      <c r="BG477" s="200"/>
      <c r="BH477" s="196" t="s">
        <v>42</v>
      </c>
      <c r="BI477" s="196"/>
      <c r="BJ477" s="196"/>
      <c r="BK477" s="196"/>
      <c r="BL477" s="196"/>
      <c r="BM477" s="196" t="s">
        <v>43</v>
      </c>
      <c r="BN477" s="196"/>
      <c r="BO477" s="196"/>
      <c r="BP477" s="99"/>
      <c r="BQ477" s="93"/>
      <c r="BR477" s="56"/>
      <c r="BS477" s="3"/>
      <c r="BT477" s="3"/>
      <c r="BU477" s="3"/>
      <c r="BV477" s="3"/>
      <c r="BW477" s="3"/>
      <c r="BX477" s="84"/>
      <c r="BY477" s="200"/>
      <c r="BZ477" s="200"/>
      <c r="CA477" s="200"/>
      <c r="CB477" s="200"/>
      <c r="CC477" s="196" t="s">
        <v>42</v>
      </c>
      <c r="CD477" s="196"/>
      <c r="CE477" s="196"/>
      <c r="CF477" s="196">
        <v>2</v>
      </c>
      <c r="CG477" s="196"/>
      <c r="CH477" s="196" t="s">
        <v>43</v>
      </c>
      <c r="CI477" s="196"/>
      <c r="CJ477" s="196"/>
      <c r="CK477" s="84"/>
      <c r="CL477" s="84"/>
      <c r="CM477" s="3"/>
      <c r="CN477" s="3"/>
      <c r="CO477" s="3"/>
      <c r="CP477" s="3"/>
      <c r="CQ477" s="84"/>
      <c r="CR477" s="200"/>
      <c r="CS477" s="200"/>
      <c r="CT477" s="200"/>
      <c r="CU477" s="200"/>
      <c r="CV477" s="196"/>
      <c r="CW477" s="196"/>
      <c r="CX477" s="196"/>
      <c r="CY477" s="196"/>
      <c r="CZ477" s="196"/>
      <c r="DA477" s="196"/>
      <c r="DB477" s="196"/>
      <c r="DC477" s="196"/>
      <c r="DD477" s="99"/>
    </row>
    <row r="478" spans="30:108" ht="6.95" customHeight="1" x14ac:dyDescent="0.15">
      <c r="AD478" s="52"/>
      <c r="AE478" s="88"/>
      <c r="AF478" s="2"/>
      <c r="AG478" s="2"/>
      <c r="AH478" s="2"/>
      <c r="AI478" s="2"/>
      <c r="AJ478" s="2"/>
      <c r="AK478" s="2"/>
      <c r="AL478" s="88"/>
      <c r="AM478" s="88"/>
      <c r="AN478" s="88"/>
      <c r="AO478" s="196"/>
      <c r="AP478" s="196"/>
      <c r="AQ478" s="196"/>
      <c r="AR478" s="196"/>
      <c r="AS478" s="196"/>
      <c r="AT478" s="196"/>
      <c r="AU478" s="196"/>
      <c r="AV478" s="196"/>
      <c r="AW478" s="88"/>
      <c r="AX478" s="88"/>
      <c r="AY478" s="2"/>
      <c r="AZ478" s="2"/>
      <c r="BA478" s="2"/>
      <c r="BB478" s="2"/>
      <c r="BC478" s="2"/>
      <c r="BD478" s="2"/>
      <c r="BE478" s="88"/>
      <c r="BF478" s="88"/>
      <c r="BG478" s="88"/>
      <c r="BH478" s="196"/>
      <c r="BI478" s="196"/>
      <c r="BJ478" s="196"/>
      <c r="BK478" s="196"/>
      <c r="BL478" s="196"/>
      <c r="BM478" s="196"/>
      <c r="BN478" s="196"/>
      <c r="BO478" s="196"/>
      <c r="BP478" s="99"/>
      <c r="BQ478" s="93"/>
      <c r="BR478" s="52"/>
      <c r="BS478" s="180"/>
      <c r="BT478" s="180"/>
      <c r="BU478" s="180"/>
      <c r="BV478" s="180"/>
      <c r="BW478" s="180"/>
      <c r="BX478" s="180"/>
      <c r="BY478" s="180"/>
      <c r="BZ478" s="88"/>
      <c r="CA478" s="88"/>
      <c r="CB478" s="88"/>
      <c r="CC478" s="196"/>
      <c r="CD478" s="196"/>
      <c r="CE478" s="196"/>
      <c r="CF478" s="196"/>
      <c r="CG478" s="196"/>
      <c r="CH478" s="196"/>
      <c r="CI478" s="196"/>
      <c r="CJ478" s="196"/>
      <c r="CK478" s="88"/>
      <c r="CL478" s="88"/>
      <c r="CM478" s="180"/>
      <c r="CN478" s="180"/>
      <c r="CO478" s="180"/>
      <c r="CP478" s="180"/>
      <c r="CQ478" s="180"/>
      <c r="CR478" s="180"/>
      <c r="CS478" s="88"/>
      <c r="CT478" s="88"/>
      <c r="CU478" s="88"/>
      <c r="CV478" s="196"/>
      <c r="CW478" s="196"/>
      <c r="CX478" s="196"/>
      <c r="CY478" s="196"/>
      <c r="CZ478" s="196"/>
      <c r="DA478" s="196"/>
      <c r="DB478" s="196"/>
      <c r="DC478" s="196"/>
      <c r="DD478" s="99"/>
    </row>
    <row r="479" spans="30:108" ht="6.95" customHeight="1" x14ac:dyDescent="0.15">
      <c r="AD479" s="83"/>
      <c r="AE479" s="82"/>
      <c r="AF479" s="197" t="s">
        <v>28</v>
      </c>
      <c r="AG479" s="197"/>
      <c r="AH479" s="197"/>
      <c r="AI479" s="197"/>
      <c r="AJ479" s="82"/>
      <c r="AK479" s="82"/>
      <c r="AL479" s="82"/>
      <c r="AM479" s="2"/>
      <c r="AN479" s="2"/>
      <c r="AO479" s="2"/>
      <c r="AP479" s="2"/>
      <c r="AQ479" s="2"/>
      <c r="AR479" s="2"/>
      <c r="AS479" s="2"/>
      <c r="AT479" s="2"/>
      <c r="AU479" s="3"/>
      <c r="AV479" s="82"/>
      <c r="AW479" s="88"/>
      <c r="AX479" s="88"/>
      <c r="AY479" s="197" t="s">
        <v>27</v>
      </c>
      <c r="AZ479" s="197"/>
      <c r="BA479" s="197"/>
      <c r="BB479" s="197"/>
      <c r="BC479" s="82"/>
      <c r="BD479" s="82"/>
      <c r="BE479" s="3"/>
      <c r="BF479" s="3"/>
      <c r="BG479" s="3"/>
      <c r="BH479" s="3"/>
      <c r="BI479" s="198"/>
      <c r="BJ479" s="198"/>
      <c r="BK479" s="198"/>
      <c r="BL479" s="198"/>
      <c r="BM479" s="1"/>
      <c r="BN479" s="1"/>
      <c r="BO479" s="1"/>
      <c r="BP479" s="99"/>
      <c r="BQ479" s="93"/>
      <c r="BR479" s="83"/>
      <c r="BS479" s="82"/>
      <c r="BT479" s="197" t="s">
        <v>28</v>
      </c>
      <c r="BU479" s="197"/>
      <c r="BV479" s="197"/>
      <c r="BW479" s="197"/>
      <c r="BX479" s="82"/>
      <c r="BY479" s="82"/>
      <c r="BZ479" s="82"/>
      <c r="CA479" s="2"/>
      <c r="CB479" s="2"/>
      <c r="CC479" s="2"/>
      <c r="CD479" s="2"/>
      <c r="CE479" s="2"/>
      <c r="CF479" s="2"/>
      <c r="CG479" s="2"/>
      <c r="CH479" s="2"/>
      <c r="CI479" s="3"/>
      <c r="CJ479" s="82"/>
      <c r="CK479" s="88"/>
      <c r="CL479" s="88"/>
      <c r="CM479" s="197" t="s">
        <v>27</v>
      </c>
      <c r="CN479" s="197"/>
      <c r="CO479" s="197"/>
      <c r="CP479" s="197"/>
      <c r="CQ479" s="82"/>
      <c r="CR479" s="82"/>
      <c r="CS479" s="3"/>
      <c r="CT479" s="3"/>
      <c r="CU479" s="3"/>
      <c r="CV479" s="3"/>
      <c r="CW479" s="198"/>
      <c r="CX479" s="198"/>
      <c r="CY479" s="198"/>
      <c r="CZ479" s="198"/>
      <c r="DA479" s="1"/>
      <c r="DB479" s="1"/>
      <c r="DC479" s="1"/>
      <c r="DD479" s="99"/>
    </row>
    <row r="480" spans="30:108" ht="6.95" customHeight="1" x14ac:dyDescent="0.15">
      <c r="AD480" s="56"/>
      <c r="AE480" s="3"/>
      <c r="AF480" s="197"/>
      <c r="AG480" s="197"/>
      <c r="AH480" s="197"/>
      <c r="AI480" s="197"/>
      <c r="AJ480" s="82"/>
      <c r="AK480" s="82"/>
      <c r="AL480" s="82"/>
      <c r="AM480" s="2"/>
      <c r="AN480" s="2"/>
      <c r="AO480" s="2"/>
      <c r="AP480" s="2"/>
      <c r="AQ480" s="2"/>
      <c r="AR480" s="2"/>
      <c r="AS480" s="2"/>
      <c r="AT480" s="2"/>
      <c r="AU480" s="3"/>
      <c r="AV480" s="82"/>
      <c r="AW480" s="82"/>
      <c r="AX480" s="3"/>
      <c r="AY480" s="197"/>
      <c r="AZ480" s="197"/>
      <c r="BA480" s="197"/>
      <c r="BB480" s="197"/>
      <c r="BC480" s="82"/>
      <c r="BD480" s="82"/>
      <c r="BE480" s="3"/>
      <c r="BF480" s="3"/>
      <c r="BG480" s="3"/>
      <c r="BH480" s="3"/>
      <c r="BI480" s="198"/>
      <c r="BJ480" s="198"/>
      <c r="BK480" s="198"/>
      <c r="BL480" s="198"/>
      <c r="BM480" s="1"/>
      <c r="BN480" s="1"/>
      <c r="BO480" s="1"/>
      <c r="BP480" s="99"/>
      <c r="BQ480" s="93"/>
      <c r="BR480" s="56"/>
      <c r="BS480" s="3"/>
      <c r="BT480" s="197"/>
      <c r="BU480" s="197"/>
      <c r="BV480" s="197"/>
      <c r="BW480" s="197"/>
      <c r="BX480" s="82"/>
      <c r="BY480" s="82"/>
      <c r="BZ480" s="82"/>
      <c r="CA480" s="2"/>
      <c r="CB480" s="2"/>
      <c r="CC480" s="2"/>
      <c r="CD480" s="2"/>
      <c r="CE480" s="2"/>
      <c r="CF480" s="2"/>
      <c r="CG480" s="2"/>
      <c r="CH480" s="2"/>
      <c r="CI480" s="3"/>
      <c r="CJ480" s="82"/>
      <c r="CK480" s="82"/>
      <c r="CL480" s="3"/>
      <c r="CM480" s="197"/>
      <c r="CN480" s="197"/>
      <c r="CO480" s="197"/>
      <c r="CP480" s="197"/>
      <c r="CQ480" s="82"/>
      <c r="CR480" s="82"/>
      <c r="CS480" s="3"/>
      <c r="CT480" s="3"/>
      <c r="CU480" s="3"/>
      <c r="CV480" s="3"/>
      <c r="CW480" s="198"/>
      <c r="CX480" s="198"/>
      <c r="CY480" s="198"/>
      <c r="CZ480" s="198"/>
      <c r="DA480" s="1"/>
      <c r="DB480" s="1"/>
      <c r="DC480" s="1"/>
      <c r="DD480" s="99"/>
    </row>
    <row r="481" spans="30:169" ht="6.95" customHeight="1" x14ac:dyDescent="0.15">
      <c r="AD481" s="56"/>
      <c r="AE481" s="3"/>
      <c r="AF481" s="3"/>
      <c r="AG481" s="3"/>
      <c r="AH481" s="3"/>
      <c r="AI481" s="2"/>
      <c r="AJ481" s="2"/>
      <c r="AK481" s="2"/>
      <c r="AL481" s="2"/>
      <c r="AM481" s="2"/>
      <c r="AN481" s="82"/>
      <c r="AO481" s="82"/>
      <c r="AP481" s="82"/>
      <c r="AQ481" s="82"/>
      <c r="AR481" s="82"/>
      <c r="AS481" s="82"/>
      <c r="AT481" s="2"/>
      <c r="AU481" s="3"/>
      <c r="AV481" s="82"/>
      <c r="AW481" s="82"/>
      <c r="AX481" s="3"/>
      <c r="AY481" s="3"/>
      <c r="AZ481" s="2"/>
      <c r="BA481" s="3"/>
      <c r="BB481" s="82"/>
      <c r="BC481" s="82"/>
      <c r="BD481" s="3"/>
      <c r="BE481" s="3"/>
      <c r="BF481" s="3"/>
      <c r="BG481" s="3"/>
      <c r="BH481" s="3"/>
      <c r="BI481" s="3"/>
      <c r="BJ481" s="3"/>
      <c r="BK481" s="3"/>
      <c r="BL481" s="3"/>
      <c r="BM481" s="1"/>
      <c r="BN481" s="1"/>
      <c r="BO481" s="1"/>
      <c r="BP481" s="99"/>
      <c r="BQ481" s="93"/>
      <c r="BR481" s="56"/>
      <c r="BS481" s="3"/>
      <c r="BT481" s="3"/>
      <c r="BU481" s="3"/>
      <c r="BV481" s="3"/>
      <c r="BW481" s="2"/>
      <c r="BX481" s="2"/>
      <c r="BY481" s="2"/>
      <c r="BZ481" s="2"/>
      <c r="CA481" s="2"/>
      <c r="CB481" s="82"/>
      <c r="CC481" s="82"/>
      <c r="CD481" s="82"/>
      <c r="CE481" s="82"/>
      <c r="CF481" s="82"/>
      <c r="CG481" s="82"/>
      <c r="CH481" s="2"/>
      <c r="CI481" s="3"/>
      <c r="CJ481" s="82"/>
      <c r="CK481" s="82"/>
      <c r="CL481" s="3"/>
      <c r="CM481" s="3"/>
      <c r="CN481" s="2"/>
      <c r="CO481" s="3"/>
      <c r="CP481" s="82"/>
      <c r="CQ481" s="82"/>
      <c r="CR481" s="3"/>
      <c r="CS481" s="3"/>
      <c r="CT481" s="3"/>
      <c r="CU481" s="3"/>
      <c r="CV481" s="3"/>
      <c r="CW481" s="3"/>
      <c r="CX481" s="3"/>
      <c r="CY481" s="3"/>
      <c r="CZ481" s="3"/>
      <c r="DA481" s="1"/>
      <c r="DB481" s="1"/>
      <c r="DC481" s="1"/>
      <c r="DD481" s="99"/>
    </row>
    <row r="482" spans="30:169" ht="6.95" customHeight="1" x14ac:dyDescent="0.15">
      <c r="AD482" s="56"/>
      <c r="AE482" s="3"/>
      <c r="AF482" s="199">
        <f>CHOOSE(SUM((AD458&gt;={700,750,800,850,900,950})*1), 500,550,600,650,750,800)</f>
        <v>550</v>
      </c>
      <c r="AG482" s="199"/>
      <c r="AH482" s="199"/>
      <c r="AI482" s="199"/>
      <c r="AJ482" s="4"/>
      <c r="AK482" s="4"/>
      <c r="AL482" s="4"/>
      <c r="AM482" s="4"/>
      <c r="AN482" s="82"/>
      <c r="AO482" s="82"/>
      <c r="AP482" s="82"/>
      <c r="AQ482" s="82"/>
      <c r="AR482" s="82"/>
      <c r="AS482" s="82"/>
      <c r="AT482" s="4"/>
      <c r="AU482" s="3"/>
      <c r="AV482" s="3"/>
      <c r="AW482" s="82"/>
      <c r="AX482" s="3"/>
      <c r="AY482" s="3"/>
      <c r="AZ482" s="4"/>
      <c r="BA482" s="3"/>
      <c r="BB482" s="3"/>
      <c r="BC482" s="3"/>
      <c r="BD482" s="3"/>
      <c r="BE482" s="3"/>
      <c r="BF482" s="3"/>
      <c r="BG482" s="3"/>
      <c r="BH482" s="197">
        <f>CHOOSE(SUM(($BR$138&gt;={700,750})*1), 700,800)</f>
        <v>800</v>
      </c>
      <c r="BI482" s="197"/>
      <c r="BJ482" s="197"/>
      <c r="BK482" s="197"/>
      <c r="BL482" s="3"/>
      <c r="BM482" s="1"/>
      <c r="BN482" s="1"/>
      <c r="BO482" s="1"/>
      <c r="BP482" s="99"/>
      <c r="BQ482" s="93"/>
      <c r="BR482" s="56"/>
      <c r="BS482" s="3"/>
      <c r="BT482" s="199">
        <f>CHOOSE(SUM((BR458&gt;={700,750,800,850,900,950})*1), 500,550,600,650,750,800)</f>
        <v>550</v>
      </c>
      <c r="BU482" s="199"/>
      <c r="BV482" s="199"/>
      <c r="BW482" s="199"/>
      <c r="BX482" s="4"/>
      <c r="BY482" s="4"/>
      <c r="BZ482" s="4"/>
      <c r="CA482" s="4"/>
      <c r="CB482" s="82"/>
      <c r="CC482" s="82"/>
      <c r="CD482" s="82"/>
      <c r="CE482" s="82"/>
      <c r="CF482" s="82"/>
      <c r="CG482" s="82"/>
      <c r="CH482" s="4"/>
      <c r="CI482" s="3"/>
      <c r="CJ482" s="3"/>
      <c r="CK482" s="82"/>
      <c r="CL482" s="3"/>
      <c r="CM482" s="3"/>
      <c r="CN482" s="4"/>
      <c r="CO482" s="3"/>
      <c r="CP482" s="3"/>
      <c r="CQ482" s="3"/>
      <c r="CR482" s="3"/>
      <c r="CS482" s="3"/>
      <c r="CT482" s="3"/>
      <c r="CU482" s="3"/>
      <c r="CV482" s="197">
        <f>CHOOSE(SUM(($BR$138&gt;={700,750})*1), 700,800)</f>
        <v>800</v>
      </c>
      <c r="CW482" s="197"/>
      <c r="CX482" s="197"/>
      <c r="CY482" s="197"/>
      <c r="CZ482" s="3"/>
      <c r="DA482" s="1"/>
      <c r="DB482" s="1"/>
      <c r="DC482" s="1"/>
      <c r="DD482" s="99"/>
    </row>
    <row r="483" spans="30:169" ht="6.95" customHeight="1" x14ac:dyDescent="0.15">
      <c r="AD483" s="56"/>
      <c r="AE483" s="3"/>
      <c r="AF483" s="199"/>
      <c r="AG483" s="199"/>
      <c r="AH483" s="199"/>
      <c r="AI483" s="199"/>
      <c r="AJ483" s="4"/>
      <c r="AK483" s="4"/>
      <c r="AL483" s="4"/>
      <c r="AM483" s="4"/>
      <c r="AN483" s="82"/>
      <c r="AO483" s="82"/>
      <c r="AP483" s="82"/>
      <c r="AQ483" s="4"/>
      <c r="AR483" s="4"/>
      <c r="AS483" s="4"/>
      <c r="AT483" s="4"/>
      <c r="AU483" s="4"/>
      <c r="AV483" s="4"/>
      <c r="AW483" s="3"/>
      <c r="AX483" s="3"/>
      <c r="AY483" s="4"/>
      <c r="AZ483" s="4"/>
      <c r="BA483" s="4"/>
      <c r="BB483" s="4"/>
      <c r="BC483" s="4"/>
      <c r="BD483" s="4"/>
      <c r="BE483" s="4"/>
      <c r="BF483" s="4"/>
      <c r="BG483" s="4"/>
      <c r="BH483" s="197"/>
      <c r="BI483" s="197"/>
      <c r="BJ483" s="197"/>
      <c r="BK483" s="197"/>
      <c r="BL483" s="4"/>
      <c r="BM483" s="1"/>
      <c r="BN483" s="1"/>
      <c r="BO483" s="1"/>
      <c r="BP483" s="99"/>
      <c r="BQ483" s="93"/>
      <c r="BR483" s="56"/>
      <c r="BS483" s="3"/>
      <c r="BT483" s="199"/>
      <c r="BU483" s="199"/>
      <c r="BV483" s="199"/>
      <c r="BW483" s="199"/>
      <c r="BX483" s="4"/>
      <c r="BY483" s="4"/>
      <c r="BZ483" s="4"/>
      <c r="CA483" s="4"/>
      <c r="CB483" s="82"/>
      <c r="CC483" s="82"/>
      <c r="CD483" s="82"/>
      <c r="CE483" s="4"/>
      <c r="CF483" s="4"/>
      <c r="CG483" s="4"/>
      <c r="CH483" s="4"/>
      <c r="CI483" s="4"/>
      <c r="CJ483" s="4"/>
      <c r="CK483" s="3"/>
      <c r="CL483" s="3"/>
      <c r="CM483" s="4"/>
      <c r="CN483" s="4"/>
      <c r="CO483" s="4"/>
      <c r="CP483" s="4"/>
      <c r="CQ483" s="4"/>
      <c r="CR483" s="4"/>
      <c r="CS483" s="4"/>
      <c r="CT483" s="4"/>
      <c r="CU483" s="4"/>
      <c r="CV483" s="197"/>
      <c r="CW483" s="197"/>
      <c r="CX483" s="197"/>
      <c r="CY483" s="197"/>
      <c r="CZ483" s="4"/>
      <c r="DA483" s="1"/>
      <c r="DB483" s="1"/>
      <c r="DC483" s="1"/>
      <c r="DD483" s="99"/>
    </row>
    <row r="484" spans="30:169" ht="6.95" customHeight="1" x14ac:dyDescent="0.15">
      <c r="AD484" s="56"/>
      <c r="AE484" s="3"/>
      <c r="AF484" s="3"/>
      <c r="AG484" s="3"/>
      <c r="AH484" s="3"/>
      <c r="AI484" s="4"/>
      <c r="AJ484" s="4"/>
      <c r="AK484" s="4"/>
      <c r="AL484" s="4"/>
      <c r="AM484" s="88"/>
      <c r="AN484" s="88"/>
      <c r="AO484" s="88"/>
      <c r="AP484" s="88"/>
      <c r="AQ484" s="88"/>
      <c r="AR484" s="88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1"/>
      <c r="BN484" s="1"/>
      <c r="BO484" s="1"/>
      <c r="BP484" s="99"/>
      <c r="BQ484" s="93"/>
      <c r="BR484" s="56"/>
      <c r="BS484" s="3"/>
      <c r="BT484" s="3"/>
      <c r="BU484" s="3"/>
      <c r="BV484" s="3"/>
      <c r="BW484" s="4"/>
      <c r="BX484" s="4"/>
      <c r="BY484" s="4"/>
      <c r="BZ484" s="4"/>
      <c r="CA484" s="88"/>
      <c r="CB484" s="88"/>
      <c r="CC484" s="88"/>
      <c r="CD484" s="88"/>
      <c r="CE484" s="88"/>
      <c r="CF484" s="88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1"/>
      <c r="DB484" s="1"/>
      <c r="DC484" s="1"/>
      <c r="DD484" s="99"/>
    </row>
    <row r="485" spans="30:169" ht="6.95" customHeight="1" x14ac:dyDescent="0.15">
      <c r="AD485" s="56"/>
      <c r="AE485" s="3"/>
      <c r="AF485" s="3"/>
      <c r="AG485" s="3"/>
      <c r="AH485" s="3"/>
      <c r="AI485" s="4"/>
      <c r="AJ485" s="4"/>
      <c r="AK485" s="84"/>
      <c r="AL485" s="84"/>
      <c r="AM485" s="88"/>
      <c r="AN485" s="88"/>
      <c r="AO485" s="196" t="s">
        <v>42</v>
      </c>
      <c r="AP485" s="196"/>
      <c r="AQ485" s="196"/>
      <c r="AR485" s="196">
        <v>6</v>
      </c>
      <c r="AS485" s="196"/>
      <c r="AT485" s="196" t="s">
        <v>43</v>
      </c>
      <c r="AU485" s="196"/>
      <c r="AV485" s="196"/>
      <c r="AW485" s="4"/>
      <c r="AX485" s="4"/>
      <c r="AY485" s="4"/>
      <c r="AZ485" s="88"/>
      <c r="BA485" s="4"/>
      <c r="BB485" s="200">
        <f>CHOOSE(SUM(($BR$138&gt;={700,750})*1), 300,200)</f>
        <v>200</v>
      </c>
      <c r="BC485" s="200"/>
      <c r="BD485" s="200"/>
      <c r="BE485" s="200"/>
      <c r="BF485" s="4"/>
      <c r="BG485" s="88"/>
      <c r="BH485" s="196" t="s">
        <v>42</v>
      </c>
      <c r="BI485" s="196"/>
      <c r="BJ485" s="196"/>
      <c r="BK485" s="196">
        <v>2</v>
      </c>
      <c r="BL485" s="196"/>
      <c r="BM485" s="196" t="s">
        <v>43</v>
      </c>
      <c r="BN485" s="196"/>
      <c r="BO485" s="196"/>
      <c r="BP485" s="99"/>
      <c r="BQ485" s="93"/>
      <c r="BR485" s="56"/>
      <c r="BS485" s="3"/>
      <c r="BT485" s="3"/>
      <c r="BU485" s="3"/>
      <c r="BV485" s="3"/>
      <c r="BW485" s="4"/>
      <c r="BX485" s="4"/>
      <c r="BY485" s="84"/>
      <c r="BZ485" s="84"/>
      <c r="CA485" s="88"/>
      <c r="CB485" s="88"/>
      <c r="CC485" s="196" t="s">
        <v>42</v>
      </c>
      <c r="CD485" s="196"/>
      <c r="CE485" s="196"/>
      <c r="CF485" s="196">
        <v>8</v>
      </c>
      <c r="CG485" s="196"/>
      <c r="CH485" s="196" t="s">
        <v>43</v>
      </c>
      <c r="CI485" s="196"/>
      <c r="CJ485" s="196"/>
      <c r="CK485" s="4"/>
      <c r="CL485" s="4"/>
      <c r="CM485" s="4"/>
      <c r="CN485" s="88"/>
      <c r="CO485" s="4"/>
      <c r="CP485" s="200">
        <f>CHOOSE(SUM(($BR$138&gt;={700,750})*1), 300,200)</f>
        <v>200</v>
      </c>
      <c r="CQ485" s="200"/>
      <c r="CR485" s="200"/>
      <c r="CS485" s="200"/>
      <c r="CT485" s="4"/>
      <c r="CU485" s="88"/>
      <c r="CV485" s="196" t="s">
        <v>42</v>
      </c>
      <c r="CW485" s="196"/>
      <c r="CX485" s="196"/>
      <c r="CY485" s="196">
        <v>2</v>
      </c>
      <c r="CZ485" s="196"/>
      <c r="DA485" s="196" t="s">
        <v>43</v>
      </c>
      <c r="DB485" s="196"/>
      <c r="DC485" s="196"/>
      <c r="DD485" s="99"/>
    </row>
    <row r="486" spans="30:169" ht="6.95" customHeight="1" x14ac:dyDescent="0.15">
      <c r="AD486" s="56"/>
      <c r="AE486" s="3"/>
      <c r="AF486" s="2"/>
      <c r="AG486" s="2"/>
      <c r="AH486" s="2"/>
      <c r="AI486" s="2"/>
      <c r="AJ486" s="2"/>
      <c r="AK486" s="84"/>
      <c r="AL486" s="84"/>
      <c r="AM486" s="88"/>
      <c r="AN486" s="88"/>
      <c r="AO486" s="196"/>
      <c r="AP486" s="196"/>
      <c r="AQ486" s="196"/>
      <c r="AR486" s="196"/>
      <c r="AS486" s="196"/>
      <c r="AT486" s="196"/>
      <c r="AU486" s="196"/>
      <c r="AV486" s="196"/>
      <c r="AW486" s="84"/>
      <c r="AX486" s="84"/>
      <c r="AY486" s="4"/>
      <c r="AZ486" s="88"/>
      <c r="BA486" s="4"/>
      <c r="BB486" s="200"/>
      <c r="BC486" s="200"/>
      <c r="BD486" s="200"/>
      <c r="BE486" s="200"/>
      <c r="BF486" s="4"/>
      <c r="BG486" s="88"/>
      <c r="BH486" s="196"/>
      <c r="BI486" s="196"/>
      <c r="BJ486" s="196"/>
      <c r="BK486" s="196"/>
      <c r="BL486" s="196"/>
      <c r="BM486" s="196"/>
      <c r="BN486" s="196"/>
      <c r="BO486" s="196"/>
      <c r="BP486" s="99"/>
      <c r="BQ486" s="93"/>
      <c r="BR486" s="56"/>
      <c r="BS486" s="3"/>
      <c r="BT486" s="2"/>
      <c r="BU486" s="2"/>
      <c r="BV486" s="2"/>
      <c r="BW486" s="2"/>
      <c r="BX486" s="2"/>
      <c r="BY486" s="84"/>
      <c r="BZ486" s="84"/>
      <c r="CA486" s="88"/>
      <c r="CB486" s="88"/>
      <c r="CC486" s="196"/>
      <c r="CD486" s="196"/>
      <c r="CE486" s="196"/>
      <c r="CF486" s="196"/>
      <c r="CG486" s="196"/>
      <c r="CH486" s="196"/>
      <c r="CI486" s="196"/>
      <c r="CJ486" s="196"/>
      <c r="CK486" s="84"/>
      <c r="CL486" s="84"/>
      <c r="CM486" s="4"/>
      <c r="CN486" s="88"/>
      <c r="CO486" s="4"/>
      <c r="CP486" s="200"/>
      <c r="CQ486" s="200"/>
      <c r="CR486" s="200"/>
      <c r="CS486" s="200"/>
      <c r="CT486" s="4"/>
      <c r="CU486" s="88"/>
      <c r="CV486" s="196"/>
      <c r="CW486" s="196"/>
      <c r="CX486" s="196"/>
      <c r="CY486" s="196"/>
      <c r="CZ486" s="196"/>
      <c r="DA486" s="196"/>
      <c r="DB486" s="196"/>
      <c r="DC486" s="196"/>
      <c r="DD486" s="99"/>
    </row>
    <row r="487" spans="30:169" ht="6.95" customHeight="1" x14ac:dyDescent="0.15">
      <c r="AD487" s="52"/>
      <c r="AE487" s="2"/>
      <c r="AF487" s="2"/>
      <c r="AG487" s="2"/>
      <c r="AH487" s="2"/>
      <c r="AI487" s="2"/>
      <c r="AJ487" s="2"/>
      <c r="AK487" s="84"/>
      <c r="AL487" s="84"/>
      <c r="AM487" s="88"/>
      <c r="AN487" s="88"/>
      <c r="AO487" s="103"/>
      <c r="AP487" s="103"/>
      <c r="AQ487" s="103"/>
      <c r="AR487" s="103"/>
      <c r="AS487" s="103"/>
      <c r="AT487" s="103"/>
      <c r="AU487" s="103"/>
      <c r="AV487" s="103"/>
      <c r="AW487" s="84"/>
      <c r="AX487" s="84"/>
      <c r="AY487" s="4"/>
      <c r="AZ487" s="4"/>
      <c r="BA487" s="4"/>
      <c r="BB487" s="4"/>
      <c r="BC487" s="4"/>
      <c r="BD487" s="4"/>
      <c r="BE487" s="4"/>
      <c r="BF487" s="4"/>
      <c r="BG487" s="4"/>
      <c r="BH487" s="1"/>
      <c r="BI487" s="1"/>
      <c r="BJ487" s="1"/>
      <c r="BK487" s="1"/>
      <c r="BL487" s="1"/>
      <c r="BM487" s="1"/>
      <c r="BN487" s="1"/>
      <c r="BO487" s="1"/>
      <c r="BP487" s="99"/>
      <c r="BQ487" s="93"/>
      <c r="BR487" s="52"/>
      <c r="BS487" s="2"/>
      <c r="BT487" s="2"/>
      <c r="BU487" s="2"/>
      <c r="BV487" s="2"/>
      <c r="BW487" s="2"/>
      <c r="BX487" s="2"/>
      <c r="BY487" s="84"/>
      <c r="BZ487" s="84"/>
      <c r="CA487" s="88"/>
      <c r="CB487" s="88"/>
      <c r="CC487" s="103"/>
      <c r="CD487" s="103"/>
      <c r="CE487" s="103"/>
      <c r="CF487" s="103"/>
      <c r="CG487" s="103"/>
      <c r="CH487" s="103"/>
      <c r="CI487" s="103"/>
      <c r="CJ487" s="103"/>
      <c r="CK487" s="84"/>
      <c r="CL487" s="84"/>
      <c r="CM487" s="4"/>
      <c r="CN487" s="4"/>
      <c r="CO487" s="4"/>
      <c r="CP487" s="4"/>
      <c r="CQ487" s="4"/>
      <c r="CR487" s="4"/>
      <c r="CS487" s="4"/>
      <c r="CT487" s="4"/>
      <c r="CU487" s="4"/>
      <c r="CV487" s="1"/>
      <c r="CW487" s="1"/>
      <c r="CX487" s="1"/>
      <c r="CY487" s="1"/>
      <c r="CZ487" s="1"/>
      <c r="DA487" s="1"/>
      <c r="DB487" s="1"/>
      <c r="DC487" s="1"/>
      <c r="DD487" s="99"/>
    </row>
    <row r="488" spans="30:169" ht="6.95" customHeight="1" x14ac:dyDescent="0.15">
      <c r="AD488" s="56"/>
      <c r="AE488" s="3"/>
      <c r="AF488" s="2"/>
      <c r="AG488" s="2"/>
      <c r="AH488" s="2"/>
      <c r="AI488" s="2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1"/>
      <c r="BI488" s="1"/>
      <c r="BJ488" s="1"/>
      <c r="BK488" s="1"/>
      <c r="BL488" s="1"/>
      <c r="BM488" s="1"/>
      <c r="BN488" s="1"/>
      <c r="BO488" s="1"/>
      <c r="BP488" s="99"/>
      <c r="BQ488" s="93"/>
      <c r="BR488" s="56"/>
      <c r="BS488" s="3"/>
      <c r="BT488" s="2"/>
      <c r="BU488" s="2"/>
      <c r="BV488" s="2"/>
      <c r="BW488" s="2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1"/>
      <c r="CW488" s="1"/>
      <c r="CX488" s="1"/>
      <c r="CY488" s="1"/>
      <c r="CZ488" s="1"/>
      <c r="DA488" s="1"/>
      <c r="DB488" s="1"/>
      <c r="DC488" s="1"/>
      <c r="DD488" s="99"/>
    </row>
    <row r="489" spans="30:169" ht="6.95" customHeight="1" x14ac:dyDescent="0.15">
      <c r="AD489" s="56"/>
      <c r="AE489" s="3"/>
      <c r="AF489" s="2"/>
      <c r="AG489" s="2"/>
      <c r="AH489" s="2"/>
      <c r="AI489" s="2"/>
      <c r="AJ489" s="106"/>
      <c r="AK489" s="106"/>
      <c r="AL489" s="106"/>
      <c r="AM489" s="106"/>
      <c r="AN489" s="106"/>
      <c r="AO489" s="106"/>
      <c r="AP489" s="103"/>
      <c r="AQ489" s="103"/>
      <c r="AR489" s="103"/>
      <c r="AS489" s="103"/>
      <c r="AT489" s="103"/>
      <c r="AU489" s="103"/>
      <c r="AV489" s="103"/>
      <c r="AW489" s="103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1"/>
      <c r="BI489" s="1"/>
      <c r="BJ489" s="1"/>
      <c r="BK489" s="1"/>
      <c r="BL489" s="1"/>
      <c r="BM489" s="1"/>
      <c r="BN489" s="1"/>
      <c r="BO489" s="1"/>
      <c r="BP489" s="147"/>
      <c r="BQ489" s="93"/>
      <c r="BR489" s="56"/>
      <c r="BS489" s="3"/>
      <c r="BT489" s="2"/>
      <c r="BU489" s="2"/>
      <c r="BV489" s="2"/>
      <c r="BW489" s="2"/>
      <c r="BX489" s="106"/>
      <c r="BY489" s="106"/>
      <c r="BZ489" s="106"/>
      <c r="CA489" s="106"/>
      <c r="CB489" s="106"/>
      <c r="CC489" s="106"/>
      <c r="CD489" s="103"/>
      <c r="CE489" s="103"/>
      <c r="CF489" s="103"/>
      <c r="CG489" s="103"/>
      <c r="CH489" s="103"/>
      <c r="CI489" s="103"/>
      <c r="CJ489" s="103"/>
      <c r="CK489" s="103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1"/>
      <c r="CW489" s="1"/>
      <c r="CX489" s="1"/>
      <c r="CY489" s="1"/>
      <c r="CZ489" s="1"/>
      <c r="DA489" s="1"/>
      <c r="DB489" s="1"/>
      <c r="DC489" s="1"/>
      <c r="DD489" s="147"/>
    </row>
    <row r="490" spans="30:169" ht="6.95" customHeight="1" x14ac:dyDescent="0.15">
      <c r="AD490" s="56"/>
      <c r="AE490" s="3"/>
      <c r="AF490" s="2"/>
      <c r="AG490" s="2"/>
      <c r="AH490" s="2"/>
      <c r="AI490" s="2"/>
      <c r="AJ490" s="106"/>
      <c r="AK490" s="106"/>
      <c r="AL490" s="106"/>
      <c r="AM490" s="106"/>
      <c r="AN490" s="106"/>
      <c r="AO490" s="106"/>
      <c r="AP490" s="103"/>
      <c r="AQ490" s="103"/>
      <c r="AR490" s="103"/>
      <c r="AS490" s="103"/>
      <c r="AT490" s="103"/>
      <c r="AU490" s="103"/>
      <c r="AV490" s="103"/>
      <c r="AW490" s="103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1"/>
      <c r="BI490" s="1"/>
      <c r="BJ490" s="1"/>
      <c r="BK490" s="1"/>
      <c r="BL490" s="1"/>
      <c r="BM490" s="1"/>
      <c r="BN490" s="1"/>
      <c r="BO490" s="1"/>
      <c r="BP490" s="147"/>
      <c r="BQ490" s="93"/>
      <c r="BR490" s="56"/>
      <c r="BS490" s="3"/>
      <c r="BT490" s="2"/>
      <c r="BU490" s="2"/>
      <c r="BV490" s="2"/>
      <c r="BW490" s="2"/>
      <c r="BX490" s="106"/>
      <c r="BY490" s="106"/>
      <c r="BZ490" s="106"/>
      <c r="CA490" s="106"/>
      <c r="CB490" s="106"/>
      <c r="CC490" s="106"/>
      <c r="CD490" s="103"/>
      <c r="CE490" s="103"/>
      <c r="CF490" s="103"/>
      <c r="CG490" s="103"/>
      <c r="CH490" s="103"/>
      <c r="CI490" s="103"/>
      <c r="CJ490" s="103"/>
      <c r="CK490" s="103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1"/>
      <c r="CW490" s="1"/>
      <c r="CX490" s="1"/>
      <c r="CY490" s="1"/>
      <c r="CZ490" s="1"/>
      <c r="DA490" s="1"/>
      <c r="DB490" s="1"/>
      <c r="DC490" s="1"/>
      <c r="DD490" s="147"/>
    </row>
    <row r="491" spans="30:169" ht="6.95" customHeight="1" x14ac:dyDescent="0.15">
      <c r="AD491" s="56"/>
      <c r="AE491" s="3"/>
      <c r="AF491" s="193" t="s">
        <v>44</v>
      </c>
      <c r="AG491" s="193"/>
      <c r="AH491" s="193"/>
      <c r="AI491" s="193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1"/>
      <c r="BI491" s="1"/>
      <c r="BJ491" s="199">
        <f>CHOOSE(SUM((AD458&gt;={700,750,800,850,900,950})*1), 140,190,240,290,340,390)</f>
        <v>190</v>
      </c>
      <c r="BK491" s="199"/>
      <c r="BL491" s="199"/>
      <c r="BM491" s="199"/>
      <c r="BN491" s="1"/>
      <c r="BO491" s="1"/>
      <c r="BP491" s="147"/>
      <c r="BQ491" s="93"/>
      <c r="BR491" s="56"/>
      <c r="BS491" s="3"/>
      <c r="BT491" s="193" t="s">
        <v>44</v>
      </c>
      <c r="BU491" s="193"/>
      <c r="BV491" s="193"/>
      <c r="BW491" s="193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1"/>
      <c r="CW491" s="1"/>
      <c r="CX491" s="199">
        <f>CHOOSE(SUM((BR458&gt;={700,750,800,850,900,950})*1), 140,190,240,290,340,390)</f>
        <v>190</v>
      </c>
      <c r="CY491" s="199"/>
      <c r="CZ491" s="199"/>
      <c r="DA491" s="199"/>
      <c r="DB491" s="1"/>
      <c r="DC491" s="1"/>
      <c r="DD491" s="147"/>
    </row>
    <row r="492" spans="30:169" ht="6.95" customHeight="1" x14ac:dyDescent="0.15">
      <c r="AD492" s="56"/>
      <c r="AE492" s="3"/>
      <c r="AF492" s="193"/>
      <c r="AG492" s="193"/>
      <c r="AH492" s="193"/>
      <c r="AI492" s="193"/>
      <c r="AJ492" s="104"/>
      <c r="AK492" s="105"/>
      <c r="AL492" s="105"/>
      <c r="AM492" s="105"/>
      <c r="AN492" s="105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1"/>
      <c r="BI492" s="1"/>
      <c r="BJ492" s="199"/>
      <c r="BK492" s="199"/>
      <c r="BL492" s="199"/>
      <c r="BM492" s="199"/>
      <c r="BN492" s="1"/>
      <c r="BO492" s="1"/>
      <c r="BP492" s="147"/>
      <c r="BQ492" s="93"/>
      <c r="BR492" s="56"/>
      <c r="BS492" s="3"/>
      <c r="BT492" s="193"/>
      <c r="BU492" s="193"/>
      <c r="BV492" s="193"/>
      <c r="BW492" s="193"/>
      <c r="BX492" s="104"/>
      <c r="BY492" s="105"/>
      <c r="BZ492" s="105"/>
      <c r="CA492" s="105"/>
      <c r="CB492" s="105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1"/>
      <c r="CW492" s="1"/>
      <c r="CX492" s="199"/>
      <c r="CY492" s="199"/>
      <c r="CZ492" s="199"/>
      <c r="DA492" s="199"/>
      <c r="DB492" s="1"/>
      <c r="DC492" s="1"/>
      <c r="DD492" s="147"/>
    </row>
    <row r="493" spans="30:169" ht="6.95" customHeight="1" x14ac:dyDescent="0.15">
      <c r="AD493" s="56"/>
      <c r="AE493" s="3"/>
      <c r="AF493" s="2"/>
      <c r="AG493" s="2"/>
      <c r="AH493" s="2"/>
      <c r="AI493" s="2"/>
      <c r="AJ493" s="104"/>
      <c r="AK493" s="105"/>
      <c r="AL493" s="105"/>
      <c r="AM493" s="105"/>
      <c r="AN493" s="105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1"/>
      <c r="BI493" s="1"/>
      <c r="BJ493" s="96"/>
      <c r="BK493" s="96"/>
      <c r="BL493" s="96"/>
      <c r="BM493" s="96"/>
      <c r="BN493" s="110"/>
      <c r="BO493" s="1"/>
      <c r="BP493" s="147"/>
      <c r="BQ493" s="93"/>
      <c r="BR493" s="56"/>
      <c r="BS493" s="3"/>
      <c r="BT493" s="2"/>
      <c r="BU493" s="2"/>
      <c r="BV493" s="2"/>
      <c r="BW493" s="2"/>
      <c r="BX493" s="104"/>
      <c r="BY493" s="105"/>
      <c r="BZ493" s="105"/>
      <c r="CA493" s="105"/>
      <c r="CB493" s="105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1"/>
      <c r="CW493" s="1"/>
      <c r="CX493" s="96"/>
      <c r="CY493" s="96"/>
      <c r="CZ493" s="96"/>
      <c r="DA493" s="96"/>
      <c r="DB493" s="110"/>
      <c r="DC493" s="1"/>
      <c r="DD493" s="147"/>
    </row>
    <row r="494" spans="30:169" ht="6.95" customHeight="1" x14ac:dyDescent="0.15">
      <c r="AD494" s="56"/>
      <c r="AE494" s="3"/>
      <c r="AF494" s="2"/>
      <c r="AG494" s="2"/>
      <c r="AH494" s="2"/>
      <c r="AI494" s="2"/>
      <c r="AJ494" s="4"/>
      <c r="AK494" s="4"/>
      <c r="AL494" s="105"/>
      <c r="AM494" s="105"/>
      <c r="AN494" s="105"/>
      <c r="AO494" s="105"/>
      <c r="AP494" s="105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1"/>
      <c r="BI494" s="1"/>
      <c r="BJ494" s="1"/>
      <c r="BK494" s="1"/>
      <c r="BL494" s="110"/>
      <c r="BM494" s="110"/>
      <c r="BN494" s="110"/>
      <c r="BO494" s="1"/>
      <c r="BP494" s="147"/>
      <c r="BQ494" s="93"/>
      <c r="BR494" s="56"/>
      <c r="BS494" s="3"/>
      <c r="BT494" s="2"/>
      <c r="BU494" s="2"/>
      <c r="BV494" s="2"/>
      <c r="BW494" s="2"/>
      <c r="BX494" s="4"/>
      <c r="BY494" s="4"/>
      <c r="BZ494" s="105"/>
      <c r="CA494" s="105"/>
      <c r="CB494" s="105"/>
      <c r="CC494" s="105"/>
      <c r="CD494" s="105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1"/>
      <c r="CW494" s="1"/>
      <c r="CX494" s="1"/>
      <c r="CY494" s="1"/>
      <c r="CZ494" s="110"/>
      <c r="DA494" s="110"/>
      <c r="DB494" s="110"/>
      <c r="DC494" s="1"/>
      <c r="DD494" s="147"/>
    </row>
    <row r="495" spans="30:169" ht="6.95" customHeight="1" x14ac:dyDescent="0.15">
      <c r="AD495" s="56"/>
      <c r="AE495" s="3"/>
      <c r="AF495" s="193" t="s">
        <v>44</v>
      </c>
      <c r="AG495" s="193"/>
      <c r="AH495" s="193"/>
      <c r="AI495" s="193"/>
      <c r="AJ495" s="4"/>
      <c r="AK495" s="4"/>
      <c r="AL495" s="105"/>
      <c r="AM495" s="105"/>
      <c r="AN495" s="105"/>
      <c r="AO495" s="105"/>
      <c r="AP495" s="105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196" t="s">
        <v>42</v>
      </c>
      <c r="BI495" s="196"/>
      <c r="BJ495" s="196"/>
      <c r="BK495" s="196">
        <v>1</v>
      </c>
      <c r="BL495" s="196"/>
      <c r="BM495" s="196" t="s">
        <v>43</v>
      </c>
      <c r="BN495" s="196"/>
      <c r="BO495" s="196"/>
      <c r="BP495" s="147"/>
      <c r="BQ495" s="93"/>
      <c r="BR495" s="56"/>
      <c r="BS495" s="3"/>
      <c r="BT495" s="193" t="s">
        <v>44</v>
      </c>
      <c r="BU495" s="193"/>
      <c r="BV495" s="193"/>
      <c r="BW495" s="193"/>
      <c r="BX495" s="4"/>
      <c r="BY495" s="4"/>
      <c r="BZ495" s="105"/>
      <c r="CA495" s="105"/>
      <c r="CB495" s="105"/>
      <c r="CC495" s="105"/>
      <c r="CD495" s="105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196" t="s">
        <v>42</v>
      </c>
      <c r="CW495" s="196"/>
      <c r="CX495" s="196"/>
      <c r="CY495" s="196">
        <v>1</v>
      </c>
      <c r="CZ495" s="196"/>
      <c r="DA495" s="196" t="s">
        <v>43</v>
      </c>
      <c r="DB495" s="196"/>
      <c r="DC495" s="196"/>
      <c r="DD495" s="147"/>
    </row>
    <row r="496" spans="30:169" ht="6.95" customHeight="1" x14ac:dyDescent="0.15">
      <c r="AD496" s="56"/>
      <c r="AE496" s="3"/>
      <c r="AF496" s="193"/>
      <c r="AG496" s="193"/>
      <c r="AH496" s="193"/>
      <c r="AI496" s="193"/>
      <c r="AJ496" s="105"/>
      <c r="AK496" s="105"/>
      <c r="AL496" s="4"/>
      <c r="AM496" s="4"/>
      <c r="AN496" s="4"/>
      <c r="AO496" s="103"/>
      <c r="AP496" s="103"/>
      <c r="AQ496" s="103"/>
      <c r="AR496" s="103"/>
      <c r="AS496" s="103"/>
      <c r="AT496" s="103"/>
      <c r="AU496" s="103"/>
      <c r="AV496" s="103"/>
      <c r="AW496" s="103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196"/>
      <c r="BI496" s="196"/>
      <c r="BJ496" s="196"/>
      <c r="BK496" s="196"/>
      <c r="BL496" s="196"/>
      <c r="BM496" s="196"/>
      <c r="BN496" s="196"/>
      <c r="BO496" s="196"/>
      <c r="BP496" s="147"/>
      <c r="BQ496" s="93"/>
      <c r="BR496" s="56"/>
      <c r="BS496" s="3"/>
      <c r="BT496" s="193"/>
      <c r="BU496" s="193"/>
      <c r="BV496" s="193"/>
      <c r="BW496" s="193"/>
      <c r="BX496" s="105"/>
      <c r="BY496" s="105"/>
      <c r="BZ496" s="4"/>
      <c r="CA496" s="4"/>
      <c r="CB496" s="4"/>
      <c r="CC496" s="103"/>
      <c r="CD496" s="103"/>
      <c r="CE496" s="103"/>
      <c r="CF496" s="103"/>
      <c r="CG496" s="103"/>
      <c r="CH496" s="103"/>
      <c r="CI496" s="103"/>
      <c r="CJ496" s="103"/>
      <c r="CK496" s="103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196"/>
      <c r="CW496" s="196"/>
      <c r="CX496" s="196"/>
      <c r="CY496" s="196"/>
      <c r="CZ496" s="196"/>
      <c r="DA496" s="196"/>
      <c r="DB496" s="196"/>
      <c r="DC496" s="196"/>
      <c r="DD496" s="147"/>
      <c r="DF496" s="139"/>
      <c r="DG496" s="140"/>
      <c r="DH496" s="140"/>
      <c r="DI496" s="140"/>
      <c r="DJ496" s="140"/>
      <c r="DK496" s="140"/>
      <c r="DL496" s="140"/>
      <c r="DM496" s="140"/>
      <c r="DN496" s="140"/>
      <c r="DO496" s="140"/>
      <c r="DP496" s="140"/>
      <c r="DQ496" s="140"/>
      <c r="DR496" s="140"/>
      <c r="DS496" s="140"/>
      <c r="DT496" s="140"/>
      <c r="DU496" s="140"/>
      <c r="DV496" s="140"/>
      <c r="DW496" s="140"/>
      <c r="DX496" s="140"/>
      <c r="DY496" s="140"/>
      <c r="DZ496" s="140"/>
      <c r="EA496" s="140"/>
      <c r="EB496" s="140"/>
      <c r="EC496" s="140"/>
      <c r="ED496" s="140"/>
      <c r="EE496" s="140"/>
      <c r="EF496" s="140"/>
      <c r="EG496" s="140"/>
      <c r="EH496" s="140"/>
      <c r="EI496" s="141"/>
      <c r="EK496" s="139"/>
      <c r="EL496" s="140"/>
      <c r="EM496" s="140"/>
      <c r="EN496" s="140"/>
      <c r="EO496" s="140"/>
      <c r="EP496" s="140"/>
      <c r="EQ496" s="140"/>
      <c r="ER496" s="140"/>
      <c r="ES496" s="140"/>
      <c r="ET496" s="140"/>
      <c r="EU496" s="140"/>
      <c r="EV496" s="140"/>
      <c r="EW496" s="140"/>
      <c r="EX496" s="140"/>
      <c r="EY496" s="140"/>
      <c r="EZ496" s="140"/>
      <c r="FA496" s="140"/>
      <c r="FB496" s="140"/>
      <c r="FC496" s="140"/>
      <c r="FD496" s="140"/>
      <c r="FE496" s="140"/>
      <c r="FF496" s="140"/>
      <c r="FG496" s="140"/>
      <c r="FH496" s="140"/>
      <c r="FI496" s="140"/>
      <c r="FJ496" s="140"/>
      <c r="FK496" s="140"/>
      <c r="FL496" s="140"/>
      <c r="FM496" s="141"/>
    </row>
    <row r="497" spans="30:169" ht="6.95" customHeight="1" x14ac:dyDescent="0.15">
      <c r="AD497" s="56"/>
      <c r="AE497" s="3"/>
      <c r="AF497" s="193" t="s">
        <v>26</v>
      </c>
      <c r="AG497" s="193"/>
      <c r="AH497" s="193"/>
      <c r="AI497" s="193"/>
      <c r="AJ497" s="4"/>
      <c r="AK497" s="193" t="s">
        <v>50</v>
      </c>
      <c r="AL497" s="193"/>
      <c r="AM497" s="193"/>
      <c r="AN497" s="193"/>
      <c r="AO497" s="193"/>
      <c r="AP497" s="193"/>
      <c r="AQ497" s="193"/>
      <c r="AR497" s="193"/>
      <c r="AS497" s="103"/>
      <c r="AT497" s="196" t="s">
        <v>42</v>
      </c>
      <c r="AU497" s="196"/>
      <c r="AV497" s="196"/>
      <c r="AW497" s="196"/>
      <c r="AX497" s="196"/>
      <c r="AY497" s="196" t="s">
        <v>43</v>
      </c>
      <c r="AZ497" s="196"/>
      <c r="BA497" s="196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147"/>
      <c r="BQ497" s="93"/>
      <c r="BR497" s="56"/>
      <c r="BS497" s="3"/>
      <c r="BT497" s="193" t="s">
        <v>26</v>
      </c>
      <c r="BU497" s="193"/>
      <c r="BV497" s="193"/>
      <c r="BW497" s="193"/>
      <c r="BX497" s="4"/>
      <c r="BY497" s="193" t="s">
        <v>60</v>
      </c>
      <c r="BZ497" s="193"/>
      <c r="CA497" s="193"/>
      <c r="CB497" s="193"/>
      <c r="CC497" s="193"/>
      <c r="CD497" s="193"/>
      <c r="CE497" s="193"/>
      <c r="CF497" s="193"/>
      <c r="CG497" s="103"/>
      <c r="CH497" s="196" t="s">
        <v>42</v>
      </c>
      <c r="CI497" s="196"/>
      <c r="CJ497" s="196"/>
      <c r="CK497" s="196"/>
      <c r="CL497" s="196"/>
      <c r="CM497" s="196" t="s">
        <v>43</v>
      </c>
      <c r="CN497" s="196"/>
      <c r="CO497" s="196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147"/>
      <c r="DF497" s="142"/>
      <c r="DG497" s="90"/>
      <c r="DH497" s="90"/>
      <c r="DI497" s="90"/>
      <c r="DJ497" s="90"/>
      <c r="DK497" s="90"/>
      <c r="DL497" s="90"/>
      <c r="DM497" s="90"/>
      <c r="DN497" s="90"/>
      <c r="DO497" s="90"/>
      <c r="DP497" s="90"/>
      <c r="DQ497" s="90"/>
      <c r="DR497" s="90"/>
      <c r="DS497" s="90"/>
      <c r="DT497" s="90"/>
      <c r="DU497" s="90"/>
      <c r="DV497" s="90"/>
      <c r="DW497" s="90"/>
      <c r="DX497" s="90"/>
      <c r="DY497" s="90"/>
      <c r="DZ497" s="90"/>
      <c r="EA497" s="90"/>
      <c r="EB497" s="90"/>
      <c r="EC497" s="90"/>
      <c r="ED497" s="90"/>
      <c r="EE497" s="90"/>
      <c r="EF497" s="90"/>
      <c r="EG497" s="90"/>
      <c r="EH497" s="90"/>
      <c r="EI497" s="143"/>
      <c r="EK497" s="142"/>
      <c r="EL497" s="90"/>
      <c r="EM497" s="90"/>
      <c r="EN497" s="90"/>
      <c r="EO497" s="90"/>
      <c r="EP497" s="90"/>
      <c r="EQ497" s="90"/>
      <c r="ER497" s="90"/>
      <c r="ES497" s="90"/>
      <c r="ET497" s="90"/>
      <c r="EU497" s="90"/>
      <c r="EV497" s="90"/>
      <c r="EW497" s="90"/>
      <c r="EX497" s="90"/>
      <c r="EY497" s="90"/>
      <c r="EZ497" s="90"/>
      <c r="FA497" s="90"/>
      <c r="FB497" s="90"/>
      <c r="FC497" s="90"/>
      <c r="FD497" s="90"/>
      <c r="FE497" s="90"/>
      <c r="FF497" s="90"/>
      <c r="FG497" s="90"/>
      <c r="FH497" s="90"/>
      <c r="FI497" s="90"/>
      <c r="FJ497" s="90"/>
      <c r="FK497" s="90"/>
      <c r="FL497" s="90"/>
      <c r="FM497" s="143"/>
    </row>
    <row r="498" spans="30:169" ht="6.95" customHeight="1" x14ac:dyDescent="0.15">
      <c r="AD498" s="56"/>
      <c r="AE498" s="3"/>
      <c r="AF498" s="193"/>
      <c r="AG498" s="193"/>
      <c r="AH498" s="193"/>
      <c r="AI498" s="193"/>
      <c r="AJ498" s="4"/>
      <c r="AK498" s="193"/>
      <c r="AL498" s="193"/>
      <c r="AM498" s="193"/>
      <c r="AN498" s="193"/>
      <c r="AO498" s="193"/>
      <c r="AP498" s="193"/>
      <c r="AQ498" s="193"/>
      <c r="AR498" s="193"/>
      <c r="AS498" s="103"/>
      <c r="AT498" s="196"/>
      <c r="AU498" s="196"/>
      <c r="AV498" s="196"/>
      <c r="AW498" s="196"/>
      <c r="AX498" s="196"/>
      <c r="AY498" s="196"/>
      <c r="AZ498" s="196"/>
      <c r="BA498" s="196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147"/>
      <c r="BQ498" s="93"/>
      <c r="BR498" s="56"/>
      <c r="BS498" s="3"/>
      <c r="BT498" s="193"/>
      <c r="BU498" s="193"/>
      <c r="BV498" s="193"/>
      <c r="BW498" s="193"/>
      <c r="BX498" s="4"/>
      <c r="BY498" s="193"/>
      <c r="BZ498" s="193"/>
      <c r="CA498" s="193"/>
      <c r="CB498" s="193"/>
      <c r="CC498" s="193"/>
      <c r="CD498" s="193"/>
      <c r="CE498" s="193"/>
      <c r="CF498" s="193"/>
      <c r="CG498" s="103"/>
      <c r="CH498" s="196"/>
      <c r="CI498" s="196"/>
      <c r="CJ498" s="196"/>
      <c r="CK498" s="196"/>
      <c r="CL498" s="196"/>
      <c r="CM498" s="196"/>
      <c r="CN498" s="196"/>
      <c r="CO498" s="196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147"/>
      <c r="DF498" s="142"/>
      <c r="DG498" s="90"/>
      <c r="DH498" s="90"/>
      <c r="DI498" s="90"/>
      <c r="DJ498" s="90"/>
      <c r="DK498" s="90"/>
      <c r="DL498" s="90"/>
      <c r="DM498" s="90"/>
      <c r="DN498" s="90"/>
      <c r="DO498" s="90"/>
      <c r="DP498" s="90"/>
      <c r="DQ498" s="90"/>
      <c r="DR498" s="90"/>
      <c r="DS498" s="90"/>
      <c r="DT498" s="90"/>
      <c r="DU498" s="90"/>
      <c r="DV498" s="90"/>
      <c r="DW498" s="90"/>
      <c r="DX498" s="90"/>
      <c r="DY498" s="90"/>
      <c r="DZ498" s="90"/>
      <c r="EA498" s="90"/>
      <c r="EB498" s="90"/>
      <c r="EC498" s="90"/>
      <c r="ED498" s="90"/>
      <c r="EE498" s="90"/>
      <c r="EF498" s="90"/>
      <c r="EG498" s="90"/>
      <c r="EH498" s="90"/>
      <c r="EI498" s="143"/>
      <c r="EK498" s="142"/>
      <c r="EL498" s="90"/>
      <c r="EM498" s="90"/>
      <c r="EN498" s="90"/>
      <c r="EO498" s="90"/>
      <c r="EP498" s="90"/>
      <c r="EQ498" s="90"/>
      <c r="ER498" s="90"/>
      <c r="ES498" s="90"/>
      <c r="ET498" s="90"/>
      <c r="EU498" s="90"/>
      <c r="EV498" s="90"/>
      <c r="EW498" s="90"/>
      <c r="EX498" s="90"/>
      <c r="EY498" s="90"/>
      <c r="EZ498" s="90"/>
      <c r="FA498" s="90"/>
      <c r="FB498" s="90"/>
      <c r="FC498" s="90"/>
      <c r="FD498" s="90"/>
      <c r="FE498" s="90"/>
      <c r="FF498" s="90"/>
      <c r="FG498" s="90"/>
      <c r="FH498" s="90"/>
      <c r="FI498" s="90"/>
      <c r="FJ498" s="90"/>
      <c r="FK498" s="90"/>
      <c r="FL498" s="90"/>
      <c r="FM498" s="143"/>
    </row>
    <row r="499" spans="30:169" ht="6.95" customHeight="1" x14ac:dyDescent="0.15">
      <c r="AD499" s="56"/>
      <c r="AE499" s="3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3"/>
      <c r="AT499" s="103"/>
      <c r="AU499" s="103"/>
      <c r="AV499" s="103"/>
      <c r="AW499" s="103"/>
      <c r="AX499" s="103"/>
      <c r="AY499" s="103"/>
      <c r="AZ499" s="103"/>
      <c r="BA499" s="103"/>
      <c r="BB499" s="4"/>
      <c r="BC499" s="4"/>
      <c r="BD499" s="4"/>
      <c r="BE499" s="4"/>
      <c r="BF499" s="4"/>
      <c r="BG499" s="4"/>
      <c r="BH499" s="103"/>
      <c r="BI499" s="103"/>
      <c r="BJ499" s="103"/>
      <c r="BK499" s="103"/>
      <c r="BL499" s="103"/>
      <c r="BM499" s="103"/>
      <c r="BN499" s="103"/>
      <c r="BO499" s="103"/>
      <c r="BP499" s="147"/>
      <c r="BQ499" s="93"/>
      <c r="BR499" s="56"/>
      <c r="BS499" s="3"/>
      <c r="BT499" s="105"/>
      <c r="BU499" s="105"/>
      <c r="BV499" s="105"/>
      <c r="BW499" s="105"/>
      <c r="BX499" s="105"/>
      <c r="BY499" s="105"/>
      <c r="BZ499" s="105"/>
      <c r="CA499" s="105"/>
      <c r="CB499" s="105"/>
      <c r="CC499" s="105"/>
      <c r="CD499" s="105"/>
      <c r="CE499" s="105"/>
      <c r="CF499" s="105"/>
      <c r="CG499" s="103"/>
      <c r="CH499" s="103"/>
      <c r="CI499" s="103"/>
      <c r="CJ499" s="103"/>
      <c r="CK499" s="103"/>
      <c r="CL499" s="103"/>
      <c r="CM499" s="103"/>
      <c r="CN499" s="103"/>
      <c r="CO499" s="103"/>
      <c r="CP499" s="4"/>
      <c r="CQ499" s="4"/>
      <c r="CR499" s="4"/>
      <c r="CS499" s="4"/>
      <c r="CT499" s="4"/>
      <c r="CU499" s="4"/>
      <c r="CV499" s="103"/>
      <c r="CW499" s="103"/>
      <c r="CX499" s="103"/>
      <c r="CY499" s="103"/>
      <c r="CZ499" s="103"/>
      <c r="DA499" s="103"/>
      <c r="DB499" s="103"/>
      <c r="DC499" s="103"/>
      <c r="DD499" s="147"/>
      <c r="DF499" s="142"/>
      <c r="DG499" s="90"/>
      <c r="DH499" s="90"/>
      <c r="DI499" s="90"/>
      <c r="DJ499" s="90"/>
      <c r="DK499" s="90"/>
      <c r="DL499" s="90"/>
      <c r="DM499" s="90"/>
      <c r="DN499" s="90"/>
      <c r="DO499" s="90"/>
      <c r="DP499" s="90"/>
      <c r="DQ499" s="90"/>
      <c r="DR499" s="90"/>
      <c r="DS499" s="90"/>
      <c r="DT499" s="90"/>
      <c r="DU499" s="90"/>
      <c r="DV499" s="90"/>
      <c r="DW499" s="90"/>
      <c r="DX499" s="90"/>
      <c r="DY499" s="90"/>
      <c r="DZ499" s="90"/>
      <c r="EA499" s="90"/>
      <c r="EB499" s="90"/>
      <c r="EC499" s="90"/>
      <c r="ED499" s="90"/>
      <c r="EE499" s="90"/>
      <c r="EF499" s="90"/>
      <c r="EG499" s="90"/>
      <c r="EH499" s="90"/>
      <c r="EI499" s="143"/>
      <c r="EK499" s="142"/>
      <c r="EL499" s="90"/>
      <c r="EM499" s="90"/>
      <c r="EN499" s="90"/>
      <c r="EO499" s="90"/>
      <c r="EP499" s="90"/>
      <c r="EQ499" s="90"/>
      <c r="ER499" s="90"/>
      <c r="ES499" s="90"/>
      <c r="ET499" s="90"/>
      <c r="EU499" s="90"/>
      <c r="EV499" s="90"/>
      <c r="EW499" s="90"/>
      <c r="EX499" s="90"/>
      <c r="EY499" s="90"/>
      <c r="EZ499" s="90"/>
      <c r="FA499" s="90"/>
      <c r="FB499" s="90"/>
      <c r="FC499" s="90"/>
      <c r="FD499" s="90"/>
      <c r="FE499" s="90"/>
      <c r="FF499" s="90"/>
      <c r="FG499" s="90"/>
      <c r="FH499" s="90"/>
      <c r="FI499" s="90"/>
      <c r="FJ499" s="90"/>
      <c r="FK499" s="90"/>
      <c r="FL499" s="90"/>
      <c r="FM499" s="143"/>
    </row>
    <row r="500" spans="30:169" ht="6.95" customHeight="1" x14ac:dyDescent="0.15">
      <c r="AD500" s="56"/>
      <c r="AE500" s="3"/>
      <c r="AF500" s="193" t="s">
        <v>44</v>
      </c>
      <c r="AG500" s="193"/>
      <c r="AH500" s="193"/>
      <c r="AI500" s="193"/>
      <c r="AJ500" s="2"/>
      <c r="AK500" s="2"/>
      <c r="AL500" s="2"/>
      <c r="AM500" s="105"/>
      <c r="AN500" s="105"/>
      <c r="AO500" s="105"/>
      <c r="AP500" s="105"/>
      <c r="AQ500" s="105"/>
      <c r="AR500" s="105"/>
      <c r="AS500" s="103"/>
      <c r="AT500" s="103"/>
      <c r="AU500" s="103"/>
      <c r="AV500" s="103"/>
      <c r="AW500" s="103"/>
      <c r="AX500" s="103"/>
      <c r="AY500" s="103"/>
      <c r="AZ500" s="103"/>
      <c r="BA500" s="103"/>
      <c r="BB500" s="4"/>
      <c r="BC500" s="4"/>
      <c r="BD500" s="4"/>
      <c r="BE500" s="4"/>
      <c r="BF500" s="4"/>
      <c r="BG500" s="4"/>
      <c r="BH500" s="1"/>
      <c r="BI500" s="1"/>
      <c r="BJ500" s="1"/>
      <c r="BK500" s="1"/>
      <c r="BL500" s="1"/>
      <c r="BM500" s="1"/>
      <c r="BN500" s="1"/>
      <c r="BO500" s="1"/>
      <c r="BP500" s="147"/>
      <c r="BQ500" s="93"/>
      <c r="BR500" s="56"/>
      <c r="BS500" s="3"/>
      <c r="BT500" s="193" t="s">
        <v>28</v>
      </c>
      <c r="BU500" s="193"/>
      <c r="BV500" s="193"/>
      <c r="BW500" s="193"/>
      <c r="BX500" s="180"/>
      <c r="BY500" s="180"/>
      <c r="BZ500" s="180"/>
      <c r="CA500" s="105"/>
      <c r="CB500" s="105"/>
      <c r="CC500" s="105"/>
      <c r="CD500" s="105"/>
      <c r="CE500" s="105"/>
      <c r="CF500" s="105"/>
      <c r="CG500" s="103"/>
      <c r="CH500" s="103"/>
      <c r="CI500" s="103"/>
      <c r="CJ500" s="103"/>
      <c r="CK500" s="103"/>
      <c r="CL500" s="103"/>
      <c r="CM500" s="103"/>
      <c r="CN500" s="103"/>
      <c r="CO500" s="103"/>
      <c r="CP500" s="4"/>
      <c r="CQ500" s="4"/>
      <c r="CR500" s="4"/>
      <c r="CS500" s="4"/>
      <c r="CT500" s="4"/>
      <c r="CU500" s="4"/>
      <c r="CV500" s="1"/>
      <c r="CW500" s="1"/>
      <c r="CX500" s="1"/>
      <c r="CY500" s="1"/>
      <c r="CZ500" s="1"/>
      <c r="DA500" s="1"/>
      <c r="DB500" s="1"/>
      <c r="DC500" s="1"/>
      <c r="DD500" s="147"/>
      <c r="DF500" s="142"/>
      <c r="DG500" s="90"/>
      <c r="DH500" s="90"/>
      <c r="DI500" s="90"/>
      <c r="DJ500" s="90"/>
      <c r="DK500" s="90"/>
      <c r="DL500" s="90"/>
      <c r="DM500" s="90"/>
      <c r="DN500" s="90"/>
      <c r="DO500" s="90"/>
      <c r="DP500" s="90"/>
      <c r="DQ500" s="90"/>
      <c r="DR500" s="90"/>
      <c r="DS500" s="90"/>
      <c r="DT500" s="90"/>
      <c r="DU500" s="90"/>
      <c r="DV500" s="90"/>
      <c r="DW500" s="90"/>
      <c r="DX500" s="90"/>
      <c r="DY500" s="90"/>
      <c r="DZ500" s="90"/>
      <c r="EA500" s="90"/>
      <c r="EB500" s="90"/>
      <c r="EC500" s="90"/>
      <c r="ED500" s="90"/>
      <c r="EE500" s="90"/>
      <c r="EF500" s="90"/>
      <c r="EG500" s="90"/>
      <c r="EH500" s="90"/>
      <c r="EI500" s="143"/>
      <c r="EK500" s="142"/>
      <c r="EL500" s="90"/>
      <c r="EM500" s="90"/>
      <c r="EN500" s="90"/>
      <c r="EO500" s="90"/>
      <c r="EP500" s="90"/>
      <c r="EQ500" s="90"/>
      <c r="ER500" s="90"/>
      <c r="ES500" s="90"/>
      <c r="ET500" s="90"/>
      <c r="EU500" s="90"/>
      <c r="EV500" s="90"/>
      <c r="EW500" s="90"/>
      <c r="EX500" s="90"/>
      <c r="EY500" s="90"/>
      <c r="EZ500" s="90"/>
      <c r="FA500" s="90"/>
      <c r="FB500" s="90"/>
      <c r="FC500" s="90"/>
      <c r="FD500" s="90"/>
      <c r="FE500" s="90"/>
      <c r="FF500" s="90"/>
      <c r="FG500" s="90"/>
      <c r="FH500" s="90"/>
      <c r="FI500" s="90"/>
      <c r="FJ500" s="90"/>
      <c r="FK500" s="90"/>
      <c r="FL500" s="90"/>
      <c r="FM500" s="143"/>
    </row>
    <row r="501" spans="30:169" ht="6.95" customHeight="1" x14ac:dyDescent="0.15">
      <c r="AD501" s="56"/>
      <c r="AE501" s="3"/>
      <c r="AF501" s="193"/>
      <c r="AG501" s="193"/>
      <c r="AH501" s="193"/>
      <c r="AI501" s="193"/>
      <c r="AJ501" s="194">
        <f>CHOOSE(SUM((AD458&gt;={700,750,800,850,900,950})*1), 205,255,305,355,405,455)</f>
        <v>255</v>
      </c>
      <c r="AK501" s="194"/>
      <c r="AL501" s="19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1"/>
      <c r="BI501" s="1"/>
      <c r="BJ501" s="1"/>
      <c r="BK501" s="1"/>
      <c r="BL501" s="1"/>
      <c r="BM501" s="1"/>
      <c r="BN501" s="1"/>
      <c r="BO501" s="1"/>
      <c r="BP501" s="99"/>
      <c r="BQ501" s="93"/>
      <c r="BR501" s="56"/>
      <c r="BS501" s="3"/>
      <c r="BT501" s="193"/>
      <c r="BU501" s="193"/>
      <c r="BV501" s="193"/>
      <c r="BW501" s="193"/>
      <c r="BX501" s="194">
        <f>CHOOSE(SUM((BR458&gt;={700,750,800,850,900,950})*1), 205,255,305,355,405,455)</f>
        <v>255</v>
      </c>
      <c r="BY501" s="194"/>
      <c r="BZ501" s="19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1"/>
      <c r="CW501" s="1"/>
      <c r="CX501" s="1"/>
      <c r="CY501" s="1"/>
      <c r="CZ501" s="1"/>
      <c r="DA501" s="1"/>
      <c r="DB501" s="1"/>
      <c r="DC501" s="1"/>
      <c r="DD501" s="99"/>
      <c r="DF501" s="142"/>
      <c r="DG501" s="90"/>
      <c r="DH501" s="90"/>
      <c r="DI501" s="90"/>
      <c r="DJ501" s="90"/>
      <c r="DK501" s="90"/>
      <c r="DL501" s="90"/>
      <c r="DM501" s="90"/>
      <c r="DN501" s="90"/>
      <c r="DO501" s="90"/>
      <c r="DP501" s="90"/>
      <c r="DQ501" s="90"/>
      <c r="DR501" s="90"/>
      <c r="DS501" s="90"/>
      <c r="DT501" s="90"/>
      <c r="DU501" s="90"/>
      <c r="DV501" s="90"/>
      <c r="DW501" s="90"/>
      <c r="DX501" s="90"/>
      <c r="DY501" s="90"/>
      <c r="DZ501" s="90"/>
      <c r="EA501" s="90"/>
      <c r="EB501" s="90"/>
      <c r="EC501" s="90"/>
      <c r="ED501" s="90"/>
      <c r="EE501" s="90"/>
      <c r="EF501" s="90"/>
      <c r="EG501" s="90"/>
      <c r="EH501" s="90"/>
      <c r="EI501" s="143"/>
      <c r="EK501" s="142"/>
      <c r="EL501" s="90"/>
      <c r="EM501" s="90"/>
      <c r="EN501" s="90"/>
      <c r="EO501" s="90"/>
      <c r="EP501" s="90"/>
      <c r="EQ501" s="90"/>
      <c r="ER501" s="90"/>
      <c r="ES501" s="90"/>
      <c r="ET501" s="90"/>
      <c r="EU501" s="90"/>
      <c r="EV501" s="90"/>
      <c r="EW501" s="90"/>
      <c r="EX501" s="90"/>
      <c r="EY501" s="90"/>
      <c r="EZ501" s="90"/>
      <c r="FA501" s="90"/>
      <c r="FB501" s="90"/>
      <c r="FC501" s="90"/>
      <c r="FD501" s="90"/>
      <c r="FE501" s="90"/>
      <c r="FF501" s="90"/>
      <c r="FG501" s="90"/>
      <c r="FH501" s="90"/>
      <c r="FI501" s="90"/>
      <c r="FJ501" s="90"/>
      <c r="FK501" s="90"/>
      <c r="FL501" s="90"/>
      <c r="FM501" s="143"/>
    </row>
    <row r="502" spans="30:169" ht="6.95" customHeight="1" x14ac:dyDescent="0.15">
      <c r="AD502" s="56"/>
      <c r="AE502" s="3"/>
      <c r="AF502" s="105"/>
      <c r="AG502" s="105"/>
      <c r="AH502" s="105"/>
      <c r="AI502" s="105"/>
      <c r="AJ502" s="194"/>
      <c r="AK502" s="194"/>
      <c r="AL502" s="19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195">
        <f>CHOOSE(SUM((AD458&gt;={700,750,800,850,900,950})*1), 290,360,430,500,570,640)</f>
        <v>360</v>
      </c>
      <c r="BC502" s="195"/>
      <c r="BD502" s="195"/>
      <c r="BE502" s="4"/>
      <c r="BF502" s="4"/>
      <c r="BG502" s="4"/>
      <c r="BH502" s="196" t="s">
        <v>42</v>
      </c>
      <c r="BI502" s="196"/>
      <c r="BJ502" s="196"/>
      <c r="BK502" s="196">
        <v>1</v>
      </c>
      <c r="BL502" s="196"/>
      <c r="BM502" s="196" t="s">
        <v>43</v>
      </c>
      <c r="BN502" s="196"/>
      <c r="BO502" s="196"/>
      <c r="BP502" s="99"/>
      <c r="BQ502" s="93"/>
      <c r="BR502" s="56"/>
      <c r="BS502" s="3"/>
      <c r="BT502" s="105"/>
      <c r="BU502" s="105"/>
      <c r="BV502" s="105"/>
      <c r="BW502" s="105"/>
      <c r="BX502" s="194"/>
      <c r="BY502" s="194"/>
      <c r="BZ502" s="19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195">
        <f>CHOOSE(SUM((BR458&gt;={700,750,800,850,900,950})*1), 290,360,430,500,570,640)</f>
        <v>360</v>
      </c>
      <c r="CQ502" s="195"/>
      <c r="CR502" s="195"/>
      <c r="CS502" s="4"/>
      <c r="CT502" s="4"/>
      <c r="CU502" s="4"/>
      <c r="CV502" s="196" t="s">
        <v>42</v>
      </c>
      <c r="CW502" s="196"/>
      <c r="CX502" s="196"/>
      <c r="CY502" s="196">
        <v>2</v>
      </c>
      <c r="CZ502" s="196"/>
      <c r="DA502" s="196" t="s">
        <v>43</v>
      </c>
      <c r="DB502" s="196"/>
      <c r="DC502" s="196"/>
      <c r="DD502" s="99"/>
      <c r="DF502" s="142"/>
      <c r="DG502" s="90"/>
      <c r="DH502" s="90"/>
      <c r="DI502" s="90"/>
      <c r="DJ502" s="90"/>
      <c r="DK502" s="90"/>
      <c r="DL502" s="90"/>
      <c r="DM502" s="90"/>
      <c r="DN502" s="90"/>
      <c r="DO502" s="90"/>
      <c r="DP502" s="90"/>
      <c r="DQ502" s="90"/>
      <c r="DR502" s="90"/>
      <c r="DS502" s="90"/>
      <c r="DT502" s="90"/>
      <c r="DU502" s="90"/>
      <c r="DV502" s="90"/>
      <c r="DW502" s="90"/>
      <c r="DX502" s="90"/>
      <c r="DY502" s="90"/>
      <c r="DZ502" s="90"/>
      <c r="EA502" s="90"/>
      <c r="EB502" s="90"/>
      <c r="EC502" s="90"/>
      <c r="ED502" s="90"/>
      <c r="EE502" s="90"/>
      <c r="EF502" s="90"/>
      <c r="EG502" s="90"/>
      <c r="EH502" s="90"/>
      <c r="EI502" s="143"/>
      <c r="EK502" s="142"/>
      <c r="EL502" s="90"/>
      <c r="EM502" s="90"/>
      <c r="EN502" s="90"/>
      <c r="EO502" s="90"/>
      <c r="EP502" s="90"/>
      <c r="EQ502" s="90"/>
      <c r="ER502" s="90"/>
      <c r="ES502" s="90"/>
      <c r="ET502" s="90"/>
      <c r="EU502" s="90"/>
      <c r="EV502" s="90"/>
      <c r="EW502" s="90"/>
      <c r="EX502" s="90"/>
      <c r="EY502" s="90"/>
      <c r="EZ502" s="90"/>
      <c r="FA502" s="90"/>
      <c r="FB502" s="90"/>
      <c r="FC502" s="90"/>
      <c r="FD502" s="90"/>
      <c r="FE502" s="90"/>
      <c r="FF502" s="90"/>
      <c r="FG502" s="90"/>
      <c r="FH502" s="90"/>
      <c r="FI502" s="90"/>
      <c r="FJ502" s="90"/>
      <c r="FK502" s="90"/>
      <c r="FL502" s="90"/>
      <c r="FM502" s="143"/>
    </row>
    <row r="503" spans="30:169" ht="6.95" customHeight="1" x14ac:dyDescent="0.15">
      <c r="AD503" s="56"/>
      <c r="AE503" s="3"/>
      <c r="AF503" s="3"/>
      <c r="AG503" s="3"/>
      <c r="AH503" s="3"/>
      <c r="AI503" s="4"/>
      <c r="AJ503" s="194"/>
      <c r="AK503" s="194"/>
      <c r="AL503" s="194"/>
      <c r="AM503" s="2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195"/>
      <c r="BC503" s="195"/>
      <c r="BD503" s="195"/>
      <c r="BE503" s="4"/>
      <c r="BF503" s="4"/>
      <c r="BG503" s="4"/>
      <c r="BH503" s="196"/>
      <c r="BI503" s="196"/>
      <c r="BJ503" s="196"/>
      <c r="BK503" s="196"/>
      <c r="BL503" s="196"/>
      <c r="BM503" s="196"/>
      <c r="BN503" s="196"/>
      <c r="BO503" s="196"/>
      <c r="BP503" s="99"/>
      <c r="BQ503" s="93"/>
      <c r="BR503" s="56"/>
      <c r="BS503" s="3"/>
      <c r="BT503" s="3"/>
      <c r="BU503" s="3"/>
      <c r="BV503" s="3"/>
      <c r="BW503" s="4"/>
      <c r="BX503" s="194"/>
      <c r="BY503" s="194"/>
      <c r="BZ503" s="194"/>
      <c r="CA503" s="180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195"/>
      <c r="CQ503" s="195"/>
      <c r="CR503" s="195"/>
      <c r="CS503" s="4"/>
      <c r="CT503" s="4"/>
      <c r="CU503" s="4"/>
      <c r="CV503" s="196"/>
      <c r="CW503" s="196"/>
      <c r="CX503" s="196"/>
      <c r="CY503" s="196"/>
      <c r="CZ503" s="196"/>
      <c r="DA503" s="196"/>
      <c r="DB503" s="196"/>
      <c r="DC503" s="196"/>
      <c r="DD503" s="99"/>
      <c r="DF503" s="142"/>
      <c r="DG503" s="90"/>
      <c r="DH503" s="90"/>
      <c r="DI503" s="90"/>
      <c r="DJ503" s="90"/>
      <c r="DK503" s="90"/>
      <c r="DL503" s="90"/>
      <c r="DM503" s="90"/>
      <c r="DN503" s="90"/>
      <c r="DO503" s="90"/>
      <c r="DP503" s="90"/>
      <c r="DQ503" s="90"/>
      <c r="DR503" s="90"/>
      <c r="DS503" s="90"/>
      <c r="DT503" s="90"/>
      <c r="DU503" s="90"/>
      <c r="DV503" s="90"/>
      <c r="DW503" s="90"/>
      <c r="DX503" s="90"/>
      <c r="DY503" s="90"/>
      <c r="DZ503" s="90"/>
      <c r="EA503" s="90"/>
      <c r="EB503" s="90"/>
      <c r="EC503" s="90"/>
      <c r="ED503" s="90"/>
      <c r="EE503" s="90"/>
      <c r="EF503" s="90"/>
      <c r="EG503" s="90"/>
      <c r="EH503" s="90"/>
      <c r="EI503" s="143"/>
      <c r="EK503" s="142"/>
      <c r="EL503" s="90"/>
      <c r="EM503" s="90"/>
      <c r="EN503" s="90"/>
      <c r="EO503" s="90"/>
      <c r="EP503" s="90"/>
      <c r="EQ503" s="90"/>
      <c r="ER503" s="90"/>
      <c r="ES503" s="90"/>
      <c r="ET503" s="90"/>
      <c r="EU503" s="90"/>
      <c r="EV503" s="90"/>
      <c r="EW503" s="90"/>
      <c r="EX503" s="90"/>
      <c r="EY503" s="90"/>
      <c r="EZ503" s="90"/>
      <c r="FA503" s="90"/>
      <c r="FB503" s="90"/>
      <c r="FC503" s="90"/>
      <c r="FD503" s="90"/>
      <c r="FE503" s="90"/>
      <c r="FF503" s="90"/>
      <c r="FG503" s="90"/>
      <c r="FH503" s="90"/>
      <c r="FI503" s="90"/>
      <c r="FJ503" s="90"/>
      <c r="FK503" s="90"/>
      <c r="FL503" s="90"/>
      <c r="FM503" s="143"/>
    </row>
    <row r="504" spans="30:169" ht="6.95" customHeight="1" thickBot="1" x14ac:dyDescent="0.2">
      <c r="AD504" s="56"/>
      <c r="AE504" s="3"/>
      <c r="AF504" s="3"/>
      <c r="AG504" s="3"/>
      <c r="AH504" s="3"/>
      <c r="AI504" s="4"/>
      <c r="AJ504" s="194"/>
      <c r="AK504" s="194"/>
      <c r="AL504" s="194"/>
      <c r="AM504" s="2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111"/>
      <c r="BC504" s="111"/>
      <c r="BD504" s="111"/>
      <c r="BE504" s="88"/>
      <c r="BF504" s="88"/>
      <c r="BG504" s="88"/>
      <c r="BH504" s="103"/>
      <c r="BI504" s="103"/>
      <c r="BJ504" s="103"/>
      <c r="BK504" s="103"/>
      <c r="BL504" s="103"/>
      <c r="BM504" s="103"/>
      <c r="BN504" s="103"/>
      <c r="BO504" s="103"/>
      <c r="BP504" s="99"/>
      <c r="BQ504" s="93"/>
      <c r="BR504" s="57"/>
      <c r="BS504" s="51"/>
      <c r="BT504" s="51"/>
      <c r="BU504" s="51"/>
      <c r="BV504" s="51"/>
      <c r="BW504" s="55"/>
      <c r="BX504" s="217"/>
      <c r="BY504" s="217"/>
      <c r="BZ504" s="217"/>
      <c r="CA504" s="53"/>
      <c r="CB504" s="55"/>
      <c r="CC504" s="55"/>
      <c r="CD504" s="55"/>
      <c r="CE504" s="55"/>
      <c r="CF504" s="55"/>
      <c r="CG504" s="55"/>
      <c r="CH504" s="55"/>
      <c r="CI504" s="55"/>
      <c r="CJ504" s="55"/>
      <c r="CK504" s="55"/>
      <c r="CL504" s="55"/>
      <c r="CM504" s="55"/>
      <c r="CN504" s="55"/>
      <c r="CO504" s="55"/>
      <c r="CP504" s="183"/>
      <c r="CQ504" s="183"/>
      <c r="CR504" s="183"/>
      <c r="CS504" s="184"/>
      <c r="CT504" s="184"/>
      <c r="CU504" s="184"/>
      <c r="CV504" s="185"/>
      <c r="CW504" s="185"/>
      <c r="CX504" s="185"/>
      <c r="CY504" s="185"/>
      <c r="CZ504" s="185"/>
      <c r="DA504" s="185"/>
      <c r="DB504" s="185"/>
      <c r="DC504" s="185"/>
      <c r="DD504" s="101"/>
      <c r="DF504" s="142"/>
      <c r="DG504" s="90"/>
      <c r="DH504" s="90"/>
      <c r="DI504" s="90"/>
      <c r="DJ504" s="90"/>
      <c r="DK504" s="90"/>
      <c r="DL504" s="90"/>
      <c r="DM504" s="90"/>
      <c r="DN504" s="90"/>
      <c r="DO504" s="90"/>
      <c r="DP504" s="90"/>
      <c r="DQ504" s="90"/>
      <c r="DR504" s="90"/>
      <c r="DS504" s="90"/>
      <c r="DT504" s="90"/>
      <c r="DU504" s="90"/>
      <c r="DV504" s="90"/>
      <c r="DW504" s="90"/>
      <c r="DX504" s="90"/>
      <c r="DY504" s="90"/>
      <c r="DZ504" s="90"/>
      <c r="EA504" s="90"/>
      <c r="EB504" s="90"/>
      <c r="EC504" s="90"/>
      <c r="ED504" s="90"/>
      <c r="EE504" s="90"/>
      <c r="EF504" s="90"/>
      <c r="EG504" s="90"/>
      <c r="EH504" s="90"/>
      <c r="EI504" s="143"/>
      <c r="EK504" s="142"/>
      <c r="EL504" s="90"/>
      <c r="EM504" s="90"/>
      <c r="EN504" s="90"/>
      <c r="EO504" s="90"/>
      <c r="EP504" s="90"/>
      <c r="EQ504" s="90"/>
      <c r="ER504" s="90"/>
      <c r="ES504" s="90"/>
      <c r="ET504" s="90"/>
      <c r="EU504" s="90"/>
      <c r="EV504" s="90"/>
      <c r="EW504" s="90"/>
      <c r="EX504" s="90"/>
      <c r="EY504" s="90"/>
      <c r="EZ504" s="90"/>
      <c r="FA504" s="90"/>
      <c r="FB504" s="90"/>
      <c r="FC504" s="90"/>
      <c r="FD504" s="90"/>
      <c r="FE504" s="90"/>
      <c r="FF504" s="90"/>
      <c r="FG504" s="90"/>
      <c r="FH504" s="90"/>
      <c r="FI504" s="90"/>
      <c r="FJ504" s="90"/>
      <c r="FK504" s="90"/>
      <c r="FL504" s="90"/>
      <c r="FM504" s="143"/>
    </row>
    <row r="505" spans="30:169" ht="6.95" customHeight="1" x14ac:dyDescent="0.15">
      <c r="AD505" s="115"/>
      <c r="AE505" s="116"/>
      <c r="AF505" s="193" t="s">
        <v>44</v>
      </c>
      <c r="AG505" s="193"/>
      <c r="AH505" s="193"/>
      <c r="AI505" s="193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111"/>
      <c r="BC505" s="111"/>
      <c r="BD505" s="111"/>
      <c r="BE505" s="88"/>
      <c r="BF505" s="88"/>
      <c r="BG505" s="88"/>
      <c r="BH505" s="103"/>
      <c r="BI505" s="103"/>
      <c r="BJ505" s="103"/>
      <c r="BK505" s="103"/>
      <c r="BL505" s="103"/>
      <c r="BM505" s="103"/>
      <c r="BN505" s="103"/>
      <c r="BO505" s="103"/>
      <c r="BP505" s="99"/>
      <c r="BQ505" s="93"/>
      <c r="BR505" s="115"/>
      <c r="BS505" s="116"/>
      <c r="BT505" s="193"/>
      <c r="BU505" s="193"/>
      <c r="BV505" s="193"/>
      <c r="BW505" s="193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111"/>
      <c r="CQ505" s="111"/>
      <c r="CR505" s="111"/>
      <c r="CS505" s="88"/>
      <c r="CT505" s="88"/>
      <c r="CU505" s="88"/>
      <c r="CV505" s="103"/>
      <c r="CW505" s="103"/>
      <c r="CX505" s="103"/>
      <c r="CY505" s="103"/>
      <c r="CZ505" s="103"/>
      <c r="DA505" s="103"/>
      <c r="DB505" s="103"/>
      <c r="DC505" s="103"/>
      <c r="DD505" s="99"/>
      <c r="DF505" s="142"/>
      <c r="DG505" s="90"/>
      <c r="DH505" s="90"/>
      <c r="DI505" s="90"/>
      <c r="DJ505" s="90"/>
      <c r="DK505" s="90"/>
      <c r="DL505" s="90"/>
      <c r="DM505" s="90"/>
      <c r="DN505" s="90"/>
      <c r="DO505" s="90"/>
      <c r="DP505" s="90"/>
      <c r="DQ505" s="90"/>
      <c r="DR505" s="90"/>
      <c r="DS505" s="90"/>
      <c r="DT505" s="90"/>
      <c r="DU505" s="90"/>
      <c r="DV505" s="90"/>
      <c r="DW505" s="90"/>
      <c r="DX505" s="90"/>
      <c r="DY505" s="90"/>
      <c r="DZ505" s="90"/>
      <c r="EA505" s="90"/>
      <c r="EB505" s="90"/>
      <c r="EC505" s="90"/>
      <c r="ED505" s="90"/>
      <c r="EE505" s="90"/>
      <c r="EF505" s="90"/>
      <c r="EG505" s="90"/>
      <c r="EH505" s="90"/>
      <c r="EI505" s="143"/>
      <c r="EK505" s="142"/>
      <c r="EL505" s="90"/>
      <c r="EM505" s="90"/>
      <c r="EN505" s="90"/>
      <c r="EO505" s="90"/>
      <c r="EP505" s="90"/>
      <c r="EQ505" s="90"/>
      <c r="ER505" s="90"/>
      <c r="ES505" s="90"/>
      <c r="ET505" s="90"/>
      <c r="EU505" s="90"/>
      <c r="EV505" s="90"/>
      <c r="EW505" s="90"/>
      <c r="EX505" s="90"/>
      <c r="EY505" s="90"/>
      <c r="EZ505" s="90"/>
      <c r="FA505" s="90"/>
      <c r="FB505" s="90"/>
      <c r="FC505" s="90"/>
      <c r="FD505" s="90"/>
      <c r="FE505" s="90"/>
      <c r="FF505" s="90"/>
      <c r="FG505" s="90"/>
      <c r="FH505" s="90"/>
      <c r="FI505" s="90"/>
      <c r="FJ505" s="90"/>
      <c r="FK505" s="90"/>
      <c r="FL505" s="90"/>
      <c r="FM505" s="143"/>
    </row>
    <row r="506" spans="30:169" ht="6.95" customHeight="1" x14ac:dyDescent="0.15">
      <c r="AD506" s="115"/>
      <c r="AE506" s="116"/>
      <c r="AF506" s="193"/>
      <c r="AG506" s="193"/>
      <c r="AH506" s="193"/>
      <c r="AI506" s="193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1"/>
      <c r="BI506" s="1"/>
      <c r="BJ506" s="1"/>
      <c r="BK506" s="1"/>
      <c r="BL506" s="1"/>
      <c r="BM506" s="1"/>
      <c r="BN506" s="1"/>
      <c r="BO506" s="1"/>
      <c r="BP506" s="99"/>
      <c r="BQ506" s="93"/>
      <c r="BR506" s="115"/>
      <c r="BS506" s="116"/>
      <c r="BT506" s="193"/>
      <c r="BU506" s="193"/>
      <c r="BV506" s="193"/>
      <c r="BW506" s="193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1"/>
      <c r="CW506" s="1"/>
      <c r="CX506" s="1"/>
      <c r="CY506" s="1"/>
      <c r="CZ506" s="1"/>
      <c r="DA506" s="1"/>
      <c r="DB506" s="1"/>
      <c r="DC506" s="1"/>
      <c r="DD506" s="99"/>
      <c r="DF506" s="142"/>
      <c r="DG506" s="90"/>
      <c r="DH506" s="90"/>
      <c r="DI506" s="90"/>
      <c r="DJ506" s="90"/>
      <c r="DK506" s="90"/>
      <c r="DL506" s="90"/>
      <c r="DM506" s="90"/>
      <c r="DN506" s="90"/>
      <c r="DO506" s="90"/>
      <c r="DP506" s="90"/>
      <c r="DQ506" s="90"/>
      <c r="DR506" s="90"/>
      <c r="DS506" s="90"/>
      <c r="DT506" s="90"/>
      <c r="DU506" s="90"/>
      <c r="DV506" s="90"/>
      <c r="DW506" s="90"/>
      <c r="DX506" s="90"/>
      <c r="DY506" s="90"/>
      <c r="DZ506" s="90"/>
      <c r="EA506" s="90"/>
      <c r="EB506" s="90"/>
      <c r="EC506" s="90"/>
      <c r="ED506" s="90"/>
      <c r="EE506" s="90"/>
      <c r="EF506" s="90"/>
      <c r="EG506" s="90"/>
      <c r="EH506" s="90"/>
      <c r="EI506" s="143"/>
      <c r="EK506" s="142"/>
      <c r="EL506" s="90"/>
      <c r="EM506" s="90"/>
      <c r="EN506" s="90"/>
      <c r="EO506" s="90"/>
      <c r="EP506" s="90"/>
      <c r="EQ506" s="90"/>
      <c r="ER506" s="90"/>
      <c r="ES506" s="90"/>
      <c r="ET506" s="90"/>
      <c r="EU506" s="90"/>
      <c r="EV506" s="90"/>
      <c r="EW506" s="90"/>
      <c r="EX506" s="90"/>
      <c r="EY506" s="90"/>
      <c r="EZ506" s="90"/>
      <c r="FA506" s="90"/>
      <c r="FB506" s="90"/>
      <c r="FC506" s="90"/>
      <c r="FD506" s="90"/>
      <c r="FE506" s="90"/>
      <c r="FF506" s="90"/>
      <c r="FG506" s="90"/>
      <c r="FH506" s="90"/>
      <c r="FI506" s="90"/>
      <c r="FJ506" s="90"/>
      <c r="FK506" s="90"/>
      <c r="FL506" s="90"/>
      <c r="FM506" s="143"/>
    </row>
    <row r="507" spans="30:169" ht="6.95" customHeight="1" x14ac:dyDescent="0.15">
      <c r="AD507" s="153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99"/>
      <c r="BQ507" s="93"/>
      <c r="BR507" s="153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99"/>
      <c r="DF507" s="142"/>
      <c r="DG507" s="90"/>
      <c r="DH507" s="90"/>
      <c r="DI507" s="90"/>
      <c r="DJ507" s="90"/>
      <c r="DK507" s="90"/>
      <c r="DL507" s="90"/>
      <c r="DM507" s="90"/>
      <c r="DN507" s="90"/>
      <c r="DO507" s="90"/>
      <c r="DP507" s="90"/>
      <c r="DQ507" s="90"/>
      <c r="DR507" s="90"/>
      <c r="DS507" s="90"/>
      <c r="DT507" s="90"/>
      <c r="DU507" s="90"/>
      <c r="DV507" s="90"/>
      <c r="DW507" s="90"/>
      <c r="DX507" s="90"/>
      <c r="DY507" s="90"/>
      <c r="DZ507" s="90"/>
      <c r="EA507" s="90"/>
      <c r="EB507" s="90"/>
      <c r="EC507" s="90"/>
      <c r="ED507" s="90"/>
      <c r="EE507" s="90"/>
      <c r="EF507" s="90"/>
      <c r="EG507" s="90"/>
      <c r="EH507" s="90"/>
      <c r="EI507" s="143"/>
      <c r="EK507" s="142"/>
      <c r="EL507" s="90"/>
      <c r="EM507" s="90"/>
      <c r="EN507" s="90"/>
      <c r="EO507" s="90"/>
      <c r="EP507" s="90"/>
      <c r="EQ507" s="90"/>
      <c r="ER507" s="90"/>
      <c r="ES507" s="90"/>
      <c r="ET507" s="90"/>
      <c r="EU507" s="90"/>
      <c r="EV507" s="90"/>
      <c r="EW507" s="90"/>
      <c r="EX507" s="90"/>
      <c r="EY507" s="90"/>
      <c r="EZ507" s="90"/>
      <c r="FA507" s="90"/>
      <c r="FB507" s="90"/>
      <c r="FC507" s="90"/>
      <c r="FD507" s="90"/>
      <c r="FE507" s="90"/>
      <c r="FF507" s="90"/>
      <c r="FG507" s="90"/>
      <c r="FH507" s="90"/>
      <c r="FI507" s="90"/>
      <c r="FJ507" s="90"/>
      <c r="FK507" s="90"/>
      <c r="FL507" s="90"/>
      <c r="FM507" s="143"/>
    </row>
    <row r="508" spans="30:169" ht="6.95" customHeight="1" x14ac:dyDescent="0.15">
      <c r="AD508" s="153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96" t="s">
        <v>42</v>
      </c>
      <c r="BI508" s="196"/>
      <c r="BJ508" s="196"/>
      <c r="BK508" s="196">
        <v>1</v>
      </c>
      <c r="BL508" s="196"/>
      <c r="BM508" s="196" t="s">
        <v>43</v>
      </c>
      <c r="BN508" s="196"/>
      <c r="BO508" s="196"/>
      <c r="BP508" s="99"/>
      <c r="BQ508" s="93"/>
      <c r="BR508" s="153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96"/>
      <c r="CW508" s="196"/>
      <c r="CX508" s="196"/>
      <c r="CY508" s="196"/>
      <c r="CZ508" s="196"/>
      <c r="DA508" s="196"/>
      <c r="DB508" s="196"/>
      <c r="DC508" s="196"/>
      <c r="DD508" s="99"/>
      <c r="DF508" s="142"/>
      <c r="DG508" s="90"/>
      <c r="DH508" s="90"/>
      <c r="DI508" s="90"/>
      <c r="DJ508" s="90"/>
      <c r="DK508" s="90"/>
      <c r="DL508" s="90"/>
      <c r="DM508" s="90"/>
      <c r="DN508" s="90"/>
      <c r="DO508" s="90"/>
      <c r="DP508" s="90"/>
      <c r="DQ508" s="90"/>
      <c r="DR508" s="90"/>
      <c r="DS508" s="90"/>
      <c r="DT508" s="90"/>
      <c r="DU508" s="90"/>
      <c r="DV508" s="90"/>
      <c r="DW508" s="90"/>
      <c r="DX508" s="90"/>
      <c r="DY508" s="90"/>
      <c r="DZ508" s="90"/>
      <c r="EA508" s="90"/>
      <c r="EB508" s="90"/>
      <c r="EC508" s="90"/>
      <c r="ED508" s="90"/>
      <c r="EE508" s="90"/>
      <c r="EF508" s="90"/>
      <c r="EG508" s="90"/>
      <c r="EH508" s="90"/>
      <c r="EI508" s="143"/>
      <c r="EK508" s="142"/>
      <c r="EL508" s="90"/>
      <c r="EM508" s="90"/>
      <c r="EN508" s="90"/>
      <c r="EO508" s="90"/>
      <c r="EP508" s="90"/>
      <c r="EQ508" s="90"/>
      <c r="ER508" s="90"/>
      <c r="ES508" s="90"/>
      <c r="ET508" s="90"/>
      <c r="EU508" s="90"/>
      <c r="EV508" s="90"/>
      <c r="EW508" s="90"/>
      <c r="EX508" s="90"/>
      <c r="EY508" s="90"/>
      <c r="EZ508" s="90"/>
      <c r="FA508" s="90"/>
      <c r="FB508" s="90"/>
      <c r="FC508" s="90"/>
      <c r="FD508" s="90"/>
      <c r="FE508" s="90"/>
      <c r="FF508" s="90"/>
      <c r="FG508" s="90"/>
      <c r="FH508" s="90"/>
      <c r="FI508" s="90"/>
      <c r="FJ508" s="90"/>
      <c r="FK508" s="90"/>
      <c r="FL508" s="90"/>
      <c r="FM508" s="143"/>
    </row>
    <row r="509" spans="30:169" ht="6.95" customHeight="1" x14ac:dyDescent="0.15">
      <c r="AD509" s="153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96"/>
      <c r="BI509" s="196"/>
      <c r="BJ509" s="196"/>
      <c r="BK509" s="196"/>
      <c r="BL509" s="196"/>
      <c r="BM509" s="196"/>
      <c r="BN509" s="196"/>
      <c r="BO509" s="196"/>
      <c r="BP509" s="99"/>
      <c r="BQ509" s="93"/>
      <c r="BR509" s="153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96"/>
      <c r="CW509" s="196"/>
      <c r="CX509" s="196"/>
      <c r="CY509" s="196"/>
      <c r="CZ509" s="196"/>
      <c r="DA509" s="196"/>
      <c r="DB509" s="196"/>
      <c r="DC509" s="196"/>
      <c r="DD509" s="99"/>
      <c r="DF509" s="142"/>
      <c r="DG509" s="90"/>
      <c r="DH509" s="90"/>
      <c r="DI509" s="90"/>
      <c r="DJ509" s="90"/>
      <c r="DK509" s="90"/>
      <c r="DL509" s="90"/>
      <c r="DM509" s="90"/>
      <c r="DN509" s="90"/>
      <c r="DO509" s="90"/>
      <c r="DP509" s="90"/>
      <c r="DQ509" s="90"/>
      <c r="DR509" s="90"/>
      <c r="DS509" s="90"/>
      <c r="DT509" s="90"/>
      <c r="DU509" s="90"/>
      <c r="DV509" s="90"/>
      <c r="DW509" s="90"/>
      <c r="DX509" s="90"/>
      <c r="DY509" s="90"/>
      <c r="DZ509" s="90"/>
      <c r="EA509" s="90"/>
      <c r="EB509" s="90"/>
      <c r="EC509" s="90"/>
      <c r="ED509" s="90"/>
      <c r="EE509" s="90"/>
      <c r="EF509" s="90"/>
      <c r="EG509" s="90"/>
      <c r="EH509" s="90"/>
      <c r="EI509" s="143"/>
      <c r="EK509" s="142"/>
      <c r="EL509" s="90"/>
      <c r="EM509" s="90"/>
      <c r="EN509" s="90"/>
      <c r="EO509" s="90"/>
      <c r="EP509" s="90"/>
      <c r="EQ509" s="90"/>
      <c r="ER509" s="90"/>
      <c r="ES509" s="90"/>
      <c r="ET509" s="90"/>
      <c r="EU509" s="90"/>
      <c r="EV509" s="90"/>
      <c r="EW509" s="90"/>
      <c r="EX509" s="90"/>
      <c r="EY509" s="90"/>
      <c r="EZ509" s="90"/>
      <c r="FA509" s="90"/>
      <c r="FB509" s="90"/>
      <c r="FC509" s="90"/>
      <c r="FD509" s="90"/>
      <c r="FE509" s="90"/>
      <c r="FF509" s="90"/>
      <c r="FG509" s="90"/>
      <c r="FH509" s="90"/>
      <c r="FI509" s="90"/>
      <c r="FJ509" s="90"/>
      <c r="FK509" s="90"/>
      <c r="FL509" s="90"/>
      <c r="FM509" s="143"/>
    </row>
    <row r="510" spans="30:169" ht="6.95" customHeight="1" x14ac:dyDescent="0.15">
      <c r="AD510" s="153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99"/>
      <c r="BQ510" s="93"/>
      <c r="BR510" s="153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99"/>
      <c r="DF510" s="142"/>
      <c r="DG510" s="90"/>
      <c r="DH510" s="90"/>
      <c r="DI510" s="90"/>
      <c r="DJ510" s="90"/>
      <c r="DK510" s="90"/>
      <c r="DL510" s="90"/>
      <c r="DM510" s="90"/>
      <c r="DN510" s="90"/>
      <c r="DO510" s="90"/>
      <c r="DP510" s="90"/>
      <c r="DQ510" s="90"/>
      <c r="DR510" s="90"/>
      <c r="DS510" s="90"/>
      <c r="DT510" s="90"/>
      <c r="DU510" s="90"/>
      <c r="DV510" s="90"/>
      <c r="DW510" s="90"/>
      <c r="DX510" s="90"/>
      <c r="DY510" s="90"/>
      <c r="DZ510" s="90"/>
      <c r="EA510" s="90"/>
      <c r="EB510" s="90"/>
      <c r="EC510" s="90"/>
      <c r="ED510" s="90"/>
      <c r="EE510" s="90"/>
      <c r="EF510" s="90"/>
      <c r="EG510" s="90"/>
      <c r="EH510" s="90"/>
      <c r="EI510" s="143"/>
      <c r="EK510" s="142"/>
      <c r="EL510" s="90"/>
      <c r="EM510" s="90"/>
      <c r="EN510" s="90"/>
      <c r="EO510" s="90"/>
      <c r="EP510" s="90"/>
      <c r="EQ510" s="90"/>
      <c r="ER510" s="90"/>
      <c r="ES510" s="90"/>
      <c r="ET510" s="90"/>
      <c r="EU510" s="90"/>
      <c r="EV510" s="90"/>
      <c r="EW510" s="90"/>
      <c r="EX510" s="90"/>
      <c r="EY510" s="90"/>
      <c r="EZ510" s="90"/>
      <c r="FA510" s="90"/>
      <c r="FB510" s="90"/>
      <c r="FC510" s="90"/>
      <c r="FD510" s="90"/>
      <c r="FE510" s="90"/>
      <c r="FF510" s="90"/>
      <c r="FG510" s="90"/>
      <c r="FH510" s="90"/>
      <c r="FI510" s="90"/>
      <c r="FJ510" s="90"/>
      <c r="FK510" s="90"/>
      <c r="FL510" s="90"/>
      <c r="FM510" s="143"/>
    </row>
    <row r="511" spans="30:169" ht="6.95" customHeight="1" thickBot="1" x14ac:dyDescent="0.2">
      <c r="AD511" s="154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  <c r="BB511" s="100"/>
      <c r="BC511" s="100"/>
      <c r="BD511" s="100"/>
      <c r="BE511" s="100"/>
      <c r="BF511" s="100"/>
      <c r="BG511" s="100"/>
      <c r="BH511" s="100"/>
      <c r="BI511" s="100"/>
      <c r="BJ511" s="100"/>
      <c r="BK511" s="100"/>
      <c r="BL511" s="100"/>
      <c r="BM511" s="100"/>
      <c r="BN511" s="100"/>
      <c r="BO511" s="100"/>
      <c r="BP511" s="101"/>
      <c r="BQ511" s="93"/>
      <c r="BR511" s="154"/>
      <c r="BS511" s="100"/>
      <c r="BT511" s="100"/>
      <c r="BU511" s="100"/>
      <c r="BV511" s="100"/>
      <c r="BW511" s="100"/>
      <c r="BX511" s="100"/>
      <c r="BY511" s="100"/>
      <c r="BZ511" s="100"/>
      <c r="CA511" s="100"/>
      <c r="CB511" s="100"/>
      <c r="CC511" s="100"/>
      <c r="CD511" s="100"/>
      <c r="CE511" s="100"/>
      <c r="CF511" s="100"/>
      <c r="CG511" s="100"/>
      <c r="CH511" s="100"/>
      <c r="CI511" s="100"/>
      <c r="CJ511" s="100"/>
      <c r="CK511" s="100"/>
      <c r="CL511" s="100"/>
      <c r="CM511" s="100"/>
      <c r="CN511" s="100"/>
      <c r="CO511" s="100"/>
      <c r="CP511" s="100"/>
      <c r="CQ511" s="100"/>
      <c r="CR511" s="100"/>
      <c r="CS511" s="100"/>
      <c r="CT511" s="100"/>
      <c r="CU511" s="100"/>
      <c r="CV511" s="100"/>
      <c r="CW511" s="100"/>
      <c r="CX511" s="100"/>
      <c r="CY511" s="100"/>
      <c r="CZ511" s="100"/>
      <c r="DA511" s="100"/>
      <c r="DB511" s="100"/>
      <c r="DC511" s="100"/>
      <c r="DD511" s="101"/>
      <c r="DF511" s="142"/>
      <c r="DG511" s="90"/>
      <c r="DH511" s="90"/>
      <c r="DI511" s="90"/>
      <c r="DJ511" s="90"/>
      <c r="DK511" s="90"/>
      <c r="DL511" s="90"/>
      <c r="DM511" s="90"/>
      <c r="DN511" s="90"/>
      <c r="DO511" s="90"/>
      <c r="DP511" s="90"/>
      <c r="DQ511" s="90"/>
      <c r="DR511" s="90"/>
      <c r="DS511" s="90"/>
      <c r="DT511" s="90"/>
      <c r="DU511" s="90"/>
      <c r="DV511" s="90"/>
      <c r="DW511" s="90"/>
      <c r="DX511" s="90"/>
      <c r="DY511" s="90"/>
      <c r="DZ511" s="90"/>
      <c r="EA511" s="90"/>
      <c r="EB511" s="90"/>
      <c r="EC511" s="90"/>
      <c r="ED511" s="90"/>
      <c r="EE511" s="90"/>
      <c r="EF511" s="90"/>
      <c r="EG511" s="90"/>
      <c r="EH511" s="90"/>
      <c r="EI511" s="143"/>
      <c r="EK511" s="142"/>
      <c r="EL511" s="90"/>
      <c r="EM511" s="90"/>
      <c r="EN511" s="90"/>
      <c r="EO511" s="90"/>
      <c r="EP511" s="90"/>
      <c r="EQ511" s="90"/>
      <c r="ER511" s="90"/>
      <c r="ES511" s="90"/>
      <c r="ET511" s="90"/>
      <c r="EU511" s="90"/>
      <c r="EV511" s="90"/>
      <c r="EW511" s="90"/>
      <c r="EX511" s="90"/>
      <c r="EY511" s="90"/>
      <c r="EZ511" s="90"/>
      <c r="FA511" s="90"/>
      <c r="FB511" s="90"/>
      <c r="FC511" s="90"/>
      <c r="FD511" s="90"/>
      <c r="FE511" s="90"/>
      <c r="FF511" s="90"/>
      <c r="FG511" s="90"/>
      <c r="FH511" s="90"/>
      <c r="FI511" s="90"/>
      <c r="FJ511" s="90"/>
      <c r="FK511" s="90"/>
      <c r="FL511" s="90"/>
      <c r="FM511" s="143"/>
    </row>
    <row r="512" spans="30:169" ht="6.95" customHeight="1" thickBot="1" x14ac:dyDescent="0.2">
      <c r="AD512" s="216">
        <v>750</v>
      </c>
      <c r="AE512" s="216"/>
      <c r="AF512" s="216"/>
      <c r="BR512" s="216">
        <v>750</v>
      </c>
      <c r="BS512" s="216"/>
      <c r="BT512" s="216"/>
      <c r="DF512" s="142"/>
      <c r="DG512" s="90"/>
      <c r="DH512" s="90"/>
      <c r="DI512" s="90"/>
      <c r="DJ512" s="90"/>
      <c r="DK512" s="90"/>
      <c r="DL512" s="90"/>
      <c r="DM512" s="90"/>
      <c r="DN512" s="90"/>
      <c r="DO512" s="90"/>
      <c r="DP512" s="90"/>
      <c r="DQ512" s="90"/>
      <c r="DR512" s="90"/>
      <c r="DS512" s="90"/>
      <c r="DT512" s="90"/>
      <c r="DU512" s="90"/>
      <c r="DV512" s="90"/>
      <c r="DW512" s="90"/>
      <c r="DX512" s="90"/>
      <c r="DY512" s="90"/>
      <c r="DZ512" s="90"/>
      <c r="EA512" s="90"/>
      <c r="EB512" s="90"/>
      <c r="EC512" s="90"/>
      <c r="ED512" s="90"/>
      <c r="EE512" s="90"/>
      <c r="EF512" s="90"/>
      <c r="EG512" s="90"/>
      <c r="EH512" s="90"/>
      <c r="EI512" s="143"/>
      <c r="EK512" s="142"/>
      <c r="EL512" s="90"/>
      <c r="EM512" s="90"/>
      <c r="EN512" s="90"/>
      <c r="EO512" s="90"/>
      <c r="EP512" s="90"/>
      <c r="EQ512" s="90"/>
      <c r="ER512" s="90"/>
      <c r="ES512" s="90"/>
      <c r="ET512" s="90"/>
      <c r="EU512" s="90"/>
      <c r="EV512" s="90"/>
      <c r="EW512" s="90"/>
      <c r="EX512" s="90"/>
      <c r="EY512" s="90"/>
      <c r="EZ512" s="90"/>
      <c r="FA512" s="90"/>
      <c r="FB512" s="90"/>
      <c r="FC512" s="90"/>
      <c r="FD512" s="90"/>
      <c r="FE512" s="90"/>
      <c r="FF512" s="90"/>
      <c r="FG512" s="90"/>
      <c r="FH512" s="90"/>
      <c r="FI512" s="90"/>
      <c r="FJ512" s="90"/>
      <c r="FK512" s="90"/>
      <c r="FL512" s="90"/>
      <c r="FM512" s="143"/>
    </row>
    <row r="513" spans="30:169" ht="6.95" customHeight="1" x14ac:dyDescent="0.15">
      <c r="AD513" s="108" t="s">
        <v>25</v>
      </c>
      <c r="AE513" s="109"/>
      <c r="AF513" s="109"/>
      <c r="AG513" s="109"/>
      <c r="AH513" s="109"/>
      <c r="AI513" s="202" t="s">
        <v>40</v>
      </c>
      <c r="AJ513" s="202"/>
      <c r="AK513" s="202">
        <v>1</v>
      </c>
      <c r="AL513" s="202"/>
      <c r="AM513" s="202" t="s">
        <v>41</v>
      </c>
      <c r="AN513" s="202"/>
      <c r="AO513" s="202"/>
      <c r="AP513" s="202"/>
      <c r="AQ513" s="202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  <c r="BB513" s="204"/>
      <c r="BC513" s="204"/>
      <c r="BD513" s="204"/>
      <c r="BE513" s="204"/>
      <c r="BF513" s="204"/>
      <c r="BG513" s="204"/>
      <c r="BH513" s="204"/>
      <c r="BI513" s="204"/>
      <c r="BJ513" s="204"/>
      <c r="BK513" s="204"/>
      <c r="BL513" s="204"/>
      <c r="BM513" s="206">
        <f>SUM(AR531,BK531,AR539,BK539,BK556,BK563)*AK513</f>
        <v>22</v>
      </c>
      <c r="BN513" s="206"/>
      <c r="BO513" s="206"/>
      <c r="BP513" s="208"/>
      <c r="BR513" s="108" t="s">
        <v>25</v>
      </c>
      <c r="BS513" s="109"/>
      <c r="BT513" s="109"/>
      <c r="BU513" s="109"/>
      <c r="BV513" s="109"/>
      <c r="BW513" s="202" t="s">
        <v>40</v>
      </c>
      <c r="BX513" s="202"/>
      <c r="BY513" s="202">
        <v>1</v>
      </c>
      <c r="BZ513" s="202"/>
      <c r="CA513" s="202" t="s">
        <v>41</v>
      </c>
      <c r="CB513" s="202"/>
      <c r="CC513" s="202"/>
      <c r="CD513" s="202"/>
      <c r="CE513" s="202"/>
      <c r="CF513" s="204"/>
      <c r="CG513" s="204"/>
      <c r="CH513" s="204"/>
      <c r="CI513" s="204"/>
      <c r="CJ513" s="204"/>
      <c r="CK513" s="204"/>
      <c r="CL513" s="204"/>
      <c r="CM513" s="204"/>
      <c r="CN513" s="204"/>
      <c r="CO513" s="204"/>
      <c r="CP513" s="204"/>
      <c r="CQ513" s="204"/>
      <c r="CR513" s="204"/>
      <c r="CS513" s="204"/>
      <c r="CT513" s="204"/>
      <c r="CU513" s="204"/>
      <c r="CV513" s="204"/>
      <c r="CW513" s="204"/>
      <c r="CX513" s="204"/>
      <c r="CY513" s="204"/>
      <c r="CZ513" s="204"/>
      <c r="DA513" s="206">
        <f>SUM(CF531,CY531,CF539,CY539,CY556,CK559,CK551)*BY513</f>
        <v>12</v>
      </c>
      <c r="DB513" s="206"/>
      <c r="DC513" s="206"/>
      <c r="DD513" s="208"/>
      <c r="DF513" s="142"/>
      <c r="DG513" s="90"/>
      <c r="DH513" s="90"/>
      <c r="DI513" s="90"/>
      <c r="DJ513" s="90"/>
      <c r="DK513" s="90"/>
      <c r="DL513" s="90"/>
      <c r="DM513" s="90"/>
      <c r="DN513" s="90"/>
      <c r="DO513" s="90"/>
      <c r="DP513" s="90"/>
      <c r="DQ513" s="90"/>
      <c r="DR513" s="90"/>
      <c r="DS513" s="90"/>
      <c r="DT513" s="90"/>
      <c r="DU513" s="90"/>
      <c r="DV513" s="90"/>
      <c r="DW513" s="90"/>
      <c r="DX513" s="90"/>
      <c r="DY513" s="90"/>
      <c r="DZ513" s="90"/>
      <c r="EA513" s="90"/>
      <c r="EB513" s="90"/>
      <c r="EC513" s="90"/>
      <c r="ED513" s="90"/>
      <c r="EE513" s="90"/>
      <c r="EF513" s="90"/>
      <c r="EG513" s="90"/>
      <c r="EH513" s="90"/>
      <c r="EI513" s="143"/>
      <c r="EK513" s="142"/>
      <c r="EL513" s="90"/>
      <c r="EM513" s="90"/>
      <c r="EN513" s="90"/>
      <c r="EO513" s="90"/>
      <c r="EP513" s="90"/>
      <c r="EQ513" s="90"/>
      <c r="ER513" s="90"/>
      <c r="ES513" s="90"/>
      <c r="ET513" s="90"/>
      <c r="EU513" s="90"/>
      <c r="EV513" s="90"/>
      <c r="EW513" s="90"/>
      <c r="EX513" s="90"/>
      <c r="EY513" s="90"/>
      <c r="EZ513" s="90"/>
      <c r="FA513" s="90"/>
      <c r="FB513" s="90"/>
      <c r="FC513" s="90"/>
      <c r="FD513" s="90"/>
      <c r="FE513" s="90"/>
      <c r="FF513" s="90"/>
      <c r="FG513" s="90"/>
      <c r="FH513" s="90"/>
      <c r="FI513" s="90"/>
      <c r="FJ513" s="90"/>
      <c r="FK513" s="90"/>
      <c r="FL513" s="90"/>
      <c r="FM513" s="143"/>
    </row>
    <row r="514" spans="30:169" ht="6.95" customHeight="1" thickBot="1" x14ac:dyDescent="0.2">
      <c r="AD514" s="80"/>
      <c r="AE514" s="81"/>
      <c r="AF514" s="81"/>
      <c r="AG514" s="81"/>
      <c r="AH514" s="81"/>
      <c r="AI514" s="203"/>
      <c r="AJ514" s="203"/>
      <c r="AK514" s="203"/>
      <c r="AL514" s="203"/>
      <c r="AM514" s="203"/>
      <c r="AN514" s="203"/>
      <c r="AO514" s="203"/>
      <c r="AP514" s="203"/>
      <c r="AQ514" s="203"/>
      <c r="AR514" s="205"/>
      <c r="AS514" s="205"/>
      <c r="AT514" s="205"/>
      <c r="AU514" s="205"/>
      <c r="AV514" s="205"/>
      <c r="AW514" s="205"/>
      <c r="AX514" s="205"/>
      <c r="AY514" s="205"/>
      <c r="AZ514" s="205"/>
      <c r="BA514" s="205"/>
      <c r="BB514" s="205"/>
      <c r="BC514" s="205"/>
      <c r="BD514" s="205"/>
      <c r="BE514" s="205"/>
      <c r="BF514" s="205"/>
      <c r="BG514" s="205"/>
      <c r="BH514" s="205"/>
      <c r="BI514" s="205"/>
      <c r="BJ514" s="205"/>
      <c r="BK514" s="205"/>
      <c r="BL514" s="205"/>
      <c r="BM514" s="207"/>
      <c r="BN514" s="207"/>
      <c r="BO514" s="207"/>
      <c r="BP514" s="209"/>
      <c r="BR514" s="80"/>
      <c r="BS514" s="81"/>
      <c r="BT514" s="81"/>
      <c r="BU514" s="81"/>
      <c r="BV514" s="81"/>
      <c r="BW514" s="203"/>
      <c r="BX514" s="203"/>
      <c r="BY514" s="203"/>
      <c r="BZ514" s="203"/>
      <c r="CA514" s="203"/>
      <c r="CB514" s="203"/>
      <c r="CC514" s="203"/>
      <c r="CD514" s="203"/>
      <c r="CE514" s="203"/>
      <c r="CF514" s="205"/>
      <c r="CG514" s="205"/>
      <c r="CH514" s="205"/>
      <c r="CI514" s="205"/>
      <c r="CJ514" s="205"/>
      <c r="CK514" s="205"/>
      <c r="CL514" s="205"/>
      <c r="CM514" s="205"/>
      <c r="CN514" s="205"/>
      <c r="CO514" s="205"/>
      <c r="CP514" s="205"/>
      <c r="CQ514" s="205"/>
      <c r="CR514" s="205"/>
      <c r="CS514" s="205"/>
      <c r="CT514" s="205"/>
      <c r="CU514" s="205"/>
      <c r="CV514" s="205"/>
      <c r="CW514" s="205"/>
      <c r="CX514" s="205"/>
      <c r="CY514" s="205"/>
      <c r="CZ514" s="205"/>
      <c r="DA514" s="207"/>
      <c r="DB514" s="207"/>
      <c r="DC514" s="207"/>
      <c r="DD514" s="209"/>
      <c r="DF514" s="142"/>
      <c r="DG514" s="90"/>
      <c r="DH514" s="90"/>
      <c r="DI514" s="90"/>
      <c r="DJ514" s="90"/>
      <c r="DK514" s="90"/>
      <c r="DL514" s="90"/>
      <c r="DM514" s="90"/>
      <c r="DN514" s="90"/>
      <c r="DO514" s="90"/>
      <c r="DP514" s="90"/>
      <c r="DQ514" s="90"/>
      <c r="DR514" s="90"/>
      <c r="DS514" s="90"/>
      <c r="DT514" s="90"/>
      <c r="DU514" s="90"/>
      <c r="DV514" s="90"/>
      <c r="DW514" s="90"/>
      <c r="DX514" s="90"/>
      <c r="DY514" s="90"/>
      <c r="DZ514" s="90"/>
      <c r="EA514" s="90"/>
      <c r="EB514" s="90"/>
      <c r="EC514" s="90"/>
      <c r="ED514" s="90"/>
      <c r="EE514" s="90"/>
      <c r="EF514" s="90"/>
      <c r="EG514" s="90"/>
      <c r="EH514" s="90"/>
      <c r="EI514" s="143"/>
      <c r="EK514" s="142"/>
      <c r="EL514" s="90"/>
      <c r="EM514" s="90"/>
      <c r="EN514" s="90"/>
      <c r="EO514" s="90"/>
      <c r="EP514" s="90"/>
      <c r="EQ514" s="90"/>
      <c r="ER514" s="90"/>
      <c r="ES514" s="90"/>
      <c r="ET514" s="90"/>
      <c r="EU514" s="90"/>
      <c r="EV514" s="90"/>
      <c r="EW514" s="90"/>
      <c r="EX514" s="90"/>
      <c r="EY514" s="90"/>
      <c r="EZ514" s="90"/>
      <c r="FA514" s="90"/>
      <c r="FB514" s="90"/>
      <c r="FC514" s="90"/>
      <c r="FD514" s="90"/>
      <c r="FE514" s="90"/>
      <c r="FF514" s="90"/>
      <c r="FG514" s="90"/>
      <c r="FH514" s="90"/>
      <c r="FI514" s="90"/>
      <c r="FJ514" s="90"/>
      <c r="FK514" s="90"/>
      <c r="FL514" s="90"/>
      <c r="FM514" s="143"/>
    </row>
    <row r="515" spans="30:169" ht="6.95" customHeight="1" x14ac:dyDescent="0.15">
      <c r="AD515" s="5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1"/>
      <c r="BI515" s="1"/>
      <c r="BJ515" s="1"/>
      <c r="BK515" s="1"/>
      <c r="BL515" s="1"/>
      <c r="BM515" s="1"/>
      <c r="BN515" s="1"/>
      <c r="BO515" s="1"/>
      <c r="BP515" s="98"/>
      <c r="BR515" s="5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1"/>
      <c r="CW515" s="1"/>
      <c r="CX515" s="1"/>
      <c r="CY515" s="1"/>
      <c r="CZ515" s="1"/>
      <c r="DA515" s="1"/>
      <c r="DB515" s="1"/>
      <c r="DC515" s="1"/>
      <c r="DD515" s="98"/>
      <c r="DF515" s="142"/>
      <c r="DG515" s="90"/>
      <c r="DH515" s="90"/>
      <c r="DI515" s="90"/>
      <c r="DJ515" s="90"/>
      <c r="DK515" s="90"/>
      <c r="DL515" s="90"/>
      <c r="DM515" s="90"/>
      <c r="DN515" s="90"/>
      <c r="DO515" s="90"/>
      <c r="DP515" s="90"/>
      <c r="DQ515" s="90"/>
      <c r="DR515" s="90"/>
      <c r="DS515" s="90"/>
      <c r="DT515" s="90"/>
      <c r="DU515" s="90"/>
      <c r="DV515" s="90"/>
      <c r="DW515" s="90"/>
      <c r="DX515" s="90"/>
      <c r="DY515" s="90"/>
      <c r="DZ515" s="90"/>
      <c r="EA515" s="90"/>
      <c r="EB515" s="90"/>
      <c r="EC515" s="90"/>
      <c r="ED515" s="90"/>
      <c r="EE515" s="90"/>
      <c r="EF515" s="90"/>
      <c r="EG515" s="90"/>
      <c r="EH515" s="90"/>
      <c r="EI515" s="143"/>
      <c r="EK515" s="142"/>
      <c r="EL515" s="90"/>
      <c r="EM515" s="90"/>
      <c r="EN515" s="90"/>
      <c r="EO515" s="90"/>
      <c r="EP515" s="90"/>
      <c r="EQ515" s="90"/>
      <c r="ER515" s="90"/>
      <c r="ES515" s="90"/>
      <c r="ET515" s="90"/>
      <c r="EU515" s="90"/>
      <c r="EV515" s="90"/>
      <c r="EW515" s="90"/>
      <c r="EX515" s="90"/>
      <c r="EY515" s="90"/>
      <c r="EZ515" s="90"/>
      <c r="FA515" s="90"/>
      <c r="FB515" s="90"/>
      <c r="FC515" s="90"/>
      <c r="FD515" s="90"/>
      <c r="FE515" s="90"/>
      <c r="FF515" s="90"/>
      <c r="FG515" s="90"/>
      <c r="FH515" s="90"/>
      <c r="FI515" s="90"/>
      <c r="FJ515" s="90"/>
      <c r="FK515" s="90"/>
      <c r="FL515" s="90"/>
      <c r="FM515" s="143"/>
    </row>
    <row r="516" spans="30:169" ht="6.95" customHeight="1" x14ac:dyDescent="0.15">
      <c r="AD516" s="5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1"/>
      <c r="BI516" s="1"/>
      <c r="BJ516" s="1"/>
      <c r="BK516" s="1"/>
      <c r="BL516" s="1"/>
      <c r="BM516" s="1"/>
      <c r="BN516" s="1"/>
      <c r="BO516" s="1"/>
      <c r="BP516" s="99"/>
      <c r="BR516" s="5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1"/>
      <c r="CW516" s="1"/>
      <c r="CX516" s="1"/>
      <c r="CY516" s="1"/>
      <c r="CZ516" s="1"/>
      <c r="DA516" s="1"/>
      <c r="DB516" s="1"/>
      <c r="DC516" s="1"/>
      <c r="DD516" s="99"/>
      <c r="DF516" s="142"/>
      <c r="DG516" s="90"/>
      <c r="DH516" s="90"/>
      <c r="DI516" s="90"/>
      <c r="DJ516" s="90"/>
      <c r="DK516" s="90"/>
      <c r="DL516" s="90"/>
      <c r="DM516" s="90"/>
      <c r="DN516" s="90"/>
      <c r="DO516" s="90"/>
      <c r="DP516" s="90"/>
      <c r="DQ516" s="90"/>
      <c r="DR516" s="90"/>
      <c r="DS516" s="90"/>
      <c r="DT516" s="90"/>
      <c r="DU516" s="90"/>
      <c r="DV516" s="90"/>
      <c r="DW516" s="90"/>
      <c r="DX516" s="90"/>
      <c r="DY516" s="90"/>
      <c r="DZ516" s="90"/>
      <c r="EA516" s="90"/>
      <c r="EB516" s="90"/>
      <c r="EC516" s="90"/>
      <c r="ED516" s="90"/>
      <c r="EE516" s="90"/>
      <c r="EF516" s="90"/>
      <c r="EG516" s="90"/>
      <c r="EH516" s="90"/>
      <c r="EI516" s="143"/>
      <c r="EK516" s="142"/>
      <c r="EL516" s="90"/>
      <c r="EM516" s="90"/>
      <c r="EN516" s="90"/>
      <c r="EO516" s="90"/>
      <c r="EP516" s="90"/>
      <c r="EQ516" s="90"/>
      <c r="ER516" s="90"/>
      <c r="ES516" s="90"/>
      <c r="ET516" s="90"/>
      <c r="EU516" s="90"/>
      <c r="EV516" s="90"/>
      <c r="EW516" s="90"/>
      <c r="EX516" s="90"/>
      <c r="EY516" s="90"/>
      <c r="EZ516" s="90"/>
      <c r="FA516" s="90"/>
      <c r="FB516" s="90"/>
      <c r="FC516" s="90"/>
      <c r="FD516" s="90"/>
      <c r="FE516" s="90"/>
      <c r="FF516" s="90"/>
      <c r="FG516" s="90"/>
      <c r="FH516" s="90"/>
      <c r="FI516" s="90"/>
      <c r="FJ516" s="90"/>
      <c r="FK516" s="90"/>
      <c r="FL516" s="90"/>
      <c r="FM516" s="143"/>
    </row>
    <row r="517" spans="30:169" ht="6.95" customHeight="1" x14ac:dyDescent="0.15">
      <c r="AD517" s="5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1"/>
      <c r="BI517" s="1"/>
      <c r="BJ517" s="1"/>
      <c r="BK517" s="1"/>
      <c r="BL517" s="1"/>
      <c r="BM517" s="1"/>
      <c r="BN517" s="1"/>
      <c r="BO517" s="1"/>
      <c r="BP517" s="99"/>
      <c r="BR517" s="5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1"/>
      <c r="CW517" s="1"/>
      <c r="CX517" s="1"/>
      <c r="CY517" s="1"/>
      <c r="CZ517" s="1"/>
      <c r="DA517" s="1"/>
      <c r="DB517" s="1"/>
      <c r="DC517" s="1"/>
      <c r="DD517" s="99"/>
      <c r="DF517" s="142"/>
      <c r="DG517" s="90"/>
      <c r="DH517" s="90"/>
      <c r="DI517" s="90"/>
      <c r="DJ517" s="90"/>
      <c r="DK517" s="90"/>
      <c r="DL517" s="90"/>
      <c r="DM517" s="90"/>
      <c r="DN517" s="90"/>
      <c r="DO517" s="90"/>
      <c r="DP517" s="90"/>
      <c r="DQ517" s="90"/>
      <c r="DR517" s="90"/>
      <c r="DS517" s="90"/>
      <c r="DT517" s="90"/>
      <c r="DU517" s="90"/>
      <c r="DV517" s="90"/>
      <c r="DW517" s="90"/>
      <c r="DX517" s="90"/>
      <c r="DY517" s="90"/>
      <c r="DZ517" s="90"/>
      <c r="EA517" s="90"/>
      <c r="EB517" s="90"/>
      <c r="EC517" s="90"/>
      <c r="ED517" s="90"/>
      <c r="EE517" s="90"/>
      <c r="EF517" s="90"/>
      <c r="EG517" s="90"/>
      <c r="EH517" s="90"/>
      <c r="EI517" s="143"/>
      <c r="EK517" s="142"/>
      <c r="EL517" s="90"/>
      <c r="EM517" s="90"/>
      <c r="EN517" s="90"/>
      <c r="EO517" s="90"/>
      <c r="EP517" s="90"/>
      <c r="EQ517" s="90"/>
      <c r="ER517" s="90"/>
      <c r="ES517" s="90"/>
      <c r="ET517" s="90"/>
      <c r="EU517" s="90"/>
      <c r="EV517" s="90"/>
      <c r="EW517" s="90"/>
      <c r="EX517" s="90"/>
      <c r="EY517" s="90"/>
      <c r="EZ517" s="90"/>
      <c r="FA517" s="90"/>
      <c r="FB517" s="90"/>
      <c r="FC517" s="90"/>
      <c r="FD517" s="90"/>
      <c r="FE517" s="90"/>
      <c r="FF517" s="90"/>
      <c r="FG517" s="90"/>
      <c r="FH517" s="90"/>
      <c r="FI517" s="90"/>
      <c r="FJ517" s="90"/>
      <c r="FK517" s="90"/>
      <c r="FL517" s="90"/>
      <c r="FM517" s="143"/>
    </row>
    <row r="518" spans="30:169" ht="6.95" customHeight="1" x14ac:dyDescent="0.15">
      <c r="AD518" s="5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1"/>
      <c r="BI518" s="1"/>
      <c r="BJ518" s="1"/>
      <c r="BK518" s="1"/>
      <c r="BL518" s="1"/>
      <c r="BM518" s="1"/>
      <c r="BN518" s="1"/>
      <c r="BO518" s="1"/>
      <c r="BP518" s="99"/>
      <c r="BR518" s="5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1"/>
      <c r="CW518" s="1"/>
      <c r="CX518" s="1"/>
      <c r="CY518" s="1"/>
      <c r="CZ518" s="1"/>
      <c r="DA518" s="1"/>
      <c r="DB518" s="1"/>
      <c r="DC518" s="1"/>
      <c r="DD518" s="99"/>
      <c r="DF518" s="142"/>
      <c r="DG518" s="90"/>
      <c r="DH518" s="90"/>
      <c r="DI518" s="90"/>
      <c r="DJ518" s="90"/>
      <c r="DK518" s="90"/>
      <c r="DL518" s="90"/>
      <c r="DM518" s="90"/>
      <c r="DN518" s="90"/>
      <c r="DO518" s="90"/>
      <c r="DP518" s="90"/>
      <c r="DQ518" s="90"/>
      <c r="DR518" s="90"/>
      <c r="DS518" s="90"/>
      <c r="DT518" s="90"/>
      <c r="DU518" s="90"/>
      <c r="DV518" s="90"/>
      <c r="DW518" s="90"/>
      <c r="DX518" s="90"/>
      <c r="DY518" s="90"/>
      <c r="DZ518" s="90"/>
      <c r="EA518" s="90"/>
      <c r="EB518" s="90"/>
      <c r="EC518" s="90"/>
      <c r="ED518" s="90"/>
      <c r="EE518" s="90"/>
      <c r="EF518" s="90"/>
      <c r="EG518" s="90"/>
      <c r="EH518" s="90"/>
      <c r="EI518" s="143"/>
      <c r="EK518" s="142"/>
      <c r="EL518" s="90"/>
      <c r="EM518" s="90"/>
      <c r="EN518" s="90"/>
      <c r="EO518" s="90"/>
      <c r="EP518" s="90"/>
      <c r="EQ518" s="90"/>
      <c r="ER518" s="90"/>
      <c r="ES518" s="90"/>
      <c r="ET518" s="90"/>
      <c r="EU518" s="90"/>
      <c r="EV518" s="90"/>
      <c r="EW518" s="90"/>
      <c r="EX518" s="90"/>
      <c r="EY518" s="90"/>
      <c r="EZ518" s="90"/>
      <c r="FA518" s="90"/>
      <c r="FB518" s="90"/>
      <c r="FC518" s="90"/>
      <c r="FD518" s="90"/>
      <c r="FE518" s="90"/>
      <c r="FF518" s="90"/>
      <c r="FG518" s="90"/>
      <c r="FH518" s="90"/>
      <c r="FI518" s="90"/>
      <c r="FJ518" s="90"/>
      <c r="FK518" s="90"/>
      <c r="FL518" s="90"/>
      <c r="FM518" s="143"/>
    </row>
    <row r="519" spans="30:169" ht="6.95" customHeight="1" x14ac:dyDescent="0.15">
      <c r="AD519" s="5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1"/>
      <c r="BI519" s="1"/>
      <c r="BJ519" s="1"/>
      <c r="BK519" s="1"/>
      <c r="BL519" s="1"/>
      <c r="BM519" s="1"/>
      <c r="BN519" s="1"/>
      <c r="BO519" s="1"/>
      <c r="BP519" s="99"/>
      <c r="BR519" s="5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1"/>
      <c r="CW519" s="1"/>
      <c r="CX519" s="1"/>
      <c r="CY519" s="1"/>
      <c r="CZ519" s="1"/>
      <c r="DA519" s="1"/>
      <c r="DB519" s="1"/>
      <c r="DC519" s="1"/>
      <c r="DD519" s="99"/>
      <c r="DF519" s="142"/>
      <c r="DG519" s="90"/>
      <c r="DH519" s="90"/>
      <c r="DI519" s="90"/>
      <c r="DJ519" s="90"/>
      <c r="DK519" s="90"/>
      <c r="DL519" s="90"/>
      <c r="DM519" s="90"/>
      <c r="DN519" s="90"/>
      <c r="DO519" s="90"/>
      <c r="DP519" s="90"/>
      <c r="DQ519" s="90"/>
      <c r="DR519" s="90"/>
      <c r="DS519" s="90"/>
      <c r="DT519" s="90"/>
      <c r="DU519" s="90"/>
      <c r="DV519" s="90"/>
      <c r="DW519" s="90"/>
      <c r="DX519" s="90"/>
      <c r="DY519" s="90"/>
      <c r="DZ519" s="90"/>
      <c r="EA519" s="90"/>
      <c r="EB519" s="90"/>
      <c r="EC519" s="90"/>
      <c r="ED519" s="90"/>
      <c r="EE519" s="90"/>
      <c r="EF519" s="90"/>
      <c r="EG519" s="90"/>
      <c r="EH519" s="90"/>
      <c r="EI519" s="143"/>
      <c r="EK519" s="142"/>
      <c r="EL519" s="90"/>
      <c r="EM519" s="90"/>
      <c r="EN519" s="90"/>
      <c r="EO519" s="90"/>
      <c r="EP519" s="90"/>
      <c r="EQ519" s="90"/>
      <c r="ER519" s="90"/>
      <c r="ES519" s="90"/>
      <c r="ET519" s="90"/>
      <c r="EU519" s="90"/>
      <c r="EV519" s="90"/>
      <c r="EW519" s="90"/>
      <c r="EX519" s="90"/>
      <c r="EY519" s="90"/>
      <c r="EZ519" s="90"/>
      <c r="FA519" s="90"/>
      <c r="FB519" s="90"/>
      <c r="FC519" s="90"/>
      <c r="FD519" s="90"/>
      <c r="FE519" s="90"/>
      <c r="FF519" s="90"/>
      <c r="FG519" s="90"/>
      <c r="FH519" s="90"/>
      <c r="FI519" s="90"/>
      <c r="FJ519" s="90"/>
      <c r="FK519" s="90"/>
      <c r="FL519" s="90"/>
      <c r="FM519" s="143"/>
    </row>
    <row r="520" spans="30:169" ht="6.95" customHeight="1" x14ac:dyDescent="0.15">
      <c r="AD520" s="5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1"/>
      <c r="BI520" s="1"/>
      <c r="BJ520" s="1"/>
      <c r="BK520" s="1"/>
      <c r="BL520" s="1"/>
      <c r="BM520" s="1"/>
      <c r="BN520" s="1"/>
      <c r="BO520" s="1"/>
      <c r="BP520" s="99"/>
      <c r="BR520" s="5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1"/>
      <c r="CW520" s="1"/>
      <c r="CX520" s="1"/>
      <c r="CY520" s="1"/>
      <c r="CZ520" s="1"/>
      <c r="DA520" s="1"/>
      <c r="DB520" s="1"/>
      <c r="DC520" s="1"/>
      <c r="DD520" s="99"/>
      <c r="DF520" s="142"/>
      <c r="DG520" s="90"/>
      <c r="DH520" s="90"/>
      <c r="DI520" s="90"/>
      <c r="DJ520" s="90"/>
      <c r="DK520" s="90"/>
      <c r="DL520" s="90"/>
      <c r="DM520" s="90"/>
      <c r="DN520" s="90"/>
      <c r="DO520" s="90"/>
      <c r="DP520" s="90"/>
      <c r="DQ520" s="90"/>
      <c r="DR520" s="90"/>
      <c r="DS520" s="90"/>
      <c r="DT520" s="90"/>
      <c r="DU520" s="90"/>
      <c r="DV520" s="90"/>
      <c r="DW520" s="90"/>
      <c r="DX520" s="90"/>
      <c r="DY520" s="90"/>
      <c r="DZ520" s="90"/>
      <c r="EA520" s="90"/>
      <c r="EB520" s="90"/>
      <c r="EC520" s="90"/>
      <c r="ED520" s="90"/>
      <c r="EE520" s="90"/>
      <c r="EF520" s="90"/>
      <c r="EG520" s="90"/>
      <c r="EH520" s="90"/>
      <c r="EI520" s="143"/>
      <c r="EK520" s="142"/>
      <c r="EL520" s="90"/>
      <c r="EM520" s="90"/>
      <c r="EN520" s="90"/>
      <c r="EO520" s="90"/>
      <c r="EP520" s="90"/>
      <c r="EQ520" s="90"/>
      <c r="ER520" s="90"/>
      <c r="ES520" s="90"/>
      <c r="ET520" s="90"/>
      <c r="EU520" s="90"/>
      <c r="EV520" s="90"/>
      <c r="EW520" s="90"/>
      <c r="EX520" s="90"/>
      <c r="EY520" s="90"/>
      <c r="EZ520" s="90"/>
      <c r="FA520" s="90"/>
      <c r="FB520" s="90"/>
      <c r="FC520" s="90"/>
      <c r="FD520" s="90"/>
      <c r="FE520" s="90"/>
      <c r="FF520" s="90"/>
      <c r="FG520" s="90"/>
      <c r="FH520" s="90"/>
      <c r="FI520" s="90"/>
      <c r="FJ520" s="90"/>
      <c r="FK520" s="90"/>
      <c r="FL520" s="90"/>
      <c r="FM520" s="143"/>
    </row>
    <row r="521" spans="30:169" ht="6.95" customHeight="1" x14ac:dyDescent="0.15">
      <c r="AD521" s="5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1"/>
      <c r="BI521" s="1"/>
      <c r="BJ521" s="1"/>
      <c r="BK521" s="1"/>
      <c r="BL521" s="1"/>
      <c r="BM521" s="1"/>
      <c r="BN521" s="1"/>
      <c r="BO521" s="1"/>
      <c r="BP521" s="99"/>
      <c r="BR521" s="5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1"/>
      <c r="CW521" s="1"/>
      <c r="CX521" s="1"/>
      <c r="CY521" s="1"/>
      <c r="CZ521" s="1"/>
      <c r="DA521" s="1"/>
      <c r="DB521" s="1"/>
      <c r="DC521" s="1"/>
      <c r="DD521" s="99"/>
      <c r="DF521" s="142"/>
      <c r="DG521" s="90"/>
      <c r="DH521" s="90"/>
      <c r="DI521" s="90"/>
      <c r="DJ521" s="90"/>
      <c r="DK521" s="90"/>
      <c r="DL521" s="90"/>
      <c r="DM521" s="90"/>
      <c r="DN521" s="90"/>
      <c r="DO521" s="90"/>
      <c r="DP521" s="90"/>
      <c r="DQ521" s="90"/>
      <c r="DR521" s="90"/>
      <c r="DS521" s="90"/>
      <c r="DT521" s="90"/>
      <c r="DU521" s="90"/>
      <c r="DV521" s="90"/>
      <c r="DW521" s="90"/>
      <c r="DX521" s="90"/>
      <c r="DY521" s="90"/>
      <c r="DZ521" s="90"/>
      <c r="EA521" s="90"/>
      <c r="EB521" s="90"/>
      <c r="EC521" s="90"/>
      <c r="ED521" s="90"/>
      <c r="EE521" s="90"/>
      <c r="EF521" s="90"/>
      <c r="EG521" s="90"/>
      <c r="EH521" s="90"/>
      <c r="EI521" s="143"/>
      <c r="EK521" s="142"/>
      <c r="EL521" s="90"/>
      <c r="EM521" s="90"/>
      <c r="EN521" s="90"/>
      <c r="EO521" s="90"/>
      <c r="EP521" s="90"/>
      <c r="EQ521" s="90"/>
      <c r="ER521" s="90"/>
      <c r="ES521" s="90"/>
      <c r="ET521" s="90"/>
      <c r="EU521" s="90"/>
      <c r="EV521" s="90"/>
      <c r="EW521" s="90"/>
      <c r="EX521" s="90"/>
      <c r="EY521" s="90"/>
      <c r="EZ521" s="90"/>
      <c r="FA521" s="90"/>
      <c r="FB521" s="90"/>
      <c r="FC521" s="90"/>
      <c r="FD521" s="90"/>
      <c r="FE521" s="90"/>
      <c r="FF521" s="90"/>
      <c r="FG521" s="90"/>
      <c r="FH521" s="90"/>
      <c r="FI521" s="90"/>
      <c r="FJ521" s="90"/>
      <c r="FK521" s="90"/>
      <c r="FL521" s="90"/>
      <c r="FM521" s="143"/>
    </row>
    <row r="522" spans="30:169" ht="6.95" customHeight="1" x14ac:dyDescent="0.15">
      <c r="AD522" s="210">
        <v>4</v>
      </c>
      <c r="AE522" s="211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1"/>
      <c r="BI522" s="1"/>
      <c r="BJ522" s="1"/>
      <c r="BK522" s="1"/>
      <c r="BL522" s="1"/>
      <c r="BM522" s="1"/>
      <c r="BN522" s="1"/>
      <c r="BO522" s="1"/>
      <c r="BP522" s="99"/>
      <c r="BR522" s="210">
        <v>3</v>
      </c>
      <c r="BS522" s="211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1"/>
      <c r="CW522" s="1"/>
      <c r="CX522" s="1"/>
      <c r="CY522" s="1"/>
      <c r="CZ522" s="1"/>
      <c r="DA522" s="1"/>
      <c r="DB522" s="1"/>
      <c r="DC522" s="1"/>
      <c r="DD522" s="99"/>
      <c r="DF522" s="142"/>
      <c r="DG522" s="90"/>
      <c r="DH522" s="90"/>
      <c r="DI522" s="90"/>
      <c r="DJ522" s="90"/>
      <c r="DK522" s="90"/>
      <c r="DL522" s="90"/>
      <c r="DM522" s="90"/>
      <c r="DN522" s="90"/>
      <c r="DO522" s="90"/>
      <c r="DP522" s="90"/>
      <c r="DQ522" s="90"/>
      <c r="DR522" s="90"/>
      <c r="DS522" s="90"/>
      <c r="DT522" s="90"/>
      <c r="DU522" s="90"/>
      <c r="DV522" s="90"/>
      <c r="DW522" s="90"/>
      <c r="DX522" s="90"/>
      <c r="DY522" s="90"/>
      <c r="DZ522" s="90"/>
      <c r="EA522" s="90"/>
      <c r="EB522" s="90"/>
      <c r="EC522" s="90"/>
      <c r="ED522" s="90"/>
      <c r="EE522" s="90"/>
      <c r="EF522" s="90"/>
      <c r="EG522" s="90"/>
      <c r="EH522" s="90"/>
      <c r="EI522" s="143"/>
      <c r="EK522" s="142"/>
      <c r="EL522" s="90"/>
      <c r="EM522" s="90"/>
      <c r="EN522" s="90"/>
      <c r="EO522" s="90"/>
      <c r="EP522" s="90"/>
      <c r="EQ522" s="90"/>
      <c r="ER522" s="90"/>
      <c r="ES522" s="90"/>
      <c r="ET522" s="90"/>
      <c r="EU522" s="90"/>
      <c r="EV522" s="90"/>
      <c r="EW522" s="90"/>
      <c r="EX522" s="90"/>
      <c r="EY522" s="90"/>
      <c r="EZ522" s="90"/>
      <c r="FA522" s="90"/>
      <c r="FB522" s="90"/>
      <c r="FC522" s="90"/>
      <c r="FD522" s="90"/>
      <c r="FE522" s="90"/>
      <c r="FF522" s="90"/>
      <c r="FG522" s="90"/>
      <c r="FH522" s="90"/>
      <c r="FI522" s="90"/>
      <c r="FJ522" s="90"/>
      <c r="FK522" s="90"/>
      <c r="FL522" s="90"/>
      <c r="FM522" s="143"/>
    </row>
    <row r="523" spans="30:169" ht="6.95" customHeight="1" thickBot="1" x14ac:dyDescent="0.2">
      <c r="AD523" s="212"/>
      <c r="AE523" s="21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100"/>
      <c r="BI523" s="100"/>
      <c r="BJ523" s="100"/>
      <c r="BK523" s="100"/>
      <c r="BL523" s="100"/>
      <c r="BM523" s="100"/>
      <c r="BN523" s="100"/>
      <c r="BO523" s="100"/>
      <c r="BP523" s="101"/>
      <c r="BR523" s="212"/>
      <c r="BS523" s="21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  <c r="CG523" s="53"/>
      <c r="CH523" s="53"/>
      <c r="CI523" s="53"/>
      <c r="CJ523" s="53"/>
      <c r="CK523" s="53"/>
      <c r="CL523" s="53"/>
      <c r="CM523" s="53"/>
      <c r="CN523" s="53"/>
      <c r="CO523" s="53"/>
      <c r="CP523" s="53"/>
      <c r="CQ523" s="53"/>
      <c r="CR523" s="53"/>
      <c r="CS523" s="53"/>
      <c r="CT523" s="53"/>
      <c r="CU523" s="53"/>
      <c r="CV523" s="100"/>
      <c r="CW523" s="100"/>
      <c r="CX523" s="100"/>
      <c r="CY523" s="100"/>
      <c r="CZ523" s="100"/>
      <c r="DA523" s="100"/>
      <c r="DB523" s="100"/>
      <c r="DC523" s="100"/>
      <c r="DD523" s="101"/>
      <c r="DF523" s="142"/>
      <c r="DG523" s="90"/>
      <c r="DH523" s="90"/>
      <c r="DI523" s="90"/>
      <c r="DJ523" s="90"/>
      <c r="DK523" s="90"/>
      <c r="DL523" s="90"/>
      <c r="DM523" s="90"/>
      <c r="DN523" s="90"/>
      <c r="DO523" s="90"/>
      <c r="DP523" s="90"/>
      <c r="DQ523" s="90"/>
      <c r="DR523" s="90"/>
      <c r="DS523" s="90"/>
      <c r="DT523" s="90"/>
      <c r="DU523" s="90"/>
      <c r="DV523" s="90"/>
      <c r="DW523" s="90"/>
      <c r="DX523" s="90"/>
      <c r="DY523" s="90"/>
      <c r="DZ523" s="90"/>
      <c r="EA523" s="90"/>
      <c r="EB523" s="90"/>
      <c r="EC523" s="90"/>
      <c r="ED523" s="90"/>
      <c r="EE523" s="90"/>
      <c r="EF523" s="90"/>
      <c r="EG523" s="90"/>
      <c r="EH523" s="90"/>
      <c r="EI523" s="143"/>
      <c r="EK523" s="142"/>
      <c r="EL523" s="90"/>
      <c r="EM523" s="90"/>
      <c r="EN523" s="90"/>
      <c r="EO523" s="90"/>
      <c r="EP523" s="90"/>
      <c r="EQ523" s="90"/>
      <c r="ER523" s="90"/>
      <c r="ES523" s="90"/>
      <c r="ET523" s="90"/>
      <c r="EU523" s="90"/>
      <c r="EV523" s="90"/>
      <c r="EW523" s="90"/>
      <c r="EX523" s="90"/>
      <c r="EY523" s="90"/>
      <c r="EZ523" s="90"/>
      <c r="FA523" s="90"/>
      <c r="FB523" s="90"/>
      <c r="FC523" s="90"/>
      <c r="FD523" s="90"/>
      <c r="FE523" s="90"/>
      <c r="FF523" s="90"/>
      <c r="FG523" s="90"/>
      <c r="FH523" s="90"/>
      <c r="FI523" s="90"/>
      <c r="FJ523" s="90"/>
      <c r="FK523" s="90"/>
      <c r="FL523" s="90"/>
      <c r="FM523" s="143"/>
    </row>
    <row r="524" spans="30:169" ht="6.95" customHeight="1" x14ac:dyDescent="0.15">
      <c r="AD524" s="52"/>
      <c r="AE524" s="2"/>
      <c r="AF524" s="214" t="s">
        <v>30</v>
      </c>
      <c r="AG524" s="214"/>
      <c r="AH524" s="214"/>
      <c r="AI524" s="214"/>
      <c r="AJ524" s="82"/>
      <c r="AK524" s="82"/>
      <c r="AL524" s="82"/>
      <c r="AM524" s="82"/>
      <c r="AN524" s="82"/>
      <c r="AO524" s="2"/>
      <c r="AP524" s="2"/>
      <c r="AQ524" s="82"/>
      <c r="AR524" s="82"/>
      <c r="AS524" s="82"/>
      <c r="AT524" s="82"/>
      <c r="AU524" s="82"/>
      <c r="AV524" s="82"/>
      <c r="AW524" s="82"/>
      <c r="AX524" s="82"/>
      <c r="AY524" s="214" t="s">
        <v>30</v>
      </c>
      <c r="AZ524" s="214"/>
      <c r="BA524" s="214"/>
      <c r="BB524" s="214"/>
      <c r="BC524" s="82"/>
      <c r="BD524" s="82"/>
      <c r="BE524" s="82"/>
      <c r="BF524" s="82"/>
      <c r="BG524" s="82"/>
      <c r="BH524" s="2"/>
      <c r="BI524" s="2"/>
      <c r="BJ524" s="82"/>
      <c r="BK524" s="82"/>
      <c r="BL524" s="82"/>
      <c r="BM524" s="82"/>
      <c r="BN524" s="82"/>
      <c r="BO524" s="82"/>
      <c r="BP524" s="99"/>
      <c r="BR524" s="52"/>
      <c r="BS524" s="2"/>
      <c r="BT524" s="214" t="s">
        <v>30</v>
      </c>
      <c r="BU524" s="214"/>
      <c r="BV524" s="214"/>
      <c r="BW524" s="214"/>
      <c r="BX524" s="82"/>
      <c r="BY524" s="82"/>
      <c r="BZ524" s="82"/>
      <c r="CA524" s="82"/>
      <c r="CB524" s="82"/>
      <c r="CC524" s="2"/>
      <c r="CD524" s="2"/>
      <c r="CE524" s="82"/>
      <c r="CF524" s="82"/>
      <c r="CG524" s="82"/>
      <c r="CH524" s="82"/>
      <c r="CI524" s="82"/>
      <c r="CJ524" s="82"/>
      <c r="CK524" s="82"/>
      <c r="CL524" s="82"/>
      <c r="CM524" s="197" t="s">
        <v>26</v>
      </c>
      <c r="CN524" s="197"/>
      <c r="CO524" s="197"/>
      <c r="CP524" s="197"/>
      <c r="CQ524" s="82"/>
      <c r="CR524" s="82"/>
      <c r="CS524" s="82"/>
      <c r="CT524" s="82"/>
      <c r="CU524" s="82"/>
      <c r="CV524" s="2"/>
      <c r="CW524" s="2"/>
      <c r="CX524" s="82"/>
      <c r="CY524" s="82"/>
      <c r="CZ524" s="82"/>
      <c r="DA524" s="82"/>
      <c r="DB524" s="82"/>
      <c r="DC524" s="82"/>
      <c r="DD524" s="99"/>
      <c r="DF524" s="142"/>
      <c r="DG524" s="90"/>
      <c r="DH524" s="90"/>
      <c r="DI524" s="90"/>
      <c r="DJ524" s="90"/>
      <c r="DK524" s="90"/>
      <c r="DL524" s="90"/>
      <c r="DM524" s="90"/>
      <c r="DN524" s="90"/>
      <c r="DO524" s="90"/>
      <c r="DP524" s="90"/>
      <c r="DQ524" s="90"/>
      <c r="DR524" s="90"/>
      <c r="DS524" s="90"/>
      <c r="DT524" s="90"/>
      <c r="DU524" s="90"/>
      <c r="DV524" s="90"/>
      <c r="DW524" s="90"/>
      <c r="DX524" s="90"/>
      <c r="DY524" s="90"/>
      <c r="DZ524" s="90"/>
      <c r="EA524" s="90"/>
      <c r="EB524" s="90"/>
      <c r="EC524" s="90"/>
      <c r="ED524" s="90"/>
      <c r="EE524" s="90"/>
      <c r="EF524" s="90"/>
      <c r="EG524" s="90"/>
      <c r="EH524" s="90"/>
      <c r="EI524" s="143"/>
      <c r="EK524" s="142"/>
      <c r="EL524" s="90"/>
      <c r="EM524" s="90"/>
      <c r="EN524" s="90"/>
      <c r="EO524" s="90"/>
      <c r="EP524" s="90"/>
      <c r="EQ524" s="90"/>
      <c r="ER524" s="90"/>
      <c r="ES524" s="90"/>
      <c r="ET524" s="90"/>
      <c r="EU524" s="90"/>
      <c r="EV524" s="90"/>
      <c r="EW524" s="90"/>
      <c r="EX524" s="90"/>
      <c r="EY524" s="90"/>
      <c r="EZ524" s="90"/>
      <c r="FA524" s="90"/>
      <c r="FB524" s="90"/>
      <c r="FC524" s="90"/>
      <c r="FD524" s="90"/>
      <c r="FE524" s="90"/>
      <c r="FF524" s="90"/>
      <c r="FG524" s="90"/>
      <c r="FH524" s="90"/>
      <c r="FI524" s="90"/>
      <c r="FJ524" s="90"/>
      <c r="FK524" s="90"/>
      <c r="FL524" s="90"/>
      <c r="FM524" s="143"/>
    </row>
    <row r="525" spans="30:169" ht="6.95" customHeight="1" x14ac:dyDescent="0.15">
      <c r="AD525" s="56"/>
      <c r="AE525" s="3"/>
      <c r="AF525" s="197"/>
      <c r="AG525" s="197"/>
      <c r="AH525" s="197"/>
      <c r="AI525" s="197"/>
      <c r="AJ525" s="82"/>
      <c r="AK525" s="197">
        <f>IF(AF524="D16",750, IF(AF524="D13",600))</f>
        <v>600</v>
      </c>
      <c r="AL525" s="197"/>
      <c r="AM525" s="197"/>
      <c r="AN525" s="197"/>
      <c r="AO525" s="2"/>
      <c r="AP525" s="2"/>
      <c r="AQ525" s="82"/>
      <c r="AR525" s="82"/>
      <c r="AS525" s="82"/>
      <c r="AT525" s="82"/>
      <c r="AU525" s="82"/>
      <c r="AV525" s="82"/>
      <c r="AW525" s="82"/>
      <c r="AX525" s="82"/>
      <c r="AY525" s="197"/>
      <c r="AZ525" s="197"/>
      <c r="BA525" s="197"/>
      <c r="BB525" s="197"/>
      <c r="BC525" s="82"/>
      <c r="BD525" s="197">
        <f>IF(AY524="D16",750, IF(AY524="D13",600))</f>
        <v>600</v>
      </c>
      <c r="BE525" s="197"/>
      <c r="BF525" s="197"/>
      <c r="BG525" s="197"/>
      <c r="BH525" s="2"/>
      <c r="BI525" s="2"/>
      <c r="BJ525" s="82"/>
      <c r="BK525" s="82"/>
      <c r="BL525" s="82"/>
      <c r="BM525" s="82"/>
      <c r="BN525" s="82"/>
      <c r="BO525" s="82"/>
      <c r="BP525" s="99"/>
      <c r="BR525" s="56"/>
      <c r="BS525" s="3"/>
      <c r="BT525" s="197"/>
      <c r="BU525" s="197"/>
      <c r="BV525" s="197"/>
      <c r="BW525" s="197"/>
      <c r="BX525" s="82"/>
      <c r="BY525" s="197">
        <f>IF(BT524="D16",750, IF(BT524="D13",600))</f>
        <v>600</v>
      </c>
      <c r="BZ525" s="197"/>
      <c r="CA525" s="197"/>
      <c r="CB525" s="197"/>
      <c r="CC525" s="2"/>
      <c r="CD525" s="2"/>
      <c r="CE525" s="82"/>
      <c r="CF525" s="82"/>
      <c r="CG525" s="82"/>
      <c r="CH525" s="82"/>
      <c r="CI525" s="82"/>
      <c r="CJ525" s="82"/>
      <c r="CK525" s="82"/>
      <c r="CL525" s="82"/>
      <c r="CM525" s="197"/>
      <c r="CN525" s="197"/>
      <c r="CO525" s="197"/>
      <c r="CP525" s="197"/>
      <c r="CQ525" s="82"/>
      <c r="CR525" s="106"/>
      <c r="CS525" s="106"/>
      <c r="CT525" s="106"/>
      <c r="CU525" s="106"/>
      <c r="CV525" s="2"/>
      <c r="CW525" s="2"/>
      <c r="CX525" s="82"/>
      <c r="CY525" s="82"/>
      <c r="CZ525" s="82"/>
      <c r="DA525" s="82"/>
      <c r="DB525" s="82"/>
      <c r="DC525" s="82"/>
      <c r="DD525" s="99"/>
      <c r="DF525" s="142"/>
      <c r="DG525" s="90"/>
      <c r="DH525" s="90"/>
      <c r="DI525" s="90"/>
      <c r="DJ525" s="90"/>
      <c r="DK525" s="90"/>
      <c r="DL525" s="90"/>
      <c r="DM525" s="90"/>
      <c r="DN525" s="90"/>
      <c r="DO525" s="90"/>
      <c r="DP525" s="90"/>
      <c r="DQ525" s="90"/>
      <c r="DR525" s="90"/>
      <c r="DS525" s="90"/>
      <c r="DT525" s="90"/>
      <c r="DU525" s="90"/>
      <c r="DV525" s="90"/>
      <c r="DW525" s="90"/>
      <c r="DX525" s="90"/>
      <c r="DY525" s="90"/>
      <c r="DZ525" s="90"/>
      <c r="EA525" s="90"/>
      <c r="EB525" s="90"/>
      <c r="EC525" s="90"/>
      <c r="ED525" s="90"/>
      <c r="EE525" s="90"/>
      <c r="EF525" s="90"/>
      <c r="EG525" s="90"/>
      <c r="EH525" s="90"/>
      <c r="EI525" s="143"/>
      <c r="EK525" s="142"/>
      <c r="EL525" s="90"/>
      <c r="EM525" s="90"/>
      <c r="EN525" s="90"/>
      <c r="EO525" s="90"/>
      <c r="EP525" s="90"/>
      <c r="EQ525" s="90"/>
      <c r="ER525" s="90"/>
      <c r="ES525" s="90"/>
      <c r="ET525" s="90"/>
      <c r="EU525" s="90"/>
      <c r="EV525" s="90"/>
      <c r="EW525" s="90"/>
      <c r="EX525" s="90"/>
      <c r="EY525" s="90"/>
      <c r="EZ525" s="90"/>
      <c r="FA525" s="90"/>
      <c r="FB525" s="90"/>
      <c r="FC525" s="90"/>
      <c r="FD525" s="90"/>
      <c r="FE525" s="90"/>
      <c r="FF525" s="90"/>
      <c r="FG525" s="90"/>
      <c r="FH525" s="90"/>
      <c r="FI525" s="90"/>
      <c r="FJ525" s="90"/>
      <c r="FK525" s="90"/>
      <c r="FL525" s="90"/>
      <c r="FM525" s="143"/>
    </row>
    <row r="526" spans="30:169" ht="6.95" customHeight="1" x14ac:dyDescent="0.15">
      <c r="AD526" s="56"/>
      <c r="AE526" s="3"/>
      <c r="AF526" s="85"/>
      <c r="AG526" s="85"/>
      <c r="AH526" s="85"/>
      <c r="AI526" s="85"/>
      <c r="AJ526" s="85"/>
      <c r="AK526" s="197"/>
      <c r="AL526" s="197"/>
      <c r="AM526" s="197"/>
      <c r="AN526" s="197"/>
      <c r="AO526" s="85"/>
      <c r="AP526" s="85"/>
      <c r="AQ526" s="85"/>
      <c r="AR526" s="85"/>
      <c r="AS526" s="85"/>
      <c r="AT526" s="85"/>
      <c r="AU526" s="82"/>
      <c r="AV526" s="82"/>
      <c r="AW526" s="82"/>
      <c r="AX526" s="82"/>
      <c r="AY526" s="85"/>
      <c r="AZ526" s="85"/>
      <c r="BA526" s="85"/>
      <c r="BB526" s="85"/>
      <c r="BC526" s="85"/>
      <c r="BD526" s="197"/>
      <c r="BE526" s="197"/>
      <c r="BF526" s="197"/>
      <c r="BG526" s="197"/>
      <c r="BH526" s="85"/>
      <c r="BI526" s="85"/>
      <c r="BJ526" s="85"/>
      <c r="BK526" s="85"/>
      <c r="BL526" s="85"/>
      <c r="BM526" s="85"/>
      <c r="BN526" s="85"/>
      <c r="BO526" s="85"/>
      <c r="BP526" s="99"/>
      <c r="BR526" s="56"/>
      <c r="BS526" s="3"/>
      <c r="BT526" s="85"/>
      <c r="BU526" s="85"/>
      <c r="BV526" s="85"/>
      <c r="BW526" s="85"/>
      <c r="BX526" s="85"/>
      <c r="BY526" s="197"/>
      <c r="BZ526" s="197"/>
      <c r="CA526" s="197"/>
      <c r="CB526" s="197"/>
      <c r="CC526" s="85"/>
      <c r="CD526" s="85"/>
      <c r="CE526" s="85"/>
      <c r="CF526" s="85"/>
      <c r="CG526" s="85"/>
      <c r="CH526" s="85"/>
      <c r="CI526" s="82"/>
      <c r="CJ526" s="82"/>
      <c r="CK526" s="82"/>
      <c r="CL526" s="82"/>
      <c r="CM526" s="85"/>
      <c r="CN526" s="85"/>
      <c r="CO526" s="85"/>
      <c r="CP526" s="85"/>
      <c r="CQ526" s="85"/>
      <c r="CR526" s="106"/>
      <c r="CS526" s="106"/>
      <c r="CT526" s="106"/>
      <c r="CU526" s="106"/>
      <c r="CV526" s="85"/>
      <c r="CW526" s="85"/>
      <c r="CX526" s="85"/>
      <c r="CY526" s="85"/>
      <c r="CZ526" s="85"/>
      <c r="DA526" s="85"/>
      <c r="DB526" s="85"/>
      <c r="DC526" s="85"/>
      <c r="DD526" s="99"/>
      <c r="DF526" s="142"/>
      <c r="DG526" s="90"/>
      <c r="DH526" s="90"/>
      <c r="DI526" s="90"/>
      <c r="DJ526" s="90"/>
      <c r="DK526" s="90"/>
      <c r="DL526" s="90"/>
      <c r="DM526" s="90"/>
      <c r="DN526" s="90"/>
      <c r="DO526" s="90"/>
      <c r="DP526" s="90"/>
      <c r="DQ526" s="90"/>
      <c r="DR526" s="90"/>
      <c r="DS526" s="90"/>
      <c r="DT526" s="90"/>
      <c r="DU526" s="90"/>
      <c r="DV526" s="90"/>
      <c r="DW526" s="90"/>
      <c r="DX526" s="90"/>
      <c r="DY526" s="90"/>
      <c r="DZ526" s="90"/>
      <c r="EA526" s="90"/>
      <c r="EB526" s="90"/>
      <c r="EC526" s="90"/>
      <c r="ED526" s="90"/>
      <c r="EE526" s="90"/>
      <c r="EF526" s="90"/>
      <c r="EG526" s="90"/>
      <c r="EH526" s="90"/>
      <c r="EI526" s="143"/>
      <c r="EK526" s="142"/>
      <c r="EL526" s="90"/>
      <c r="EM526" s="90"/>
      <c r="EN526" s="90"/>
      <c r="EO526" s="90"/>
      <c r="EP526" s="90"/>
      <c r="EQ526" s="90"/>
      <c r="ER526" s="90"/>
      <c r="ES526" s="90"/>
      <c r="ET526" s="90"/>
      <c r="EU526" s="90"/>
      <c r="EV526" s="90"/>
      <c r="EW526" s="90"/>
      <c r="EX526" s="90"/>
      <c r="EY526" s="90"/>
      <c r="EZ526" s="90"/>
      <c r="FA526" s="90"/>
      <c r="FB526" s="90"/>
      <c r="FC526" s="90"/>
      <c r="FD526" s="90"/>
      <c r="FE526" s="90"/>
      <c r="FF526" s="90"/>
      <c r="FG526" s="90"/>
      <c r="FH526" s="90"/>
      <c r="FI526" s="90"/>
      <c r="FJ526" s="90"/>
      <c r="FK526" s="90"/>
      <c r="FL526" s="90"/>
      <c r="FM526" s="143"/>
    </row>
    <row r="527" spans="30:169" ht="6.95" customHeight="1" x14ac:dyDescent="0.15">
      <c r="AD527" s="56"/>
      <c r="AE527" s="3"/>
      <c r="AF527" s="3"/>
      <c r="AG527" s="3"/>
      <c r="AH527" s="3"/>
      <c r="AI527" s="3"/>
      <c r="AJ527" s="3"/>
      <c r="AK527" s="2"/>
      <c r="AL527" s="2"/>
      <c r="AM527" s="85"/>
      <c r="AN527" s="85"/>
      <c r="AO527" s="215">
        <f>CHOOSE(SUM((AD512&gt;={700,750,800,850,900,950})*1), 515,565,615,665,715,765)</f>
        <v>565</v>
      </c>
      <c r="AP527" s="215"/>
      <c r="AQ527" s="215"/>
      <c r="AR527" s="215"/>
      <c r="AS527" s="3"/>
      <c r="AT527" s="3"/>
      <c r="AU527" s="2"/>
      <c r="AV527" s="2"/>
      <c r="AW527" s="85"/>
      <c r="AX527" s="85"/>
      <c r="AY527" s="3"/>
      <c r="AZ527" s="3"/>
      <c r="BA527" s="3"/>
      <c r="BB527" s="3"/>
      <c r="BC527" s="3"/>
      <c r="BD527" s="2"/>
      <c r="BE527" s="2"/>
      <c r="BF527" s="85"/>
      <c r="BG527" s="85"/>
      <c r="BH527" s="215">
        <f>AO527-100</f>
        <v>465</v>
      </c>
      <c r="BI527" s="215"/>
      <c r="BJ527" s="215"/>
      <c r="BK527" s="215"/>
      <c r="BL527" s="3"/>
      <c r="BM527" s="3"/>
      <c r="BN527" s="3"/>
      <c r="BO527" s="3"/>
      <c r="BP527" s="99"/>
      <c r="BR527" s="56"/>
      <c r="BS527" s="3"/>
      <c r="BT527" s="3"/>
      <c r="BU527" s="3"/>
      <c r="BV527" s="3"/>
      <c r="BW527" s="3"/>
      <c r="BX527" s="3"/>
      <c r="BY527" s="2"/>
      <c r="BZ527" s="2"/>
      <c r="CA527" s="85"/>
      <c r="CB527" s="85"/>
      <c r="CC527" s="215">
        <f>CHOOSE(SUM((BR512&gt;={700,750,800,850,900,950})*1), 515,565,615,665,715,765)</f>
        <v>565</v>
      </c>
      <c r="CD527" s="215"/>
      <c r="CE527" s="215"/>
      <c r="CF527" s="215"/>
      <c r="CG527" s="3"/>
      <c r="CH527" s="3"/>
      <c r="CI527" s="2"/>
      <c r="CJ527" s="2"/>
      <c r="CK527" s="85"/>
      <c r="CL527" s="215">
        <v>565</v>
      </c>
      <c r="CM527" s="215"/>
      <c r="CN527" s="215"/>
      <c r="CO527" s="215"/>
      <c r="CP527" s="3"/>
      <c r="CQ527" s="3"/>
      <c r="CR527" s="2"/>
      <c r="CS527" s="2"/>
      <c r="CT527" s="85"/>
      <c r="CU527" s="85"/>
      <c r="CV527" s="118"/>
      <c r="CW527" s="118"/>
      <c r="CX527" s="118"/>
      <c r="CY527" s="118"/>
      <c r="CZ527" s="3"/>
      <c r="DA527" s="3"/>
      <c r="DB527" s="3"/>
      <c r="DC527" s="3"/>
      <c r="DD527" s="99"/>
      <c r="DF527" s="142"/>
      <c r="DG527" s="90"/>
      <c r="DH527" s="90"/>
      <c r="DI527" s="90"/>
      <c r="DJ527" s="90"/>
      <c r="DK527" s="90"/>
      <c r="DL527" s="90"/>
      <c r="DM527" s="90"/>
      <c r="DN527" s="90"/>
      <c r="DO527" s="90"/>
      <c r="DP527" s="90"/>
      <c r="DQ527" s="90"/>
      <c r="DR527" s="90"/>
      <c r="DS527" s="90"/>
      <c r="DT527" s="90"/>
      <c r="DU527" s="90"/>
      <c r="DV527" s="90"/>
      <c r="DW527" s="90"/>
      <c r="DX527" s="90"/>
      <c r="DY527" s="90"/>
      <c r="DZ527" s="90"/>
      <c r="EA527" s="90"/>
      <c r="EB527" s="90"/>
      <c r="EC527" s="90"/>
      <c r="ED527" s="90"/>
      <c r="EE527" s="90"/>
      <c r="EF527" s="90"/>
      <c r="EG527" s="90"/>
      <c r="EH527" s="90"/>
      <c r="EI527" s="143"/>
      <c r="EK527" s="142"/>
      <c r="EL527" s="90"/>
      <c r="EM527" s="90"/>
      <c r="EN527" s="90"/>
      <c r="EO527" s="90"/>
      <c r="EP527" s="90"/>
      <c r="EQ527" s="90"/>
      <c r="ER527" s="90"/>
      <c r="ES527" s="90"/>
      <c r="ET527" s="90"/>
      <c r="EU527" s="90"/>
      <c r="EV527" s="90"/>
      <c r="EW527" s="90"/>
      <c r="EX527" s="90"/>
      <c r="EY527" s="90"/>
      <c r="EZ527" s="90"/>
      <c r="FA527" s="90"/>
      <c r="FB527" s="90"/>
      <c r="FC527" s="90"/>
      <c r="FD527" s="90"/>
      <c r="FE527" s="90"/>
      <c r="FF527" s="90"/>
      <c r="FG527" s="90"/>
      <c r="FH527" s="90"/>
      <c r="FI527" s="90"/>
      <c r="FJ527" s="90"/>
      <c r="FK527" s="90"/>
      <c r="FL527" s="90"/>
      <c r="FM527" s="143"/>
    </row>
    <row r="528" spans="30:169" ht="6.95" customHeight="1" x14ac:dyDescent="0.15">
      <c r="AD528" s="56"/>
      <c r="AE528" s="3"/>
      <c r="AF528" s="3"/>
      <c r="AG528" s="3"/>
      <c r="AH528" s="3"/>
      <c r="AI528" s="3"/>
      <c r="AJ528" s="3"/>
      <c r="AK528" s="4"/>
      <c r="AL528" s="4"/>
      <c r="AM528" s="85"/>
      <c r="AN528" s="85"/>
      <c r="AO528" s="215"/>
      <c r="AP528" s="215"/>
      <c r="AQ528" s="215"/>
      <c r="AR528" s="215"/>
      <c r="AS528" s="3"/>
      <c r="AT528" s="3"/>
      <c r="AU528" s="4"/>
      <c r="AV528" s="4"/>
      <c r="AW528" s="85"/>
      <c r="AX528" s="85"/>
      <c r="AY528" s="3"/>
      <c r="AZ528" s="3"/>
      <c r="BA528" s="3"/>
      <c r="BB528" s="3"/>
      <c r="BC528" s="3"/>
      <c r="BD528" s="4"/>
      <c r="BE528" s="4"/>
      <c r="BF528" s="85"/>
      <c r="BG528" s="85"/>
      <c r="BH528" s="215"/>
      <c r="BI528" s="215"/>
      <c r="BJ528" s="215"/>
      <c r="BK528" s="215"/>
      <c r="BL528" s="3"/>
      <c r="BM528" s="3"/>
      <c r="BN528" s="3"/>
      <c r="BO528" s="3"/>
      <c r="BP528" s="99"/>
      <c r="BR528" s="56"/>
      <c r="BS528" s="3"/>
      <c r="BT528" s="3"/>
      <c r="BU528" s="3"/>
      <c r="BV528" s="3"/>
      <c r="BW528" s="3"/>
      <c r="BX528" s="3"/>
      <c r="BY528" s="4"/>
      <c r="BZ528" s="4"/>
      <c r="CA528" s="85"/>
      <c r="CB528" s="85"/>
      <c r="CC528" s="215"/>
      <c r="CD528" s="215"/>
      <c r="CE528" s="215"/>
      <c r="CF528" s="215"/>
      <c r="CG528" s="3"/>
      <c r="CH528" s="3"/>
      <c r="CI528" s="4"/>
      <c r="CJ528" s="4"/>
      <c r="CK528" s="85"/>
      <c r="CL528" s="215"/>
      <c r="CM528" s="215"/>
      <c r="CN528" s="215"/>
      <c r="CO528" s="215"/>
      <c r="CP528" s="3"/>
      <c r="CQ528" s="3"/>
      <c r="CR528" s="4"/>
      <c r="CS528" s="4"/>
      <c r="CT528" s="85"/>
      <c r="CU528" s="85"/>
      <c r="CV528" s="118"/>
      <c r="CW528" s="118"/>
      <c r="CX528" s="118"/>
      <c r="CY528" s="118"/>
      <c r="CZ528" s="3"/>
      <c r="DA528" s="3"/>
      <c r="DB528" s="3"/>
      <c r="DC528" s="3"/>
      <c r="DD528" s="99"/>
      <c r="DF528" s="142"/>
      <c r="DG528" s="90"/>
      <c r="DH528" s="90"/>
      <c r="DI528" s="90"/>
      <c r="DJ528" s="90"/>
      <c r="DK528" s="90"/>
      <c r="DL528" s="90"/>
      <c r="DM528" s="90"/>
      <c r="DN528" s="90"/>
      <c r="DO528" s="90"/>
      <c r="DP528" s="90"/>
      <c r="DQ528" s="90"/>
      <c r="DR528" s="90"/>
      <c r="DS528" s="90"/>
      <c r="DT528" s="90"/>
      <c r="DU528" s="90"/>
      <c r="DV528" s="90"/>
      <c r="DW528" s="90"/>
      <c r="DX528" s="90"/>
      <c r="DY528" s="90"/>
      <c r="DZ528" s="90"/>
      <c r="EA528" s="90"/>
      <c r="EB528" s="90"/>
      <c r="EC528" s="90"/>
      <c r="ED528" s="90"/>
      <c r="EE528" s="90"/>
      <c r="EF528" s="90"/>
      <c r="EG528" s="90"/>
      <c r="EH528" s="90"/>
      <c r="EI528" s="143"/>
      <c r="EK528" s="142"/>
      <c r="EL528" s="90"/>
      <c r="EM528" s="90"/>
      <c r="EN528" s="90"/>
      <c r="EO528" s="90"/>
      <c r="EP528" s="90"/>
      <c r="EQ528" s="90"/>
      <c r="ER528" s="90"/>
      <c r="ES528" s="90"/>
      <c r="ET528" s="90"/>
      <c r="EU528" s="90"/>
      <c r="EV528" s="90"/>
      <c r="EW528" s="90"/>
      <c r="EX528" s="90"/>
      <c r="EY528" s="90"/>
      <c r="EZ528" s="90"/>
      <c r="FA528" s="90"/>
      <c r="FB528" s="90"/>
      <c r="FC528" s="90"/>
      <c r="FD528" s="90"/>
      <c r="FE528" s="90"/>
      <c r="FF528" s="90"/>
      <c r="FG528" s="90"/>
      <c r="FH528" s="90"/>
      <c r="FI528" s="90"/>
      <c r="FJ528" s="90"/>
      <c r="FK528" s="90"/>
      <c r="FL528" s="90"/>
      <c r="FM528" s="143"/>
    </row>
    <row r="529" spans="30:169" ht="6.95" customHeight="1" x14ac:dyDescent="0.15">
      <c r="AD529" s="56"/>
      <c r="AE529" s="3"/>
      <c r="AF529" s="3"/>
      <c r="AG529" s="3"/>
      <c r="AH529" s="3"/>
      <c r="AI529" s="3"/>
      <c r="AJ529" s="3"/>
      <c r="AK529" s="4"/>
      <c r="AL529" s="4"/>
      <c r="AM529" s="84"/>
      <c r="AN529" s="84"/>
      <c r="AO529" s="200" t="s">
        <v>29</v>
      </c>
      <c r="AP529" s="200"/>
      <c r="AQ529" s="200"/>
      <c r="AR529" s="200"/>
      <c r="AS529" s="3"/>
      <c r="AT529" s="3"/>
      <c r="AU529" s="4"/>
      <c r="AV529" s="4"/>
      <c r="AW529" s="84"/>
      <c r="AX529" s="84"/>
      <c r="AY529" s="3"/>
      <c r="AZ529" s="3"/>
      <c r="BA529" s="3"/>
      <c r="BB529" s="3"/>
      <c r="BC529" s="3"/>
      <c r="BD529" s="4"/>
      <c r="BE529" s="4"/>
      <c r="BF529" s="84"/>
      <c r="BG529" s="84"/>
      <c r="BH529" s="200" t="s">
        <v>29</v>
      </c>
      <c r="BI529" s="200"/>
      <c r="BJ529" s="200"/>
      <c r="BK529" s="200"/>
      <c r="BL529" s="3"/>
      <c r="BM529" s="3"/>
      <c r="BN529" s="3"/>
      <c r="BO529" s="3"/>
      <c r="BP529" s="99"/>
      <c r="BR529" s="56"/>
      <c r="BS529" s="3"/>
      <c r="BT529" s="3"/>
      <c r="BU529" s="3"/>
      <c r="BV529" s="3"/>
      <c r="BW529" s="3"/>
      <c r="BX529" s="3"/>
      <c r="BY529" s="4"/>
      <c r="BZ529" s="4"/>
      <c r="CA529" s="84"/>
      <c r="CB529" s="84"/>
      <c r="CC529" s="200" t="s">
        <v>29</v>
      </c>
      <c r="CD529" s="200"/>
      <c r="CE529" s="200"/>
      <c r="CF529" s="200"/>
      <c r="CG529" s="3"/>
      <c r="CH529" s="3"/>
      <c r="CI529" s="4"/>
      <c r="CJ529" s="4"/>
      <c r="CK529" s="84"/>
      <c r="CL529" s="200" t="s">
        <v>29</v>
      </c>
      <c r="CM529" s="200"/>
      <c r="CN529" s="200"/>
      <c r="CO529" s="200"/>
      <c r="CP529" s="3"/>
      <c r="CQ529" s="3"/>
      <c r="CR529" s="4"/>
      <c r="CS529" s="4"/>
      <c r="CT529" s="84"/>
      <c r="CU529" s="84"/>
      <c r="CV529" s="107"/>
      <c r="CW529" s="107"/>
      <c r="CX529" s="107"/>
      <c r="CY529" s="107"/>
      <c r="CZ529" s="3"/>
      <c r="DA529" s="3"/>
      <c r="DB529" s="3"/>
      <c r="DC529" s="3"/>
      <c r="DD529" s="99"/>
      <c r="DF529" s="142"/>
      <c r="DG529" s="90"/>
      <c r="DH529" s="90"/>
      <c r="DI529" s="90"/>
      <c r="DJ529" s="90"/>
      <c r="DK529" s="90"/>
      <c r="DL529" s="90"/>
      <c r="DM529" s="90"/>
      <c r="DN529" s="90"/>
      <c r="DO529" s="90"/>
      <c r="DP529" s="90"/>
      <c r="DQ529" s="90"/>
      <c r="DR529" s="90"/>
      <c r="DS529" s="90"/>
      <c r="DT529" s="90"/>
      <c r="DU529" s="90"/>
      <c r="DV529" s="90"/>
      <c r="DW529" s="90"/>
      <c r="DX529" s="90"/>
      <c r="DY529" s="90"/>
      <c r="DZ529" s="90"/>
      <c r="EA529" s="90"/>
      <c r="EB529" s="90"/>
      <c r="EC529" s="90"/>
      <c r="ED529" s="90"/>
      <c r="EE529" s="90"/>
      <c r="EF529" s="90"/>
      <c r="EG529" s="90"/>
      <c r="EH529" s="90"/>
      <c r="EI529" s="143"/>
      <c r="EK529" s="142"/>
      <c r="EL529" s="90"/>
      <c r="EM529" s="90"/>
      <c r="EN529" s="90"/>
      <c r="EO529" s="90"/>
      <c r="EP529" s="90"/>
      <c r="EQ529" s="90"/>
      <c r="ER529" s="90"/>
      <c r="ES529" s="90"/>
      <c r="ET529" s="90"/>
      <c r="EU529" s="90"/>
      <c r="EV529" s="90"/>
      <c r="EW529" s="90"/>
      <c r="EX529" s="90"/>
      <c r="EY529" s="90"/>
      <c r="EZ529" s="90"/>
      <c r="FA529" s="90"/>
      <c r="FB529" s="90"/>
      <c r="FC529" s="90"/>
      <c r="FD529" s="90"/>
      <c r="FE529" s="90"/>
      <c r="FF529" s="90"/>
      <c r="FG529" s="90"/>
      <c r="FH529" s="90"/>
      <c r="FI529" s="90"/>
      <c r="FJ529" s="90"/>
      <c r="FK529" s="90"/>
      <c r="FL529" s="90"/>
      <c r="FM529" s="143"/>
    </row>
    <row r="530" spans="30:169" ht="6.95" customHeight="1" x14ac:dyDescent="0.15">
      <c r="AD530" s="56"/>
      <c r="AE530" s="3"/>
      <c r="AF530" s="3"/>
      <c r="AG530" s="3"/>
      <c r="AH530" s="3"/>
      <c r="AI530" s="3"/>
      <c r="AJ530" s="84"/>
      <c r="AK530" s="200">
        <f>IF(AF524="D13",CHOOSE(SUM((AO527&gt;={515,565,615,665,715,765})*1), 300, 250, 200, 150, 100, 100), CHOOSE(SUM((AO527&gt;={515,565,615,665,715,765})*1), 450, 400, 350, 300, 250, 200))</f>
        <v>250</v>
      </c>
      <c r="AL530" s="200"/>
      <c r="AM530" s="200"/>
      <c r="AN530" s="200"/>
      <c r="AO530" s="200"/>
      <c r="AP530" s="200"/>
      <c r="AQ530" s="200"/>
      <c r="AR530" s="200"/>
      <c r="AS530" s="84"/>
      <c r="AT530" s="84"/>
      <c r="AU530" s="84"/>
      <c r="AV530" s="84"/>
      <c r="AW530" s="84"/>
      <c r="AX530" s="84"/>
      <c r="AY530" s="3"/>
      <c r="AZ530" s="3"/>
      <c r="BA530" s="3"/>
      <c r="BB530" s="3"/>
      <c r="BC530" s="84"/>
      <c r="BD530" s="200">
        <f>IF(AY524="D13",CHOOSE(SUM((BH527&gt;={415,465,515,565,615,665})*1), 400, 350, 300, 250, 200, 150), CHOOSE(SUM((BH527&gt;={415,465,515,565,615,665})*1), 550, 500, 450, 400, 350, 300))</f>
        <v>350</v>
      </c>
      <c r="BE530" s="200"/>
      <c r="BF530" s="200"/>
      <c r="BG530" s="200"/>
      <c r="BH530" s="200"/>
      <c r="BI530" s="200"/>
      <c r="BJ530" s="200"/>
      <c r="BK530" s="200"/>
      <c r="BL530" s="84"/>
      <c r="BM530" s="84"/>
      <c r="BN530" s="3"/>
      <c r="BO530" s="84"/>
      <c r="BP530" s="99"/>
      <c r="BR530" s="56"/>
      <c r="BS530" s="3"/>
      <c r="BT530" s="3"/>
      <c r="BU530" s="3"/>
      <c r="BV530" s="3"/>
      <c r="BW530" s="3"/>
      <c r="BX530" s="84"/>
      <c r="BY530" s="200">
        <f>IF(BT524="D13",CHOOSE(SUM((CC527&gt;={515,565,615,665,715,765})*1), 300, 250, 200, 150, 100, 100), CHOOSE(SUM((CC527&gt;={515,565,615,665,715,765})*1), 450, 400, 350, 300, 250, 200))</f>
        <v>250</v>
      </c>
      <c r="BZ530" s="200"/>
      <c r="CA530" s="200"/>
      <c r="CB530" s="200"/>
      <c r="CC530" s="200"/>
      <c r="CD530" s="200"/>
      <c r="CE530" s="200"/>
      <c r="CF530" s="200"/>
      <c r="CG530" s="84"/>
      <c r="CH530" s="84"/>
      <c r="CI530" s="84"/>
      <c r="CJ530" s="84"/>
      <c r="CK530" s="84"/>
      <c r="CL530" s="200"/>
      <c r="CM530" s="200"/>
      <c r="CN530" s="200"/>
      <c r="CO530" s="200"/>
      <c r="CP530" s="3"/>
      <c r="CQ530" s="84"/>
      <c r="CR530" s="107"/>
      <c r="CS530" s="107"/>
      <c r="CT530" s="107"/>
      <c r="CU530" s="107"/>
      <c r="CV530" s="107"/>
      <c r="CW530" s="107"/>
      <c r="CX530" s="107"/>
      <c r="CY530" s="107"/>
      <c r="CZ530" s="84"/>
      <c r="DA530" s="84"/>
      <c r="DB530" s="3"/>
      <c r="DC530" s="84"/>
      <c r="DD530" s="99"/>
      <c r="DF530" s="142"/>
      <c r="DG530" s="90"/>
      <c r="DH530" s="90"/>
      <c r="DI530" s="90"/>
      <c r="DJ530" s="90"/>
      <c r="DK530" s="90"/>
      <c r="DL530" s="90"/>
      <c r="DM530" s="90"/>
      <c r="DN530" s="90"/>
      <c r="DO530" s="90"/>
      <c r="DP530" s="90"/>
      <c r="DQ530" s="90"/>
      <c r="DR530" s="90"/>
      <c r="DS530" s="90"/>
      <c r="DT530" s="90"/>
      <c r="DU530" s="90"/>
      <c r="DV530" s="90"/>
      <c r="DW530" s="90"/>
      <c r="DX530" s="90"/>
      <c r="DY530" s="90"/>
      <c r="DZ530" s="90"/>
      <c r="EA530" s="90"/>
      <c r="EB530" s="90"/>
      <c r="EC530" s="90"/>
      <c r="ED530" s="90"/>
      <c r="EE530" s="90"/>
      <c r="EF530" s="90"/>
      <c r="EG530" s="90"/>
      <c r="EH530" s="90"/>
      <c r="EI530" s="143"/>
      <c r="EK530" s="142"/>
      <c r="EL530" s="90"/>
      <c r="EM530" s="90"/>
      <c r="EN530" s="90"/>
      <c r="EO530" s="90"/>
      <c r="EP530" s="90"/>
      <c r="EQ530" s="90"/>
      <c r="ER530" s="90"/>
      <c r="ES530" s="90"/>
      <c r="ET530" s="90"/>
      <c r="EU530" s="90"/>
      <c r="EV530" s="90"/>
      <c r="EW530" s="90"/>
      <c r="EX530" s="90"/>
      <c r="EY530" s="90"/>
      <c r="EZ530" s="90"/>
      <c r="FA530" s="90"/>
      <c r="FB530" s="90"/>
      <c r="FC530" s="90"/>
      <c r="FD530" s="90"/>
      <c r="FE530" s="90"/>
      <c r="FF530" s="90"/>
      <c r="FG530" s="90"/>
      <c r="FH530" s="90"/>
      <c r="FI530" s="90"/>
      <c r="FJ530" s="90"/>
      <c r="FK530" s="90"/>
      <c r="FL530" s="90"/>
      <c r="FM530" s="143"/>
    </row>
    <row r="531" spans="30:169" ht="6.95" customHeight="1" x14ac:dyDescent="0.15">
      <c r="AD531" s="56"/>
      <c r="AE531" s="3"/>
      <c r="AF531" s="3"/>
      <c r="AG531" s="3"/>
      <c r="AH531" s="3"/>
      <c r="AI531" s="3"/>
      <c r="AJ531" s="84"/>
      <c r="AK531" s="200"/>
      <c r="AL531" s="200"/>
      <c r="AM531" s="200"/>
      <c r="AN531" s="200"/>
      <c r="AO531" s="196" t="s">
        <v>42</v>
      </c>
      <c r="AP531" s="196"/>
      <c r="AQ531" s="196"/>
      <c r="AR531" s="196">
        <v>4</v>
      </c>
      <c r="AS531" s="196"/>
      <c r="AT531" s="196" t="s">
        <v>43</v>
      </c>
      <c r="AU531" s="196"/>
      <c r="AV531" s="196"/>
      <c r="AW531" s="84"/>
      <c r="AX531" s="84"/>
      <c r="AY531" s="3"/>
      <c r="AZ531" s="3"/>
      <c r="BA531" s="3"/>
      <c r="BB531" s="3"/>
      <c r="BC531" s="84"/>
      <c r="BD531" s="200"/>
      <c r="BE531" s="200"/>
      <c r="BF531" s="200"/>
      <c r="BG531" s="200"/>
      <c r="BH531" s="196" t="s">
        <v>42</v>
      </c>
      <c r="BI531" s="196"/>
      <c r="BJ531" s="196"/>
      <c r="BK531" s="196"/>
      <c r="BL531" s="196"/>
      <c r="BM531" s="196" t="s">
        <v>43</v>
      </c>
      <c r="BN531" s="196"/>
      <c r="BO531" s="196"/>
      <c r="BP531" s="99"/>
      <c r="BR531" s="56"/>
      <c r="BS531" s="3"/>
      <c r="BT531" s="3"/>
      <c r="BU531" s="3"/>
      <c r="BV531" s="3"/>
      <c r="BW531" s="3"/>
      <c r="BX531" s="84"/>
      <c r="BY531" s="200"/>
      <c r="BZ531" s="200"/>
      <c r="CA531" s="200"/>
      <c r="CB531" s="200"/>
      <c r="CC531" s="196" t="s">
        <v>42</v>
      </c>
      <c r="CD531" s="196"/>
      <c r="CE531" s="196"/>
      <c r="CF531" s="196">
        <v>1</v>
      </c>
      <c r="CG531" s="196"/>
      <c r="CH531" s="196" t="s">
        <v>43</v>
      </c>
      <c r="CI531" s="196"/>
      <c r="CJ531" s="196"/>
      <c r="CK531" s="84"/>
      <c r="CL531" s="84"/>
      <c r="CM531" s="3"/>
      <c r="CN531" s="3"/>
      <c r="CO531" s="3"/>
      <c r="CP531" s="3"/>
      <c r="CQ531" s="84"/>
      <c r="CR531" s="107"/>
      <c r="CS531" s="107"/>
      <c r="CT531" s="107"/>
      <c r="CU531" s="107"/>
      <c r="CV531" s="196" t="s">
        <v>42</v>
      </c>
      <c r="CW531" s="196"/>
      <c r="CX531" s="196"/>
      <c r="CY531" s="196">
        <v>1</v>
      </c>
      <c r="CZ531" s="196"/>
      <c r="DA531" s="196" t="s">
        <v>43</v>
      </c>
      <c r="DB531" s="196"/>
      <c r="DC531" s="196"/>
      <c r="DD531" s="99"/>
      <c r="DF531" s="142"/>
      <c r="DG531" s="90"/>
      <c r="DH531" s="90"/>
      <c r="DI531" s="90"/>
      <c r="DJ531" s="90"/>
      <c r="DK531" s="90"/>
      <c r="DL531" s="90"/>
      <c r="DM531" s="90"/>
      <c r="DN531" s="90"/>
      <c r="DO531" s="90"/>
      <c r="DP531" s="90"/>
      <c r="DQ531" s="90"/>
      <c r="DR531" s="90"/>
      <c r="DS531" s="90"/>
      <c r="DT531" s="90"/>
      <c r="DU531" s="90"/>
      <c r="DV531" s="90"/>
      <c r="DW531" s="90"/>
      <c r="DX531" s="90"/>
      <c r="DY531" s="90"/>
      <c r="DZ531" s="90"/>
      <c r="EA531" s="90"/>
      <c r="EB531" s="90"/>
      <c r="EC531" s="90"/>
      <c r="ED531" s="90"/>
      <c r="EE531" s="90"/>
      <c r="EF531" s="90"/>
      <c r="EG531" s="90"/>
      <c r="EH531" s="90"/>
      <c r="EI531" s="143"/>
      <c r="EK531" s="142"/>
      <c r="EL531" s="90"/>
      <c r="EM531" s="90"/>
      <c r="EN531" s="90"/>
      <c r="EO531" s="90"/>
      <c r="EP531" s="90"/>
      <c r="EQ531" s="90"/>
      <c r="ER531" s="90"/>
      <c r="ES531" s="90"/>
      <c r="ET531" s="90"/>
      <c r="EU531" s="90"/>
      <c r="EV531" s="90"/>
      <c r="EW531" s="90"/>
      <c r="EX531" s="90"/>
      <c r="EY531" s="90"/>
      <c r="EZ531" s="90"/>
      <c r="FA531" s="90"/>
      <c r="FB531" s="90"/>
      <c r="FC531" s="90"/>
      <c r="FD531" s="90"/>
      <c r="FE531" s="90"/>
      <c r="FF531" s="90"/>
      <c r="FG531" s="90"/>
      <c r="FH531" s="90"/>
      <c r="FI531" s="90"/>
      <c r="FJ531" s="90"/>
      <c r="FK531" s="90"/>
      <c r="FL531" s="90"/>
      <c r="FM531" s="143"/>
    </row>
    <row r="532" spans="30:169" ht="6.95" customHeight="1" x14ac:dyDescent="0.15">
      <c r="AD532" s="52"/>
      <c r="AE532" s="2"/>
      <c r="AF532" s="2"/>
      <c r="AG532" s="2"/>
      <c r="AH532" s="2"/>
      <c r="AI532" s="2"/>
      <c r="AJ532" s="2"/>
      <c r="AK532" s="2"/>
      <c r="AL532" s="88"/>
      <c r="AM532" s="88"/>
      <c r="AN532" s="88"/>
      <c r="AO532" s="196"/>
      <c r="AP532" s="196"/>
      <c r="AQ532" s="196"/>
      <c r="AR532" s="196"/>
      <c r="AS532" s="196"/>
      <c r="AT532" s="196"/>
      <c r="AU532" s="196"/>
      <c r="AV532" s="196"/>
      <c r="AW532" s="88"/>
      <c r="AX532" s="88"/>
      <c r="AY532" s="2"/>
      <c r="AZ532" s="2"/>
      <c r="BA532" s="2"/>
      <c r="BB532" s="2"/>
      <c r="BC532" s="2"/>
      <c r="BD532" s="2"/>
      <c r="BE532" s="88"/>
      <c r="BF532" s="88"/>
      <c r="BG532" s="88"/>
      <c r="BH532" s="196"/>
      <c r="BI532" s="196"/>
      <c r="BJ532" s="196"/>
      <c r="BK532" s="196"/>
      <c r="BL532" s="196"/>
      <c r="BM532" s="196"/>
      <c r="BN532" s="196"/>
      <c r="BO532" s="196"/>
      <c r="BP532" s="99"/>
      <c r="BR532" s="52"/>
      <c r="BS532" s="2"/>
      <c r="BT532" s="2"/>
      <c r="BU532" s="2"/>
      <c r="BV532" s="2"/>
      <c r="BW532" s="2"/>
      <c r="BX532" s="2"/>
      <c r="BY532" s="2"/>
      <c r="BZ532" s="88"/>
      <c r="CA532" s="88"/>
      <c r="CB532" s="88"/>
      <c r="CC532" s="196"/>
      <c r="CD532" s="196"/>
      <c r="CE532" s="196"/>
      <c r="CF532" s="196"/>
      <c r="CG532" s="196"/>
      <c r="CH532" s="196"/>
      <c r="CI532" s="196"/>
      <c r="CJ532" s="196"/>
      <c r="CK532" s="88"/>
      <c r="CL532" s="88"/>
      <c r="CM532" s="2"/>
      <c r="CN532" s="2"/>
      <c r="CO532" s="2"/>
      <c r="CP532" s="2"/>
      <c r="CQ532" s="2"/>
      <c r="CR532" s="2"/>
      <c r="CS532" s="88"/>
      <c r="CT532" s="88"/>
      <c r="CU532" s="88"/>
      <c r="CV532" s="196"/>
      <c r="CW532" s="196"/>
      <c r="CX532" s="196"/>
      <c r="CY532" s="196"/>
      <c r="CZ532" s="196"/>
      <c r="DA532" s="196"/>
      <c r="DB532" s="196"/>
      <c r="DC532" s="196"/>
      <c r="DD532" s="99"/>
      <c r="DF532" s="142"/>
      <c r="DG532" s="90"/>
      <c r="DH532" s="90"/>
      <c r="DI532" s="90"/>
      <c r="DJ532" s="90"/>
      <c r="DK532" s="90"/>
      <c r="DL532" s="90"/>
      <c r="DM532" s="90"/>
      <c r="DN532" s="90"/>
      <c r="DO532" s="90"/>
      <c r="DP532" s="90"/>
      <c r="DQ532" s="90"/>
      <c r="DR532" s="90"/>
      <c r="DS532" s="90"/>
      <c r="DT532" s="90"/>
      <c r="DU532" s="90"/>
      <c r="DV532" s="90"/>
      <c r="DW532" s="90"/>
      <c r="DX532" s="90"/>
      <c r="DY532" s="90"/>
      <c r="DZ532" s="90"/>
      <c r="EA532" s="90"/>
      <c r="EB532" s="90"/>
      <c r="EC532" s="90"/>
      <c r="ED532" s="90"/>
      <c r="EE532" s="90"/>
      <c r="EF532" s="90"/>
      <c r="EG532" s="90"/>
      <c r="EH532" s="90"/>
      <c r="EI532" s="143"/>
      <c r="EK532" s="142"/>
      <c r="EL532" s="90"/>
      <c r="EM532" s="90"/>
      <c r="EN532" s="90"/>
      <c r="EO532" s="90"/>
      <c r="EP532" s="90"/>
      <c r="EQ532" s="90"/>
      <c r="ER532" s="90"/>
      <c r="ES532" s="90"/>
      <c r="ET532" s="90"/>
      <c r="EU532" s="90"/>
      <c r="EV532" s="90"/>
      <c r="EW532" s="90"/>
      <c r="EX532" s="90"/>
      <c r="EY532" s="90"/>
      <c r="EZ532" s="90"/>
      <c r="FA532" s="90"/>
      <c r="FB532" s="90"/>
      <c r="FC532" s="90"/>
      <c r="FD532" s="90"/>
      <c r="FE532" s="90"/>
      <c r="FF532" s="90"/>
      <c r="FG532" s="90"/>
      <c r="FH532" s="90"/>
      <c r="FI532" s="90"/>
      <c r="FJ532" s="90"/>
      <c r="FK532" s="90"/>
      <c r="FL532" s="90"/>
      <c r="FM532" s="143"/>
    </row>
    <row r="533" spans="30:169" ht="6.95" customHeight="1" x14ac:dyDescent="0.15">
      <c r="AD533" s="83"/>
      <c r="AE533" s="82"/>
      <c r="AF533" s="197" t="s">
        <v>28</v>
      </c>
      <c r="AG533" s="197"/>
      <c r="AH533" s="197"/>
      <c r="AI533" s="197"/>
      <c r="AJ533" s="82"/>
      <c r="AK533" s="82"/>
      <c r="AL533" s="82"/>
      <c r="AM533" s="2"/>
      <c r="AN533" s="2"/>
      <c r="AO533" s="2"/>
      <c r="AP533" s="2"/>
      <c r="AQ533" s="2"/>
      <c r="AR533" s="2"/>
      <c r="AS533" s="2"/>
      <c r="AT533" s="2"/>
      <c r="AU533" s="3"/>
      <c r="AV533" s="82"/>
      <c r="AW533" s="88"/>
      <c r="AX533" s="88"/>
      <c r="AY533" s="197" t="s">
        <v>27</v>
      </c>
      <c r="AZ533" s="197"/>
      <c r="BA533" s="197"/>
      <c r="BB533" s="197"/>
      <c r="BC533" s="82"/>
      <c r="BD533" s="82"/>
      <c r="BE533" s="3"/>
      <c r="BF533" s="3"/>
      <c r="BG533" s="3"/>
      <c r="BH533" s="3"/>
      <c r="BI533" s="198"/>
      <c r="BJ533" s="198"/>
      <c r="BK533" s="198"/>
      <c r="BL533" s="198"/>
      <c r="BM533" s="1"/>
      <c r="BN533" s="1"/>
      <c r="BO533" s="1"/>
      <c r="BP533" s="99"/>
      <c r="BR533" s="83"/>
      <c r="BS533" s="82"/>
      <c r="BT533" s="197" t="s">
        <v>28</v>
      </c>
      <c r="BU533" s="197"/>
      <c r="BV533" s="197"/>
      <c r="BW533" s="197"/>
      <c r="BX533" s="82"/>
      <c r="BY533" s="82"/>
      <c r="BZ533" s="82"/>
      <c r="CA533" s="2"/>
      <c r="CB533" s="2"/>
      <c r="CC533" s="2"/>
      <c r="CD533" s="2"/>
      <c r="CE533" s="2"/>
      <c r="CF533" s="2"/>
      <c r="CG533" s="2"/>
      <c r="CH533" s="2"/>
      <c r="CI533" s="3"/>
      <c r="CJ533" s="82"/>
      <c r="CK533" s="88"/>
      <c r="CL533" s="88"/>
      <c r="CM533" s="197" t="s">
        <v>27</v>
      </c>
      <c r="CN533" s="197"/>
      <c r="CO533" s="197"/>
      <c r="CP533" s="197"/>
      <c r="CQ533" s="82"/>
      <c r="CR533" s="82"/>
      <c r="CS533" s="3"/>
      <c r="CT533" s="3"/>
      <c r="CU533" s="3"/>
      <c r="CV533" s="3"/>
      <c r="CW533" s="198"/>
      <c r="CX533" s="198"/>
      <c r="CY533" s="198"/>
      <c r="CZ533" s="198"/>
      <c r="DA533" s="1"/>
      <c r="DB533" s="1"/>
      <c r="DC533" s="1"/>
      <c r="DD533" s="99"/>
      <c r="DF533" s="142"/>
      <c r="DG533" s="90"/>
      <c r="DH533" s="90"/>
      <c r="DI533" s="90"/>
      <c r="DJ533" s="90"/>
      <c r="DK533" s="90"/>
      <c r="DL533" s="90"/>
      <c r="DM533" s="90"/>
      <c r="DN533" s="90"/>
      <c r="DO533" s="90"/>
      <c r="DP533" s="90"/>
      <c r="DQ533" s="90"/>
      <c r="DR533" s="90"/>
      <c r="DS533" s="90"/>
      <c r="DT533" s="90"/>
      <c r="DU533" s="90"/>
      <c r="DV533" s="90"/>
      <c r="DW533" s="90"/>
      <c r="DX533" s="90"/>
      <c r="DY533" s="90"/>
      <c r="DZ533" s="90"/>
      <c r="EA533" s="90"/>
      <c r="EB533" s="90"/>
      <c r="EC533" s="90"/>
      <c r="ED533" s="90"/>
      <c r="EE533" s="90"/>
      <c r="EF533" s="90"/>
      <c r="EG533" s="90"/>
      <c r="EH533" s="90"/>
      <c r="EI533" s="143"/>
      <c r="EK533" s="142"/>
      <c r="EL533" s="90"/>
      <c r="EM533" s="90"/>
      <c r="EN533" s="90"/>
      <c r="EO533" s="90"/>
      <c r="EP533" s="90"/>
      <c r="EQ533" s="90"/>
      <c r="ER533" s="90"/>
      <c r="ES533" s="90"/>
      <c r="ET533" s="90"/>
      <c r="EU533" s="90"/>
      <c r="EV533" s="90"/>
      <c r="EW533" s="90"/>
      <c r="EX533" s="90"/>
      <c r="EY533" s="90"/>
      <c r="EZ533" s="90"/>
      <c r="FA533" s="90"/>
      <c r="FB533" s="90"/>
      <c r="FC533" s="90"/>
      <c r="FD533" s="90"/>
      <c r="FE533" s="90"/>
      <c r="FF533" s="90"/>
      <c r="FG533" s="90"/>
      <c r="FH533" s="90"/>
      <c r="FI533" s="90"/>
      <c r="FJ533" s="90"/>
      <c r="FK533" s="90"/>
      <c r="FL533" s="90"/>
      <c r="FM533" s="143"/>
    </row>
    <row r="534" spans="30:169" ht="6.95" customHeight="1" x14ac:dyDescent="0.15">
      <c r="AD534" s="56"/>
      <c r="AE534" s="3"/>
      <c r="AF534" s="197"/>
      <c r="AG534" s="197"/>
      <c r="AH534" s="197"/>
      <c r="AI534" s="197"/>
      <c r="AJ534" s="82"/>
      <c r="AK534" s="82"/>
      <c r="AL534" s="82"/>
      <c r="AM534" s="2"/>
      <c r="AN534" s="2"/>
      <c r="AO534" s="2"/>
      <c r="AP534" s="2"/>
      <c r="AQ534" s="2"/>
      <c r="AR534" s="2"/>
      <c r="AS534" s="2"/>
      <c r="AT534" s="2"/>
      <c r="AU534" s="3"/>
      <c r="AV534" s="82"/>
      <c r="AW534" s="82"/>
      <c r="AX534" s="3"/>
      <c r="AY534" s="197"/>
      <c r="AZ534" s="197"/>
      <c r="BA534" s="197"/>
      <c r="BB534" s="197"/>
      <c r="BC534" s="82"/>
      <c r="BD534" s="82"/>
      <c r="BE534" s="3"/>
      <c r="BF534" s="3"/>
      <c r="BG534" s="3"/>
      <c r="BH534" s="3"/>
      <c r="BI534" s="198"/>
      <c r="BJ534" s="198"/>
      <c r="BK534" s="198"/>
      <c r="BL534" s="198"/>
      <c r="BM534" s="1"/>
      <c r="BN534" s="1"/>
      <c r="BO534" s="1"/>
      <c r="BP534" s="99"/>
      <c r="BR534" s="56"/>
      <c r="BS534" s="3"/>
      <c r="BT534" s="197"/>
      <c r="BU534" s="197"/>
      <c r="BV534" s="197"/>
      <c r="BW534" s="197"/>
      <c r="BX534" s="82"/>
      <c r="BY534" s="82"/>
      <c r="BZ534" s="82"/>
      <c r="CA534" s="2"/>
      <c r="CB534" s="2"/>
      <c r="CC534" s="2"/>
      <c r="CD534" s="2"/>
      <c r="CE534" s="2"/>
      <c r="CF534" s="2"/>
      <c r="CG534" s="2"/>
      <c r="CH534" s="2"/>
      <c r="CI534" s="3"/>
      <c r="CJ534" s="82"/>
      <c r="CK534" s="82"/>
      <c r="CL534" s="3"/>
      <c r="CM534" s="197"/>
      <c r="CN534" s="197"/>
      <c r="CO534" s="197"/>
      <c r="CP534" s="197"/>
      <c r="CQ534" s="82"/>
      <c r="CR534" s="82"/>
      <c r="CS534" s="3"/>
      <c r="CT534" s="3"/>
      <c r="CU534" s="3"/>
      <c r="CV534" s="3"/>
      <c r="CW534" s="198"/>
      <c r="CX534" s="198"/>
      <c r="CY534" s="198"/>
      <c r="CZ534" s="198"/>
      <c r="DA534" s="1"/>
      <c r="DB534" s="1"/>
      <c r="DC534" s="1"/>
      <c r="DD534" s="99"/>
      <c r="DF534" s="142"/>
      <c r="DG534" s="90"/>
      <c r="DH534" s="90"/>
      <c r="DI534" s="90"/>
      <c r="DJ534" s="90"/>
      <c r="DK534" s="90"/>
      <c r="DL534" s="90"/>
      <c r="DM534" s="90"/>
      <c r="DN534" s="90"/>
      <c r="DO534" s="90"/>
      <c r="DP534" s="90"/>
      <c r="DQ534" s="90"/>
      <c r="DR534" s="90"/>
      <c r="DS534" s="90"/>
      <c r="DT534" s="90"/>
      <c r="DU534" s="90"/>
      <c r="DV534" s="90"/>
      <c r="DW534" s="90"/>
      <c r="DX534" s="90"/>
      <c r="DY534" s="90"/>
      <c r="DZ534" s="90"/>
      <c r="EA534" s="90"/>
      <c r="EB534" s="90"/>
      <c r="EC534" s="90"/>
      <c r="ED534" s="90"/>
      <c r="EE534" s="90"/>
      <c r="EF534" s="90"/>
      <c r="EG534" s="90"/>
      <c r="EH534" s="90"/>
      <c r="EI534" s="143"/>
      <c r="EK534" s="142"/>
      <c r="EL534" s="90"/>
      <c r="EM534" s="90"/>
      <c r="EN534" s="90"/>
      <c r="EO534" s="90"/>
      <c r="EP534" s="90"/>
      <c r="EQ534" s="90"/>
      <c r="ER534" s="90"/>
      <c r="ES534" s="90"/>
      <c r="ET534" s="90"/>
      <c r="EU534" s="90"/>
      <c r="EV534" s="90"/>
      <c r="EW534" s="90"/>
      <c r="EX534" s="90"/>
      <c r="EY534" s="90"/>
      <c r="EZ534" s="90"/>
      <c r="FA534" s="90"/>
      <c r="FB534" s="90"/>
      <c r="FC534" s="90"/>
      <c r="FD534" s="90"/>
      <c r="FE534" s="90"/>
      <c r="FF534" s="90"/>
      <c r="FG534" s="90"/>
      <c r="FH534" s="90"/>
      <c r="FI534" s="90"/>
      <c r="FJ534" s="90"/>
      <c r="FK534" s="90"/>
      <c r="FL534" s="90"/>
      <c r="FM534" s="143"/>
    </row>
    <row r="535" spans="30:169" ht="6.95" customHeight="1" x14ac:dyDescent="0.15">
      <c r="AD535" s="56"/>
      <c r="AE535" s="3"/>
      <c r="AF535" s="3"/>
      <c r="AG535" s="3"/>
      <c r="AH535" s="3"/>
      <c r="AI535" s="2"/>
      <c r="AJ535" s="2"/>
      <c r="AK535" s="2"/>
      <c r="AL535" s="2"/>
      <c r="AM535" s="2"/>
      <c r="AN535" s="82"/>
      <c r="AO535" s="82"/>
      <c r="AP535" s="82"/>
      <c r="AQ535" s="82"/>
      <c r="AR535" s="82"/>
      <c r="AS535" s="82"/>
      <c r="AT535" s="2"/>
      <c r="AU535" s="3"/>
      <c r="AV535" s="82"/>
      <c r="AW535" s="82"/>
      <c r="AX535" s="3"/>
      <c r="AY535" s="3"/>
      <c r="AZ535" s="2"/>
      <c r="BA535" s="3"/>
      <c r="BB535" s="82"/>
      <c r="BC535" s="82"/>
      <c r="BD535" s="3"/>
      <c r="BE535" s="3"/>
      <c r="BF535" s="3"/>
      <c r="BG535" s="3"/>
      <c r="BH535" s="3"/>
      <c r="BI535" s="3"/>
      <c r="BJ535" s="3"/>
      <c r="BK535" s="3"/>
      <c r="BL535" s="3"/>
      <c r="BM535" s="1"/>
      <c r="BN535" s="1"/>
      <c r="BO535" s="1"/>
      <c r="BP535" s="99"/>
      <c r="BR535" s="56"/>
      <c r="BS535" s="3"/>
      <c r="BT535" s="3"/>
      <c r="BU535" s="3"/>
      <c r="BV535" s="3"/>
      <c r="BW535" s="2"/>
      <c r="BX535" s="2"/>
      <c r="BY535" s="2"/>
      <c r="BZ535" s="2"/>
      <c r="CA535" s="2"/>
      <c r="CB535" s="82"/>
      <c r="CC535" s="82"/>
      <c r="CD535" s="82"/>
      <c r="CE535" s="82"/>
      <c r="CF535" s="82"/>
      <c r="CG535" s="82"/>
      <c r="CH535" s="2"/>
      <c r="CI535" s="3"/>
      <c r="CJ535" s="82"/>
      <c r="CK535" s="82"/>
      <c r="CL535" s="3"/>
      <c r="CM535" s="3"/>
      <c r="CN535" s="2"/>
      <c r="CO535" s="3"/>
      <c r="CP535" s="82"/>
      <c r="CQ535" s="82"/>
      <c r="CR535" s="3"/>
      <c r="CS535" s="3"/>
      <c r="CT535" s="3"/>
      <c r="CU535" s="3"/>
      <c r="CV535" s="3"/>
      <c r="CW535" s="3"/>
      <c r="CX535" s="3"/>
      <c r="CY535" s="3"/>
      <c r="CZ535" s="3"/>
      <c r="DA535" s="1"/>
      <c r="DB535" s="1"/>
      <c r="DC535" s="1"/>
      <c r="DD535" s="99"/>
      <c r="DF535" s="142"/>
      <c r="DG535" s="90"/>
      <c r="DH535" s="90"/>
      <c r="DI535" s="90"/>
      <c r="DJ535" s="90"/>
      <c r="DK535" s="90"/>
      <c r="DL535" s="90"/>
      <c r="DM535" s="90"/>
      <c r="DN535" s="90"/>
      <c r="DO535" s="90"/>
      <c r="DP535" s="90"/>
      <c r="DQ535" s="90"/>
      <c r="DR535" s="90"/>
      <c r="DS535" s="90"/>
      <c r="DT535" s="90"/>
      <c r="DU535" s="90"/>
      <c r="DV535" s="90"/>
      <c r="DW535" s="90"/>
      <c r="DX535" s="90"/>
      <c r="DY535" s="90"/>
      <c r="DZ535" s="90"/>
      <c r="EA535" s="90"/>
      <c r="EB535" s="90"/>
      <c r="EC535" s="90"/>
      <c r="ED535" s="90"/>
      <c r="EE535" s="90"/>
      <c r="EF535" s="90"/>
      <c r="EG535" s="90"/>
      <c r="EH535" s="90"/>
      <c r="EI535" s="143"/>
      <c r="EK535" s="142"/>
      <c r="EL535" s="90"/>
      <c r="EM535" s="90"/>
      <c r="EN535" s="90"/>
      <c r="EO535" s="90"/>
      <c r="EP535" s="90"/>
      <c r="EQ535" s="90"/>
      <c r="ER535" s="90"/>
      <c r="ES535" s="90"/>
      <c r="ET535" s="90"/>
      <c r="EU535" s="90"/>
      <c r="EV535" s="90"/>
      <c r="EW535" s="90"/>
      <c r="EX535" s="90"/>
      <c r="EY535" s="90"/>
      <c r="EZ535" s="90"/>
      <c r="FA535" s="90"/>
      <c r="FB535" s="90"/>
      <c r="FC535" s="90"/>
      <c r="FD535" s="90"/>
      <c r="FE535" s="90"/>
      <c r="FF535" s="90"/>
      <c r="FG535" s="90"/>
      <c r="FH535" s="90"/>
      <c r="FI535" s="90"/>
      <c r="FJ535" s="90"/>
      <c r="FK535" s="90"/>
      <c r="FL535" s="90"/>
      <c r="FM535" s="143"/>
    </row>
    <row r="536" spans="30:169" ht="6.95" customHeight="1" x14ac:dyDescent="0.15">
      <c r="AD536" s="56"/>
      <c r="AE536" s="3"/>
      <c r="AF536" s="199">
        <f>CHOOSE(SUM((AD512&gt;={700,750,800,850,900,950})*1), 500,550,600,650,750,800)</f>
        <v>550</v>
      </c>
      <c r="AG536" s="199"/>
      <c r="AH536" s="199"/>
      <c r="AI536" s="199"/>
      <c r="AJ536" s="4"/>
      <c r="AK536" s="4"/>
      <c r="AL536" s="4"/>
      <c r="AM536" s="4"/>
      <c r="AN536" s="82"/>
      <c r="AO536" s="82"/>
      <c r="AP536" s="82"/>
      <c r="AQ536" s="82"/>
      <c r="AR536" s="82"/>
      <c r="AS536" s="82"/>
      <c r="AT536" s="4"/>
      <c r="AU536" s="3"/>
      <c r="AV536" s="3"/>
      <c r="AW536" s="82"/>
      <c r="AX536" s="3"/>
      <c r="AY536" s="3"/>
      <c r="AZ536" s="4"/>
      <c r="BA536" s="3"/>
      <c r="BB536" s="3"/>
      <c r="BC536" s="3"/>
      <c r="BD536" s="3"/>
      <c r="BE536" s="3"/>
      <c r="BF536" s="3"/>
      <c r="BG536" s="3"/>
      <c r="BH536" s="197">
        <f>CHOOSE(SUM(($BR$138&gt;={700,750})*1), 700,800)</f>
        <v>800</v>
      </c>
      <c r="BI536" s="197"/>
      <c r="BJ536" s="197"/>
      <c r="BK536" s="197"/>
      <c r="BL536" s="3"/>
      <c r="BM536" s="1"/>
      <c r="BN536" s="1"/>
      <c r="BO536" s="1"/>
      <c r="BP536" s="99"/>
      <c r="BR536" s="56"/>
      <c r="BS536" s="3"/>
      <c r="BT536" s="199">
        <f>CHOOSE(SUM((BR512&gt;={700,750,800,850,900,950})*1), 500,550,600,650,750,800)</f>
        <v>550</v>
      </c>
      <c r="BU536" s="199"/>
      <c r="BV536" s="199"/>
      <c r="BW536" s="199"/>
      <c r="BX536" s="4"/>
      <c r="BY536" s="4"/>
      <c r="BZ536" s="4"/>
      <c r="CA536" s="4"/>
      <c r="CB536" s="82"/>
      <c r="CC536" s="82"/>
      <c r="CD536" s="82"/>
      <c r="CE536" s="82"/>
      <c r="CF536" s="82"/>
      <c r="CG536" s="82"/>
      <c r="CH536" s="4"/>
      <c r="CI536" s="3"/>
      <c r="CJ536" s="3"/>
      <c r="CK536" s="82"/>
      <c r="CL536" s="3"/>
      <c r="CM536" s="3"/>
      <c r="CN536" s="4"/>
      <c r="CO536" s="3"/>
      <c r="CP536" s="3"/>
      <c r="CQ536" s="3"/>
      <c r="CR536" s="3"/>
      <c r="CS536" s="3"/>
      <c r="CT536" s="3"/>
      <c r="CU536" s="3"/>
      <c r="CV536" s="197">
        <f>CHOOSE(SUM(($BR$138&gt;={700,750})*1), 700,800)</f>
        <v>800</v>
      </c>
      <c r="CW536" s="197"/>
      <c r="CX536" s="197"/>
      <c r="CY536" s="197"/>
      <c r="CZ536" s="3"/>
      <c r="DA536" s="1"/>
      <c r="DB536" s="1"/>
      <c r="DC536" s="1"/>
      <c r="DD536" s="99"/>
      <c r="DF536" s="142"/>
      <c r="DG536" s="90"/>
      <c r="DH536" s="90"/>
      <c r="DI536" s="90"/>
      <c r="DJ536" s="90"/>
      <c r="DK536" s="90"/>
      <c r="DL536" s="90"/>
      <c r="DM536" s="90"/>
      <c r="DN536" s="90"/>
      <c r="DO536" s="90"/>
      <c r="DP536" s="90"/>
      <c r="DQ536" s="90"/>
      <c r="DR536" s="90"/>
      <c r="DS536" s="90"/>
      <c r="DT536" s="90"/>
      <c r="DU536" s="90"/>
      <c r="DV536" s="90"/>
      <c r="DW536" s="90"/>
      <c r="DX536" s="90"/>
      <c r="DY536" s="90"/>
      <c r="DZ536" s="90"/>
      <c r="EA536" s="90"/>
      <c r="EB536" s="90"/>
      <c r="EC536" s="90"/>
      <c r="ED536" s="90"/>
      <c r="EE536" s="90"/>
      <c r="EF536" s="90"/>
      <c r="EG536" s="90"/>
      <c r="EH536" s="90"/>
      <c r="EI536" s="143"/>
      <c r="EK536" s="142"/>
      <c r="EL536" s="90"/>
      <c r="EM536" s="90"/>
      <c r="EN536" s="90"/>
      <c r="EO536" s="90"/>
      <c r="EP536" s="90"/>
      <c r="EQ536" s="90"/>
      <c r="ER536" s="90"/>
      <c r="ES536" s="90"/>
      <c r="ET536" s="90"/>
      <c r="EU536" s="90"/>
      <c r="EV536" s="90"/>
      <c r="EW536" s="90"/>
      <c r="EX536" s="90"/>
      <c r="EY536" s="90"/>
      <c r="EZ536" s="90"/>
      <c r="FA536" s="90"/>
      <c r="FB536" s="90"/>
      <c r="FC536" s="90"/>
      <c r="FD536" s="90"/>
      <c r="FE536" s="90"/>
      <c r="FF536" s="90"/>
      <c r="FG536" s="90"/>
      <c r="FH536" s="90"/>
      <c r="FI536" s="90"/>
      <c r="FJ536" s="90"/>
      <c r="FK536" s="90"/>
      <c r="FL536" s="90"/>
      <c r="FM536" s="143"/>
    </row>
    <row r="537" spans="30:169" ht="6.95" customHeight="1" x14ac:dyDescent="0.15">
      <c r="AD537" s="56"/>
      <c r="AE537" s="3"/>
      <c r="AF537" s="199"/>
      <c r="AG537" s="199"/>
      <c r="AH537" s="199"/>
      <c r="AI537" s="199"/>
      <c r="AJ537" s="4"/>
      <c r="AK537" s="4"/>
      <c r="AL537" s="4"/>
      <c r="AM537" s="4"/>
      <c r="AN537" s="82"/>
      <c r="AO537" s="82"/>
      <c r="AP537" s="82"/>
      <c r="AQ537" s="4"/>
      <c r="AR537" s="4"/>
      <c r="AS537" s="4"/>
      <c r="AT537" s="4"/>
      <c r="AU537" s="4"/>
      <c r="AV537" s="4"/>
      <c r="AW537" s="3"/>
      <c r="AX537" s="3"/>
      <c r="AY537" s="4"/>
      <c r="AZ537" s="4"/>
      <c r="BA537" s="4"/>
      <c r="BB537" s="4"/>
      <c r="BC537" s="4"/>
      <c r="BD537" s="4"/>
      <c r="BE537" s="4"/>
      <c r="BF537" s="4"/>
      <c r="BG537" s="4"/>
      <c r="BH537" s="197"/>
      <c r="BI537" s="197"/>
      <c r="BJ537" s="197"/>
      <c r="BK537" s="197"/>
      <c r="BL537" s="4"/>
      <c r="BM537" s="1"/>
      <c r="BN537" s="1"/>
      <c r="BO537" s="1"/>
      <c r="BP537" s="99"/>
      <c r="BR537" s="56"/>
      <c r="BS537" s="3"/>
      <c r="BT537" s="199"/>
      <c r="BU537" s="199"/>
      <c r="BV537" s="199"/>
      <c r="BW537" s="199"/>
      <c r="BX537" s="4"/>
      <c r="BY537" s="4"/>
      <c r="BZ537" s="4"/>
      <c r="CA537" s="4"/>
      <c r="CB537" s="82"/>
      <c r="CC537" s="82"/>
      <c r="CD537" s="82"/>
      <c r="CE537" s="4"/>
      <c r="CF537" s="4"/>
      <c r="CG537" s="4"/>
      <c r="CH537" s="4"/>
      <c r="CI537" s="4"/>
      <c r="CJ537" s="4"/>
      <c r="CK537" s="3"/>
      <c r="CL537" s="3"/>
      <c r="CM537" s="4"/>
      <c r="CN537" s="4"/>
      <c r="CO537" s="4"/>
      <c r="CP537" s="4"/>
      <c r="CQ537" s="4"/>
      <c r="CR537" s="4"/>
      <c r="CS537" s="4"/>
      <c r="CT537" s="4"/>
      <c r="CU537" s="4"/>
      <c r="CV537" s="197"/>
      <c r="CW537" s="197"/>
      <c r="CX537" s="197"/>
      <c r="CY537" s="197"/>
      <c r="CZ537" s="4"/>
      <c r="DA537" s="1"/>
      <c r="DB537" s="1"/>
      <c r="DC537" s="1"/>
      <c r="DD537" s="99"/>
      <c r="DF537" s="142"/>
      <c r="DG537" s="90"/>
      <c r="DH537" s="90"/>
      <c r="DI537" s="90"/>
      <c r="DJ537" s="90"/>
      <c r="DK537" s="90"/>
      <c r="DL537" s="90"/>
      <c r="DM537" s="90"/>
      <c r="DN537" s="90"/>
      <c r="DO537" s="90"/>
      <c r="DP537" s="90"/>
      <c r="DQ537" s="90"/>
      <c r="DR537" s="90"/>
      <c r="DS537" s="90"/>
      <c r="DT537" s="90"/>
      <c r="DU537" s="90"/>
      <c r="DV537" s="90"/>
      <c r="DW537" s="90"/>
      <c r="DX537" s="90"/>
      <c r="DY537" s="90"/>
      <c r="DZ537" s="90"/>
      <c r="EA537" s="90"/>
      <c r="EB537" s="90"/>
      <c r="EC537" s="90"/>
      <c r="ED537" s="90"/>
      <c r="EE537" s="90"/>
      <c r="EF537" s="90"/>
      <c r="EG537" s="90"/>
      <c r="EH537" s="90"/>
      <c r="EI537" s="143"/>
      <c r="EK537" s="142"/>
      <c r="EL537" s="90"/>
      <c r="EM537" s="90"/>
      <c r="EN537" s="90"/>
      <c r="EO537" s="90"/>
      <c r="EP537" s="90"/>
      <c r="EQ537" s="90"/>
      <c r="ER537" s="90"/>
      <c r="ES537" s="90"/>
      <c r="ET537" s="90"/>
      <c r="EU537" s="90"/>
      <c r="EV537" s="90"/>
      <c r="EW537" s="90"/>
      <c r="EX537" s="90"/>
      <c r="EY537" s="90"/>
      <c r="EZ537" s="90"/>
      <c r="FA537" s="90"/>
      <c r="FB537" s="90"/>
      <c r="FC537" s="90"/>
      <c r="FD537" s="90"/>
      <c r="FE537" s="90"/>
      <c r="FF537" s="90"/>
      <c r="FG537" s="90"/>
      <c r="FH537" s="90"/>
      <c r="FI537" s="90"/>
      <c r="FJ537" s="90"/>
      <c r="FK537" s="90"/>
      <c r="FL537" s="90"/>
      <c r="FM537" s="143"/>
    </row>
    <row r="538" spans="30:169" ht="6.95" customHeight="1" x14ac:dyDescent="0.15">
      <c r="AD538" s="56"/>
      <c r="AE538" s="3"/>
      <c r="AF538" s="3"/>
      <c r="AG538" s="3"/>
      <c r="AH538" s="3"/>
      <c r="AI538" s="4"/>
      <c r="AJ538" s="4"/>
      <c r="AK538" s="4"/>
      <c r="AL538" s="4"/>
      <c r="AM538" s="88"/>
      <c r="AN538" s="88"/>
      <c r="AO538" s="88"/>
      <c r="AP538" s="88"/>
      <c r="AQ538" s="88"/>
      <c r="AR538" s="88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1"/>
      <c r="BN538" s="1"/>
      <c r="BO538" s="1"/>
      <c r="BP538" s="99"/>
      <c r="BR538" s="56"/>
      <c r="BS538" s="3"/>
      <c r="BT538" s="3"/>
      <c r="BU538" s="3"/>
      <c r="BV538" s="3"/>
      <c r="BW538" s="4"/>
      <c r="BX538" s="4"/>
      <c r="BY538" s="4"/>
      <c r="BZ538" s="4"/>
      <c r="CA538" s="88"/>
      <c r="CB538" s="88"/>
      <c r="CC538" s="88"/>
      <c r="CD538" s="88"/>
      <c r="CE538" s="88"/>
      <c r="CF538" s="88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1"/>
      <c r="DB538" s="1"/>
      <c r="DC538" s="1"/>
      <c r="DD538" s="99"/>
      <c r="DF538" s="142"/>
      <c r="DG538" s="90"/>
      <c r="DH538" s="90"/>
      <c r="DI538" s="90"/>
      <c r="DJ538" s="90"/>
      <c r="DK538" s="90"/>
      <c r="DL538" s="90"/>
      <c r="DM538" s="90"/>
      <c r="DN538" s="90"/>
      <c r="DO538" s="90"/>
      <c r="DP538" s="90"/>
      <c r="DQ538" s="90"/>
      <c r="DR538" s="90"/>
      <c r="DS538" s="90"/>
      <c r="DT538" s="90"/>
      <c r="DU538" s="90"/>
      <c r="DV538" s="90"/>
      <c r="DW538" s="90"/>
      <c r="DX538" s="90"/>
      <c r="DY538" s="90"/>
      <c r="DZ538" s="90"/>
      <c r="EA538" s="90"/>
      <c r="EB538" s="90"/>
      <c r="EC538" s="90"/>
      <c r="ED538" s="90"/>
      <c r="EE538" s="90"/>
      <c r="EF538" s="90"/>
      <c r="EG538" s="90"/>
      <c r="EH538" s="90"/>
      <c r="EI538" s="143"/>
      <c r="EK538" s="142"/>
      <c r="EL538" s="90"/>
      <c r="EM538" s="90"/>
      <c r="EN538" s="90"/>
      <c r="EO538" s="90"/>
      <c r="EP538" s="90"/>
      <c r="EQ538" s="90"/>
      <c r="ER538" s="90"/>
      <c r="ES538" s="90"/>
      <c r="ET538" s="90"/>
      <c r="EU538" s="90"/>
      <c r="EV538" s="90"/>
      <c r="EW538" s="90"/>
      <c r="EX538" s="90"/>
      <c r="EY538" s="90"/>
      <c r="EZ538" s="90"/>
      <c r="FA538" s="90"/>
      <c r="FB538" s="90"/>
      <c r="FC538" s="90"/>
      <c r="FD538" s="90"/>
      <c r="FE538" s="90"/>
      <c r="FF538" s="90"/>
      <c r="FG538" s="90"/>
      <c r="FH538" s="90"/>
      <c r="FI538" s="90"/>
      <c r="FJ538" s="90"/>
      <c r="FK538" s="90"/>
      <c r="FL538" s="90"/>
      <c r="FM538" s="143"/>
    </row>
    <row r="539" spans="30:169" ht="6.95" customHeight="1" x14ac:dyDescent="0.15">
      <c r="AD539" s="56"/>
      <c r="AE539" s="3"/>
      <c r="AF539" s="3"/>
      <c r="AG539" s="3"/>
      <c r="AH539" s="3"/>
      <c r="AI539" s="4"/>
      <c r="AJ539" s="4"/>
      <c r="AK539" s="84"/>
      <c r="AL539" s="84"/>
      <c r="AM539" s="88"/>
      <c r="AN539" s="88"/>
      <c r="AO539" s="196" t="s">
        <v>42</v>
      </c>
      <c r="AP539" s="196"/>
      <c r="AQ539" s="196"/>
      <c r="AR539" s="196">
        <v>12</v>
      </c>
      <c r="AS539" s="196"/>
      <c r="AT539" s="196" t="s">
        <v>43</v>
      </c>
      <c r="AU539" s="196"/>
      <c r="AV539" s="196"/>
      <c r="AW539" s="4"/>
      <c r="AX539" s="4"/>
      <c r="AY539" s="4"/>
      <c r="AZ539" s="88"/>
      <c r="BA539" s="4"/>
      <c r="BB539" s="200">
        <f>CHOOSE(SUM(($BR$138&gt;={700,750})*1), 300,200)</f>
        <v>200</v>
      </c>
      <c r="BC539" s="200"/>
      <c r="BD539" s="200"/>
      <c r="BE539" s="200"/>
      <c r="BF539" s="4"/>
      <c r="BG539" s="88"/>
      <c r="BH539" s="196" t="s">
        <v>42</v>
      </c>
      <c r="BI539" s="196"/>
      <c r="BJ539" s="196"/>
      <c r="BK539" s="196">
        <v>4</v>
      </c>
      <c r="BL539" s="196"/>
      <c r="BM539" s="196" t="s">
        <v>43</v>
      </c>
      <c r="BN539" s="196"/>
      <c r="BO539" s="196"/>
      <c r="BP539" s="99"/>
      <c r="BR539" s="56"/>
      <c r="BS539" s="3"/>
      <c r="BT539" s="3"/>
      <c r="BU539" s="3"/>
      <c r="BV539" s="3"/>
      <c r="BW539" s="4"/>
      <c r="BX539" s="4"/>
      <c r="BY539" s="84"/>
      <c r="BZ539" s="84"/>
      <c r="CA539" s="88"/>
      <c r="CB539" s="88"/>
      <c r="CC539" s="196" t="s">
        <v>42</v>
      </c>
      <c r="CD539" s="196"/>
      <c r="CE539" s="196"/>
      <c r="CF539" s="196">
        <v>6</v>
      </c>
      <c r="CG539" s="196"/>
      <c r="CH539" s="196" t="s">
        <v>43</v>
      </c>
      <c r="CI539" s="196"/>
      <c r="CJ539" s="196"/>
      <c r="CK539" s="4"/>
      <c r="CL539" s="4"/>
      <c r="CM539" s="4"/>
      <c r="CN539" s="88"/>
      <c r="CO539" s="4"/>
      <c r="CP539" s="200">
        <f>CHOOSE(SUM(($BR$138&gt;={700,750})*1), 300,200)</f>
        <v>200</v>
      </c>
      <c r="CQ539" s="200"/>
      <c r="CR539" s="200"/>
      <c r="CS539" s="200"/>
      <c r="CT539" s="4"/>
      <c r="CU539" s="88"/>
      <c r="CV539" s="196" t="s">
        <v>42</v>
      </c>
      <c r="CW539" s="196"/>
      <c r="CX539" s="196"/>
      <c r="CY539" s="196">
        <v>2</v>
      </c>
      <c r="CZ539" s="196"/>
      <c r="DA539" s="196" t="s">
        <v>43</v>
      </c>
      <c r="DB539" s="196"/>
      <c r="DC539" s="196"/>
      <c r="DD539" s="99"/>
      <c r="DF539" s="142"/>
      <c r="DG539" s="90"/>
      <c r="DH539" s="90"/>
      <c r="DI539" s="90"/>
      <c r="DJ539" s="90"/>
      <c r="DK539" s="90"/>
      <c r="DL539" s="90"/>
      <c r="DM539" s="90"/>
      <c r="DN539" s="90"/>
      <c r="DO539" s="90"/>
      <c r="DP539" s="90"/>
      <c r="DQ539" s="90"/>
      <c r="DR539" s="90"/>
      <c r="DS539" s="90"/>
      <c r="DT539" s="90"/>
      <c r="DU539" s="90"/>
      <c r="DV539" s="90"/>
      <c r="DW539" s="90"/>
      <c r="DX539" s="90"/>
      <c r="DY539" s="90"/>
      <c r="DZ539" s="90"/>
      <c r="EA539" s="90"/>
      <c r="EB539" s="90"/>
      <c r="EC539" s="90"/>
      <c r="ED539" s="90"/>
      <c r="EE539" s="90"/>
      <c r="EF539" s="90"/>
      <c r="EG539" s="90"/>
      <c r="EH539" s="90"/>
      <c r="EI539" s="143"/>
      <c r="EK539" s="144"/>
      <c r="EL539" s="145"/>
      <c r="EM539" s="145"/>
      <c r="EN539" s="145"/>
      <c r="EO539" s="145"/>
      <c r="EP539" s="145"/>
      <c r="EQ539" s="145"/>
      <c r="ER539" s="145"/>
      <c r="ES539" s="145"/>
      <c r="ET539" s="145"/>
      <c r="EU539" s="145"/>
      <c r="EV539" s="145"/>
      <c r="EW539" s="145"/>
      <c r="EX539" s="145"/>
      <c r="EY539" s="145"/>
      <c r="EZ539" s="145"/>
      <c r="FA539" s="145"/>
      <c r="FB539" s="145"/>
      <c r="FC539" s="145"/>
      <c r="FD539" s="145"/>
      <c r="FE539" s="145"/>
      <c r="FF539" s="145"/>
      <c r="FG539" s="145"/>
      <c r="FH539" s="145"/>
      <c r="FI539" s="145"/>
      <c r="FJ539" s="145"/>
      <c r="FK539" s="145"/>
      <c r="FL539" s="145"/>
      <c r="FM539" s="146"/>
    </row>
    <row r="540" spans="30:169" ht="6.95" customHeight="1" x14ac:dyDescent="0.15">
      <c r="AD540" s="56"/>
      <c r="AE540" s="3"/>
      <c r="AF540" s="2"/>
      <c r="AG540" s="2"/>
      <c r="AH540" s="2"/>
      <c r="AI540" s="2"/>
      <c r="AJ540" s="2"/>
      <c r="AK540" s="84"/>
      <c r="AL540" s="84"/>
      <c r="AM540" s="88"/>
      <c r="AN540" s="88"/>
      <c r="AO540" s="196"/>
      <c r="AP540" s="196"/>
      <c r="AQ540" s="196"/>
      <c r="AR540" s="196"/>
      <c r="AS540" s="196"/>
      <c r="AT540" s="196"/>
      <c r="AU540" s="196"/>
      <c r="AV540" s="196"/>
      <c r="AW540" s="84"/>
      <c r="AX540" s="84"/>
      <c r="AY540" s="4"/>
      <c r="AZ540" s="88"/>
      <c r="BA540" s="4"/>
      <c r="BB540" s="200"/>
      <c r="BC540" s="200"/>
      <c r="BD540" s="200"/>
      <c r="BE540" s="200"/>
      <c r="BF540" s="4"/>
      <c r="BG540" s="88"/>
      <c r="BH540" s="196"/>
      <c r="BI540" s="196"/>
      <c r="BJ540" s="196"/>
      <c r="BK540" s="196"/>
      <c r="BL540" s="196"/>
      <c r="BM540" s="196"/>
      <c r="BN540" s="196"/>
      <c r="BO540" s="196"/>
      <c r="BP540" s="99"/>
      <c r="BR540" s="56"/>
      <c r="BS540" s="3"/>
      <c r="BT540" s="2"/>
      <c r="BU540" s="2"/>
      <c r="BV540" s="2"/>
      <c r="BW540" s="2"/>
      <c r="BX540" s="2"/>
      <c r="BY540" s="84"/>
      <c r="BZ540" s="84"/>
      <c r="CA540" s="88"/>
      <c r="CB540" s="88"/>
      <c r="CC540" s="196"/>
      <c r="CD540" s="196"/>
      <c r="CE540" s="196"/>
      <c r="CF540" s="196"/>
      <c r="CG540" s="196"/>
      <c r="CH540" s="196"/>
      <c r="CI540" s="196"/>
      <c r="CJ540" s="196"/>
      <c r="CK540" s="84"/>
      <c r="CL540" s="84"/>
      <c r="CM540" s="4"/>
      <c r="CN540" s="88"/>
      <c r="CO540" s="4"/>
      <c r="CP540" s="200"/>
      <c r="CQ540" s="200"/>
      <c r="CR540" s="200"/>
      <c r="CS540" s="200"/>
      <c r="CT540" s="4"/>
      <c r="CU540" s="88"/>
      <c r="CV540" s="196"/>
      <c r="CW540" s="196"/>
      <c r="CX540" s="196"/>
      <c r="CY540" s="196"/>
      <c r="CZ540" s="196"/>
      <c r="DA540" s="196"/>
      <c r="DB540" s="196"/>
      <c r="DC540" s="196"/>
      <c r="DD540" s="99"/>
      <c r="DF540" s="142"/>
      <c r="DG540" s="90"/>
      <c r="DH540" s="90"/>
      <c r="DI540" s="90"/>
      <c r="DJ540" s="90"/>
      <c r="DK540" s="90"/>
      <c r="DL540" s="90"/>
      <c r="DM540" s="90"/>
      <c r="DN540" s="90"/>
      <c r="DO540" s="90"/>
      <c r="DP540" s="90"/>
      <c r="DQ540" s="90"/>
      <c r="DR540" s="90"/>
      <c r="DS540" s="90"/>
      <c r="DT540" s="90"/>
      <c r="DU540" s="90"/>
      <c r="DV540" s="90"/>
      <c r="DW540" s="90"/>
      <c r="DX540" s="90"/>
      <c r="DY540" s="90"/>
      <c r="DZ540" s="90"/>
      <c r="EA540" s="90"/>
      <c r="EB540" s="90"/>
      <c r="EC540" s="90"/>
      <c r="ED540" s="90"/>
      <c r="EE540" s="90"/>
      <c r="EF540" s="90"/>
      <c r="EG540" s="90"/>
      <c r="EH540" s="90"/>
      <c r="EI540" s="143"/>
    </row>
    <row r="541" spans="30:169" ht="6.95" customHeight="1" x14ac:dyDescent="0.15">
      <c r="AD541" s="52"/>
      <c r="AE541" s="2"/>
      <c r="AF541" s="2"/>
      <c r="AG541" s="2"/>
      <c r="AH541" s="2"/>
      <c r="AI541" s="2"/>
      <c r="AJ541" s="2"/>
      <c r="AK541" s="84"/>
      <c r="AL541" s="84"/>
      <c r="AM541" s="88"/>
      <c r="AN541" s="88"/>
      <c r="AO541" s="103"/>
      <c r="AP541" s="103"/>
      <c r="AQ541" s="103"/>
      <c r="AR541" s="103"/>
      <c r="AS541" s="103"/>
      <c r="AT541" s="103"/>
      <c r="AU541" s="103"/>
      <c r="AV541" s="103"/>
      <c r="AW541" s="84"/>
      <c r="AX541" s="84"/>
      <c r="AY541" s="4"/>
      <c r="AZ541" s="88"/>
      <c r="BA541" s="4"/>
      <c r="BB541" s="107"/>
      <c r="BC541" s="107"/>
      <c r="BD541" s="107"/>
      <c r="BE541" s="107"/>
      <c r="BF541" s="4"/>
      <c r="BG541" s="88"/>
      <c r="BH541" s="103"/>
      <c r="BI541" s="103"/>
      <c r="BJ541" s="103"/>
      <c r="BK541" s="103"/>
      <c r="BL541" s="103"/>
      <c r="BM541" s="103"/>
      <c r="BN541" s="103"/>
      <c r="BO541" s="103"/>
      <c r="BP541" s="99"/>
      <c r="BR541" s="52"/>
      <c r="BS541" s="2"/>
      <c r="BT541" s="2"/>
      <c r="BU541" s="2"/>
      <c r="BV541" s="2"/>
      <c r="BW541" s="2"/>
      <c r="BX541" s="2"/>
      <c r="BY541" s="84"/>
      <c r="BZ541" s="84"/>
      <c r="CA541" s="88"/>
      <c r="CB541" s="88"/>
      <c r="CC541" s="103"/>
      <c r="CD541" s="103"/>
      <c r="CE541" s="103"/>
      <c r="CF541" s="103"/>
      <c r="CG541" s="103"/>
      <c r="CH541" s="103"/>
      <c r="CI541" s="103"/>
      <c r="CJ541" s="103"/>
      <c r="CK541" s="84"/>
      <c r="CL541" s="84"/>
      <c r="CM541" s="4"/>
      <c r="CN541" s="88"/>
      <c r="CO541" s="4"/>
      <c r="CP541" s="107"/>
      <c r="CQ541" s="107"/>
      <c r="CR541" s="107"/>
      <c r="CS541" s="107"/>
      <c r="CT541" s="4"/>
      <c r="CU541" s="88"/>
      <c r="CV541" s="103"/>
      <c r="CW541" s="103"/>
      <c r="CX541" s="103"/>
      <c r="CY541" s="103"/>
      <c r="CZ541" s="103"/>
      <c r="DA541" s="103"/>
      <c r="DB541" s="103"/>
      <c r="DC541" s="103"/>
      <c r="DD541" s="99"/>
      <c r="DF541" s="144"/>
      <c r="DG541" s="145"/>
      <c r="DH541" s="145"/>
      <c r="DI541" s="145"/>
      <c r="DJ541" s="145"/>
      <c r="DK541" s="145"/>
      <c r="DL541" s="145"/>
      <c r="DM541" s="145"/>
      <c r="DN541" s="145"/>
      <c r="DO541" s="145"/>
      <c r="DP541" s="145"/>
      <c r="DQ541" s="145"/>
      <c r="DR541" s="145"/>
      <c r="DS541" s="145"/>
      <c r="DT541" s="145"/>
      <c r="DU541" s="145"/>
      <c r="DV541" s="145"/>
      <c r="DW541" s="145"/>
      <c r="DX541" s="145"/>
      <c r="DY541" s="145"/>
      <c r="DZ541" s="145"/>
      <c r="EA541" s="145"/>
      <c r="EB541" s="145"/>
      <c r="EC541" s="145"/>
      <c r="ED541" s="145"/>
      <c r="EE541" s="145"/>
      <c r="EF541" s="145"/>
      <c r="EG541" s="145"/>
      <c r="EH541" s="145"/>
      <c r="EI541" s="146"/>
    </row>
    <row r="542" spans="30:169" ht="6.95" customHeight="1" x14ac:dyDescent="0.15">
      <c r="AD542" s="56"/>
      <c r="AE542" s="3"/>
      <c r="AF542" s="3"/>
      <c r="AG542" s="3"/>
      <c r="AH542" s="3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1"/>
      <c r="BI542" s="1"/>
      <c r="BJ542" s="1"/>
      <c r="BK542" s="1"/>
      <c r="BL542" s="1"/>
      <c r="BM542" s="1"/>
      <c r="BN542" s="1"/>
      <c r="BO542" s="1"/>
      <c r="BP542" s="99"/>
      <c r="BR542" s="56"/>
      <c r="BS542" s="3"/>
      <c r="BT542" s="3"/>
      <c r="BU542" s="3"/>
      <c r="BV542" s="3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1"/>
      <c r="CW542" s="1"/>
      <c r="CX542" s="1"/>
      <c r="CY542" s="1"/>
      <c r="CZ542" s="1"/>
      <c r="DA542" s="1"/>
      <c r="DB542" s="1"/>
      <c r="DC542" s="1"/>
      <c r="DD542" s="99"/>
    </row>
    <row r="543" spans="30:169" ht="6.95" customHeight="1" x14ac:dyDescent="0.15">
      <c r="AD543" s="56"/>
      <c r="AE543" s="3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3"/>
      <c r="AQ543" s="103"/>
      <c r="AR543" s="103"/>
      <c r="AS543" s="103"/>
      <c r="AT543" s="103"/>
      <c r="AU543" s="103"/>
      <c r="AV543" s="103"/>
      <c r="AW543" s="103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1"/>
      <c r="BI543" s="1"/>
      <c r="BJ543" s="1"/>
      <c r="BK543" s="1"/>
      <c r="BL543" s="1"/>
      <c r="BM543" s="1"/>
      <c r="BN543" s="1"/>
      <c r="BO543" s="1"/>
      <c r="BP543" s="99"/>
      <c r="BR543" s="56"/>
      <c r="BS543" s="3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3"/>
      <c r="CE543" s="103"/>
      <c r="CF543" s="103"/>
      <c r="CG543" s="103"/>
      <c r="CH543" s="103"/>
      <c r="CI543" s="103"/>
      <c r="CJ543" s="103"/>
      <c r="CK543" s="103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1"/>
      <c r="CW543" s="1"/>
      <c r="CX543" s="1"/>
      <c r="CY543" s="1"/>
      <c r="CZ543" s="1"/>
      <c r="DA543" s="1"/>
      <c r="DB543" s="1"/>
      <c r="DC543" s="1"/>
      <c r="DD543" s="99"/>
    </row>
    <row r="544" spans="30:169" ht="6.95" customHeight="1" x14ac:dyDescent="0.15">
      <c r="AD544" s="56"/>
      <c r="AE544" s="3"/>
      <c r="AF544" s="200" t="s">
        <v>44</v>
      </c>
      <c r="AG544" s="200"/>
      <c r="AH544" s="200"/>
      <c r="AI544" s="200"/>
      <c r="AJ544" s="106"/>
      <c r="AK544" s="106"/>
      <c r="AL544" s="106"/>
      <c r="AM544" s="106"/>
      <c r="AN544" s="106"/>
      <c r="AO544" s="106"/>
      <c r="AP544" s="103"/>
      <c r="AQ544" s="103"/>
      <c r="AR544" s="103"/>
      <c r="AS544" s="103"/>
      <c r="AT544" s="103"/>
      <c r="AU544" s="103"/>
      <c r="AV544" s="103"/>
      <c r="AW544" s="103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1"/>
      <c r="BI544" s="1"/>
      <c r="BJ544" s="1"/>
      <c r="BK544" s="1"/>
      <c r="BL544" s="1"/>
      <c r="BM544" s="1"/>
      <c r="BN544" s="1"/>
      <c r="BO544" s="1"/>
      <c r="BP544" s="99"/>
      <c r="BR544" s="56"/>
      <c r="BS544" s="3"/>
      <c r="BT544" s="200" t="s">
        <v>26</v>
      </c>
      <c r="BU544" s="200"/>
      <c r="BV544" s="200"/>
      <c r="BW544" s="200"/>
      <c r="BX544" s="106"/>
      <c r="BY544" s="106"/>
      <c r="BZ544" s="106"/>
      <c r="CA544" s="106"/>
      <c r="CB544" s="106"/>
      <c r="CC544" s="106"/>
      <c r="CD544" s="103"/>
      <c r="CE544" s="103"/>
      <c r="CF544" s="103"/>
      <c r="CG544" s="103"/>
      <c r="CH544" s="103"/>
      <c r="CI544" s="103"/>
      <c r="CJ544" s="103"/>
      <c r="CK544" s="103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1"/>
      <c r="CW544" s="1"/>
      <c r="CX544" s="1"/>
      <c r="CY544" s="1"/>
      <c r="CZ544" s="1"/>
      <c r="DA544" s="1"/>
      <c r="DB544" s="1"/>
      <c r="DC544" s="1"/>
      <c r="DD544" s="99"/>
    </row>
    <row r="545" spans="30:108" ht="6.95" customHeight="1" x14ac:dyDescent="0.15">
      <c r="AD545" s="56"/>
      <c r="AE545" s="3"/>
      <c r="AF545" s="200"/>
      <c r="AG545" s="200"/>
      <c r="AH545" s="200"/>
      <c r="AI545" s="200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1"/>
      <c r="BI545" s="1"/>
      <c r="BJ545" s="199">
        <f>CHOOSE(SUM((AD512&gt;={700,750,800,850,900,950})*1), 140,190,240,290,340,390)</f>
        <v>190</v>
      </c>
      <c r="BK545" s="199"/>
      <c r="BL545" s="199"/>
      <c r="BM545" s="199"/>
      <c r="BN545" s="1"/>
      <c r="BO545" s="1"/>
      <c r="BP545" s="99"/>
      <c r="BR545" s="56"/>
      <c r="BS545" s="3"/>
      <c r="BT545" s="200"/>
      <c r="BU545" s="200"/>
      <c r="BV545" s="200"/>
      <c r="BW545" s="200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1"/>
      <c r="CW545" s="1"/>
      <c r="CX545" s="199">
        <f>CHOOSE(SUM((BR512&gt;={700,750,800,850,900,950})*1), 140,190,240,290,340,390)</f>
        <v>190</v>
      </c>
      <c r="CY545" s="199"/>
      <c r="CZ545" s="199"/>
      <c r="DA545" s="199"/>
      <c r="DB545" s="1"/>
      <c r="DC545" s="1"/>
      <c r="DD545" s="99"/>
    </row>
    <row r="546" spans="30:108" ht="6.95" customHeight="1" x14ac:dyDescent="0.15">
      <c r="AD546" s="56"/>
      <c r="AE546" s="3"/>
      <c r="AF546" s="106"/>
      <c r="AG546" s="106"/>
      <c r="AH546" s="106"/>
      <c r="AI546" s="106"/>
      <c r="AJ546" s="104"/>
      <c r="AK546" s="105"/>
      <c r="AL546" s="105"/>
      <c r="AM546" s="105"/>
      <c r="AN546" s="105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1"/>
      <c r="BI546" s="1"/>
      <c r="BJ546" s="199"/>
      <c r="BK546" s="199"/>
      <c r="BL546" s="199"/>
      <c r="BM546" s="199"/>
      <c r="BN546" s="1"/>
      <c r="BO546" s="1"/>
      <c r="BP546" s="99"/>
      <c r="BR546" s="56"/>
      <c r="BS546" s="3"/>
      <c r="BT546" s="106"/>
      <c r="BU546" s="106"/>
      <c r="BV546" s="106"/>
      <c r="BW546" s="106"/>
      <c r="BX546" s="104"/>
      <c r="BY546" s="105"/>
      <c r="BZ546" s="105"/>
      <c r="CA546" s="105"/>
      <c r="CB546" s="105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1"/>
      <c r="CW546" s="1"/>
      <c r="CX546" s="199"/>
      <c r="CY546" s="199"/>
      <c r="CZ546" s="199"/>
      <c r="DA546" s="199"/>
      <c r="DB546" s="1"/>
      <c r="DC546" s="1"/>
      <c r="DD546" s="99"/>
    </row>
    <row r="547" spans="30:108" ht="6.95" customHeight="1" x14ac:dyDescent="0.15">
      <c r="AD547" s="56"/>
      <c r="AE547" s="3"/>
      <c r="AF547" s="197" t="s">
        <v>44</v>
      </c>
      <c r="AG547" s="197"/>
      <c r="AH547" s="197"/>
      <c r="AI547" s="197"/>
      <c r="AJ547" s="104"/>
      <c r="AK547" s="105"/>
      <c r="AL547" s="105"/>
      <c r="AM547" s="105"/>
      <c r="AN547" s="105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1"/>
      <c r="BI547" s="1"/>
      <c r="BJ547" s="96"/>
      <c r="BK547" s="96"/>
      <c r="BL547" s="96"/>
      <c r="BM547" s="96"/>
      <c r="BN547" s="110"/>
      <c r="BO547" s="1"/>
      <c r="BP547" s="99"/>
      <c r="BR547" s="56"/>
      <c r="BS547" s="3"/>
      <c r="BT547" s="197" t="str">
        <f>BT544</f>
        <v>D16</v>
      </c>
      <c r="BU547" s="197"/>
      <c r="BV547" s="197"/>
      <c r="BW547" s="197"/>
      <c r="BX547" s="104"/>
      <c r="BY547" s="105"/>
      <c r="BZ547" s="105"/>
      <c r="CA547" s="105"/>
      <c r="CB547" s="105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1"/>
      <c r="CW547" s="1"/>
      <c r="CX547" s="96"/>
      <c r="CY547" s="96"/>
      <c r="CZ547" s="96"/>
      <c r="DA547" s="96"/>
      <c r="DB547" s="110"/>
      <c r="DC547" s="1"/>
      <c r="DD547" s="99"/>
    </row>
    <row r="548" spans="30:108" ht="6.95" customHeight="1" x14ac:dyDescent="0.15">
      <c r="AD548" s="56"/>
      <c r="AE548" s="3"/>
      <c r="AF548" s="197"/>
      <c r="AG548" s="197"/>
      <c r="AH548" s="197"/>
      <c r="AI548" s="197"/>
      <c r="AJ548" s="4"/>
      <c r="AK548" s="4"/>
      <c r="AL548" s="105"/>
      <c r="AM548" s="105"/>
      <c r="AN548" s="105"/>
      <c r="AO548" s="105"/>
      <c r="AP548" s="105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1"/>
      <c r="BI548" s="1"/>
      <c r="BJ548" s="1"/>
      <c r="BK548" s="1"/>
      <c r="BL548" s="110"/>
      <c r="BM548" s="110"/>
      <c r="BN548" s="110"/>
      <c r="BO548" s="1"/>
      <c r="BP548" s="99"/>
      <c r="BR548" s="56"/>
      <c r="BS548" s="3"/>
      <c r="BT548" s="197"/>
      <c r="BU548" s="197"/>
      <c r="BV548" s="197"/>
      <c r="BW548" s="197"/>
      <c r="BX548" s="4"/>
      <c r="BY548" s="4"/>
      <c r="BZ548" s="105"/>
      <c r="CA548" s="105"/>
      <c r="CB548" s="105"/>
      <c r="CC548" s="105"/>
      <c r="CD548" s="105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1"/>
      <c r="CW548" s="1"/>
      <c r="CX548" s="1"/>
      <c r="CY548" s="1"/>
      <c r="CZ548" s="110"/>
      <c r="DA548" s="110"/>
      <c r="DB548" s="110"/>
      <c r="DC548" s="1"/>
      <c r="DD548" s="99"/>
    </row>
    <row r="549" spans="30:108" ht="6.95" customHeight="1" x14ac:dyDescent="0.15">
      <c r="AD549" s="56"/>
      <c r="AE549" s="3"/>
      <c r="AF549" s="106"/>
      <c r="AG549" s="106"/>
      <c r="AH549" s="106"/>
      <c r="AI549" s="106"/>
      <c r="AJ549" s="4"/>
      <c r="AK549" s="4"/>
      <c r="AL549" s="105"/>
      <c r="AM549" s="105"/>
      <c r="AN549" s="105"/>
      <c r="AO549" s="105"/>
      <c r="AP549" s="105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196" t="s">
        <v>42</v>
      </c>
      <c r="BI549" s="196"/>
      <c r="BJ549" s="196"/>
      <c r="BK549" s="196">
        <v>1</v>
      </c>
      <c r="BL549" s="196"/>
      <c r="BM549" s="196" t="s">
        <v>43</v>
      </c>
      <c r="BN549" s="196"/>
      <c r="BO549" s="196"/>
      <c r="BP549" s="99"/>
      <c r="BR549" s="56"/>
      <c r="BS549" s="3"/>
      <c r="BT549" s="106"/>
      <c r="BU549" s="106"/>
      <c r="BV549" s="106"/>
      <c r="BW549" s="106"/>
      <c r="BX549" s="4"/>
      <c r="BY549" s="4"/>
      <c r="BZ549" s="105"/>
      <c r="CA549" s="105"/>
      <c r="CB549" s="105"/>
      <c r="CC549" s="105"/>
      <c r="CD549" s="105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196" t="s">
        <v>42</v>
      </c>
      <c r="CW549" s="196"/>
      <c r="CX549" s="196"/>
      <c r="CY549" s="196">
        <v>1</v>
      </c>
      <c r="CZ549" s="196"/>
      <c r="DA549" s="196" t="s">
        <v>43</v>
      </c>
      <c r="DB549" s="196"/>
      <c r="DC549" s="196"/>
      <c r="DD549" s="99"/>
    </row>
    <row r="550" spans="30:108" ht="6.95" customHeight="1" x14ac:dyDescent="0.15">
      <c r="AD550" s="56"/>
      <c r="AE550" s="3"/>
      <c r="AF550" s="3"/>
      <c r="AG550" s="3"/>
      <c r="AH550" s="105"/>
      <c r="AI550" s="105"/>
      <c r="AJ550" s="105"/>
      <c r="AK550" s="105"/>
      <c r="AL550" s="4"/>
      <c r="AM550" s="4"/>
      <c r="AN550" s="4"/>
      <c r="AO550" s="103"/>
      <c r="AP550" s="103"/>
      <c r="AQ550" s="103"/>
      <c r="AR550" s="103"/>
      <c r="AS550" s="103"/>
      <c r="AT550" s="103"/>
      <c r="AU550" s="103"/>
      <c r="AV550" s="103"/>
      <c r="AW550" s="103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196"/>
      <c r="BI550" s="196"/>
      <c r="BJ550" s="196"/>
      <c r="BK550" s="196"/>
      <c r="BL550" s="196"/>
      <c r="BM550" s="196"/>
      <c r="BN550" s="196"/>
      <c r="BO550" s="196"/>
      <c r="BP550" s="99"/>
      <c r="BR550" s="56"/>
      <c r="BS550" s="3"/>
      <c r="BT550" s="3"/>
      <c r="BU550" s="3"/>
      <c r="BV550" s="105"/>
      <c r="BW550" s="105"/>
      <c r="BX550" s="105"/>
      <c r="BY550" s="105"/>
      <c r="BZ550" s="4"/>
      <c r="CA550" s="4"/>
      <c r="CB550" s="4"/>
      <c r="CC550" s="103"/>
      <c r="CD550" s="103"/>
      <c r="CE550" s="103"/>
      <c r="CF550" s="103"/>
      <c r="CG550" s="103"/>
      <c r="CH550" s="103"/>
      <c r="CI550" s="103"/>
      <c r="CJ550" s="103"/>
      <c r="CK550" s="103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196"/>
      <c r="CW550" s="196"/>
      <c r="CX550" s="196"/>
      <c r="CY550" s="196"/>
      <c r="CZ550" s="196"/>
      <c r="DA550" s="196"/>
      <c r="DB550" s="196"/>
      <c r="DC550" s="196"/>
      <c r="DD550" s="99"/>
    </row>
    <row r="551" spans="30:108" ht="6.95" customHeight="1" x14ac:dyDescent="0.15">
      <c r="AD551" s="56"/>
      <c r="AE551" s="3"/>
      <c r="AF551" s="198" t="s">
        <v>44</v>
      </c>
      <c r="AG551" s="198"/>
      <c r="AH551" s="198"/>
      <c r="AI551" s="198"/>
      <c r="AJ551" s="105"/>
      <c r="AK551" s="105"/>
      <c r="AL551" s="218">
        <v>2700</v>
      </c>
      <c r="AM551" s="218"/>
      <c r="AN551" s="218"/>
      <c r="AO551" s="218"/>
      <c r="AP551" s="218"/>
      <c r="AQ551" s="218"/>
      <c r="AR551" s="218"/>
      <c r="AS551" s="103"/>
      <c r="AT551" s="196" t="s">
        <v>42</v>
      </c>
      <c r="AU551" s="196"/>
      <c r="AV551" s="196"/>
      <c r="AW551" s="196"/>
      <c r="AX551" s="196"/>
      <c r="AY551" s="196" t="s">
        <v>43</v>
      </c>
      <c r="AZ551" s="196"/>
      <c r="BA551" s="196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99"/>
      <c r="BR551" s="56"/>
      <c r="BS551" s="3"/>
      <c r="BT551" s="193" t="s">
        <v>26</v>
      </c>
      <c r="BU551" s="193"/>
      <c r="BV551" s="193"/>
      <c r="BW551" s="193"/>
      <c r="BX551" s="4"/>
      <c r="BY551" s="193">
        <v>1775</v>
      </c>
      <c r="BZ551" s="193"/>
      <c r="CA551" s="193"/>
      <c r="CB551" s="193"/>
      <c r="CC551" s="193"/>
      <c r="CD551" s="193"/>
      <c r="CE551" s="193"/>
      <c r="CF551" s="193"/>
      <c r="CG551" s="103"/>
      <c r="CH551" s="196" t="s">
        <v>42</v>
      </c>
      <c r="CI551" s="196"/>
      <c r="CJ551" s="196"/>
      <c r="CK551" s="196"/>
      <c r="CL551" s="196"/>
      <c r="CM551" s="196" t="s">
        <v>43</v>
      </c>
      <c r="CN551" s="196"/>
      <c r="CO551" s="196"/>
      <c r="CP551" s="4"/>
      <c r="CQ551" s="4"/>
      <c r="CR551" s="4"/>
      <c r="CS551" s="4"/>
      <c r="CT551" s="4"/>
      <c r="CU551" s="4"/>
      <c r="CV551" s="103"/>
      <c r="CW551" s="103"/>
      <c r="CX551" s="103"/>
      <c r="CY551" s="103"/>
      <c r="CZ551" s="103"/>
      <c r="DA551" s="103"/>
      <c r="DB551" s="103"/>
      <c r="DC551" s="103"/>
      <c r="DD551" s="99"/>
    </row>
    <row r="552" spans="30:108" ht="6.95" customHeight="1" x14ac:dyDescent="0.15">
      <c r="AD552" s="56"/>
      <c r="AE552" s="3"/>
      <c r="AF552" s="198"/>
      <c r="AG552" s="198"/>
      <c r="AH552" s="198"/>
      <c r="AI552" s="198"/>
      <c r="AJ552" s="4"/>
      <c r="AK552" s="4"/>
      <c r="AL552" s="218"/>
      <c r="AM552" s="218"/>
      <c r="AN552" s="218"/>
      <c r="AO552" s="218"/>
      <c r="AP552" s="218"/>
      <c r="AQ552" s="218"/>
      <c r="AR552" s="218"/>
      <c r="AS552" s="103"/>
      <c r="AT552" s="196"/>
      <c r="AU552" s="196"/>
      <c r="AV552" s="196"/>
      <c r="AW552" s="196"/>
      <c r="AX552" s="196"/>
      <c r="AY552" s="196"/>
      <c r="AZ552" s="196"/>
      <c r="BA552" s="196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99"/>
      <c r="BR552" s="56"/>
      <c r="BS552" s="3"/>
      <c r="BT552" s="193"/>
      <c r="BU552" s="193"/>
      <c r="BV552" s="193"/>
      <c r="BW552" s="193"/>
      <c r="BX552" s="4"/>
      <c r="BY552" s="193"/>
      <c r="BZ552" s="193"/>
      <c r="CA552" s="193"/>
      <c r="CB552" s="193"/>
      <c r="CC552" s="193"/>
      <c r="CD552" s="193"/>
      <c r="CE552" s="193"/>
      <c r="CF552" s="193"/>
      <c r="CG552" s="103"/>
      <c r="CH552" s="196"/>
      <c r="CI552" s="196"/>
      <c r="CJ552" s="196"/>
      <c r="CK552" s="196"/>
      <c r="CL552" s="196"/>
      <c r="CM552" s="196"/>
      <c r="CN552" s="196"/>
      <c r="CO552" s="196"/>
      <c r="CP552" s="4"/>
      <c r="CQ552" s="4"/>
      <c r="CR552" s="4"/>
      <c r="CS552" s="4"/>
      <c r="CT552" s="4"/>
      <c r="CU552" s="4"/>
      <c r="CV552" s="1"/>
      <c r="CW552" s="1"/>
      <c r="CX552" s="1"/>
      <c r="CY552" s="1"/>
      <c r="CZ552" s="1"/>
      <c r="DA552" s="1"/>
      <c r="DB552" s="1"/>
      <c r="DC552" s="1"/>
      <c r="DD552" s="99"/>
    </row>
    <row r="553" spans="30:108" ht="6.95" customHeight="1" x14ac:dyDescent="0.15">
      <c r="AD553" s="56"/>
      <c r="AE553" s="3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3"/>
      <c r="AT553" s="103"/>
      <c r="AU553" s="103"/>
      <c r="AV553" s="103"/>
      <c r="AW553" s="103"/>
      <c r="AX553" s="103"/>
      <c r="AY553" s="103"/>
      <c r="AZ553" s="103"/>
      <c r="BA553" s="103"/>
      <c r="BB553" s="4"/>
      <c r="BC553" s="4"/>
      <c r="BD553" s="4"/>
      <c r="BE553" s="4"/>
      <c r="BF553" s="4"/>
      <c r="BG553" s="4"/>
      <c r="BH553" s="103"/>
      <c r="BI553" s="103"/>
      <c r="BJ553" s="103"/>
      <c r="BK553" s="103"/>
      <c r="BL553" s="103"/>
      <c r="BM553" s="103"/>
      <c r="BN553" s="103"/>
      <c r="BO553" s="103"/>
      <c r="BP553" s="99"/>
      <c r="BR553" s="56"/>
      <c r="BS553" s="3"/>
      <c r="BT553" s="105"/>
      <c r="BU553" s="105"/>
      <c r="BV553" s="105"/>
      <c r="BW553" s="105"/>
      <c r="BX553" s="105"/>
      <c r="BY553" s="105"/>
      <c r="BZ553" s="105"/>
      <c r="CA553" s="105"/>
      <c r="CB553" s="105"/>
      <c r="CC553" s="105"/>
      <c r="CD553" s="105"/>
      <c r="CE553" s="105"/>
      <c r="CF553" s="105"/>
      <c r="CG553" s="103"/>
      <c r="CH553" s="103"/>
      <c r="CI553" s="103"/>
      <c r="CJ553" s="103"/>
      <c r="CK553" s="103"/>
      <c r="CL553" s="103"/>
      <c r="CM553" s="103"/>
      <c r="CN553" s="103"/>
      <c r="CO553" s="103"/>
      <c r="CP553" s="4"/>
      <c r="CQ553" s="4"/>
      <c r="CR553" s="4"/>
      <c r="CS553" s="4"/>
      <c r="CT553" s="4"/>
      <c r="CU553" s="4"/>
      <c r="CV553" s="103"/>
      <c r="CW553" s="103"/>
      <c r="CX553" s="103"/>
      <c r="CY553" s="103"/>
      <c r="CZ553" s="103"/>
      <c r="DA553" s="103"/>
      <c r="DB553" s="103"/>
      <c r="DC553" s="103"/>
      <c r="DD553" s="99"/>
    </row>
    <row r="554" spans="30:108" ht="6.95" customHeight="1" x14ac:dyDescent="0.15">
      <c r="AD554" s="56"/>
      <c r="AE554" s="3"/>
      <c r="AF554" s="193" t="s">
        <v>44</v>
      </c>
      <c r="AG554" s="193"/>
      <c r="AH554" s="193"/>
      <c r="AI554" s="193"/>
      <c r="AJ554" s="2"/>
      <c r="AK554" s="2"/>
      <c r="AL554" s="2"/>
      <c r="AM554" s="105"/>
      <c r="AN554" s="105"/>
      <c r="AO554" s="105"/>
      <c r="AP554" s="105"/>
      <c r="AQ554" s="105"/>
      <c r="AR554" s="105"/>
      <c r="AS554" s="103"/>
      <c r="AT554" s="103"/>
      <c r="AU554" s="103"/>
      <c r="AV554" s="103"/>
      <c r="AW554" s="103"/>
      <c r="AX554" s="103"/>
      <c r="AY554" s="103"/>
      <c r="AZ554" s="103"/>
      <c r="BA554" s="103"/>
      <c r="BB554" s="4"/>
      <c r="BC554" s="4"/>
      <c r="BD554" s="4"/>
      <c r="BE554" s="4"/>
      <c r="BF554" s="4"/>
      <c r="BG554" s="4"/>
      <c r="BH554" s="1"/>
      <c r="BI554" s="1"/>
      <c r="BJ554" s="1"/>
      <c r="BK554" s="1"/>
      <c r="BL554" s="1"/>
      <c r="BM554" s="1"/>
      <c r="BN554" s="1"/>
      <c r="BO554" s="1"/>
      <c r="BP554" s="99"/>
      <c r="BR554" s="56"/>
      <c r="BS554" s="3"/>
      <c r="BT554" s="193" t="s">
        <v>44</v>
      </c>
      <c r="BU554" s="193"/>
      <c r="BV554" s="193"/>
      <c r="BW554" s="193"/>
      <c r="BX554" s="2"/>
      <c r="BY554" s="2"/>
      <c r="BZ554" s="2"/>
      <c r="CA554" s="105"/>
      <c r="CB554" s="105"/>
      <c r="CC554" s="105"/>
      <c r="CD554" s="105"/>
      <c r="CE554" s="105"/>
      <c r="CF554" s="105"/>
      <c r="CG554" s="103"/>
      <c r="CH554" s="103"/>
      <c r="CI554" s="103"/>
      <c r="CJ554" s="103"/>
      <c r="CK554" s="103"/>
      <c r="CL554" s="103"/>
      <c r="CM554" s="103"/>
      <c r="CN554" s="103"/>
      <c r="CO554" s="103"/>
      <c r="CP554" s="4"/>
      <c r="CQ554" s="4"/>
      <c r="CR554" s="4"/>
      <c r="CS554" s="4"/>
      <c r="CT554" s="4"/>
      <c r="CU554" s="4"/>
      <c r="CV554" s="1"/>
      <c r="CW554" s="1"/>
      <c r="CX554" s="1"/>
      <c r="CY554" s="1"/>
      <c r="CZ554" s="1"/>
      <c r="DA554" s="1"/>
      <c r="DB554" s="1"/>
      <c r="DC554" s="1"/>
      <c r="DD554" s="99"/>
    </row>
    <row r="555" spans="30:108" ht="6.95" customHeight="1" x14ac:dyDescent="0.15">
      <c r="AD555" s="56"/>
      <c r="AE555" s="3"/>
      <c r="AF555" s="193"/>
      <c r="AG555" s="193"/>
      <c r="AH555" s="193"/>
      <c r="AI555" s="193"/>
      <c r="AJ555" s="194">
        <f>CHOOSE(SUM((AD512&gt;={700,750,800,850,900,950})*1), 205,255,305,355,405,455)</f>
        <v>255</v>
      </c>
      <c r="AK555" s="194"/>
      <c r="AL555" s="19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1"/>
      <c r="BI555" s="1"/>
      <c r="BJ555" s="1"/>
      <c r="BK555" s="1"/>
      <c r="BL555" s="1"/>
      <c r="BM555" s="1"/>
      <c r="BN555" s="1"/>
      <c r="BO555" s="1"/>
      <c r="BP555" s="99"/>
      <c r="BR555" s="56"/>
      <c r="BS555" s="3"/>
      <c r="BT555" s="193"/>
      <c r="BU555" s="193"/>
      <c r="BV555" s="193"/>
      <c r="BW555" s="193"/>
      <c r="BX555" s="194">
        <f>CHOOSE(SUM((BR512&gt;={700,750,800,850,900,950})*1), 205,255,305,355,405,455)</f>
        <v>255</v>
      </c>
      <c r="BY555" s="194"/>
      <c r="BZ555" s="19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1"/>
      <c r="CW555" s="1"/>
      <c r="CX555" s="1"/>
      <c r="CY555" s="1"/>
      <c r="CZ555" s="1"/>
      <c r="DA555" s="1"/>
      <c r="DB555" s="1"/>
      <c r="DC555" s="1"/>
      <c r="DD555" s="99"/>
    </row>
    <row r="556" spans="30:108" ht="6.95" customHeight="1" x14ac:dyDescent="0.15">
      <c r="AD556" s="56"/>
      <c r="AE556" s="3"/>
      <c r="AF556" s="105"/>
      <c r="AG556" s="105"/>
      <c r="AH556" s="105"/>
      <c r="AI556" s="105"/>
      <c r="AJ556" s="194"/>
      <c r="AK556" s="194"/>
      <c r="AL556" s="19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195">
        <f>CHOOSE(SUM((AD512&gt;={700,750,800,850,900,950})*1), 290,360,430,500,570,640)</f>
        <v>360</v>
      </c>
      <c r="BC556" s="195"/>
      <c r="BD556" s="195"/>
      <c r="BE556" s="4"/>
      <c r="BF556" s="4"/>
      <c r="BG556" s="4"/>
      <c r="BH556" s="196" t="s">
        <v>42</v>
      </c>
      <c r="BI556" s="196"/>
      <c r="BJ556" s="196"/>
      <c r="BK556" s="196">
        <v>1</v>
      </c>
      <c r="BL556" s="196"/>
      <c r="BM556" s="196" t="s">
        <v>43</v>
      </c>
      <c r="BN556" s="196"/>
      <c r="BO556" s="196"/>
      <c r="BP556" s="99"/>
      <c r="BR556" s="56"/>
      <c r="BS556" s="3"/>
      <c r="BT556" s="105"/>
      <c r="BU556" s="105"/>
      <c r="BV556" s="105"/>
      <c r="BW556" s="105"/>
      <c r="BX556" s="194"/>
      <c r="BY556" s="194"/>
      <c r="BZ556" s="19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195">
        <f>CHOOSE(SUM((BR512&gt;={700,750,800,850,900,950})*1), 290,360,430,500,570,640)</f>
        <v>360</v>
      </c>
      <c r="CQ556" s="195"/>
      <c r="CR556" s="195"/>
      <c r="CS556" s="4"/>
      <c r="CT556" s="4"/>
      <c r="CU556" s="4"/>
      <c r="CV556" s="196" t="s">
        <v>42</v>
      </c>
      <c r="CW556" s="196"/>
      <c r="CX556" s="196"/>
      <c r="CY556" s="196">
        <v>1</v>
      </c>
      <c r="CZ556" s="196"/>
      <c r="DA556" s="196" t="s">
        <v>43</v>
      </c>
      <c r="DB556" s="196"/>
      <c r="DC556" s="196"/>
      <c r="DD556" s="99"/>
    </row>
    <row r="557" spans="30:108" ht="6.95" customHeight="1" x14ac:dyDescent="0.15">
      <c r="AD557" s="115"/>
      <c r="AE557" s="116"/>
      <c r="AF557" s="3"/>
      <c r="AG557" s="3"/>
      <c r="AH557" s="3"/>
      <c r="AI557" s="4"/>
      <c r="AJ557" s="194"/>
      <c r="AK557" s="194"/>
      <c r="AL557" s="194"/>
      <c r="AM557" s="2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195"/>
      <c r="BC557" s="195"/>
      <c r="BD557" s="195"/>
      <c r="BE557" s="4"/>
      <c r="BF557" s="4"/>
      <c r="BG557" s="4"/>
      <c r="BH557" s="196"/>
      <c r="BI557" s="196"/>
      <c r="BJ557" s="196"/>
      <c r="BK557" s="196"/>
      <c r="BL557" s="196"/>
      <c r="BM557" s="196"/>
      <c r="BN557" s="196"/>
      <c r="BO557" s="196"/>
      <c r="BP557" s="99"/>
      <c r="BR557" s="115"/>
      <c r="BS557" s="3"/>
      <c r="BT557" s="3"/>
      <c r="BU557" s="3"/>
      <c r="BV557" s="3"/>
      <c r="BW557" s="4"/>
      <c r="BX557" s="194"/>
      <c r="BY557" s="194"/>
      <c r="BZ557" s="194"/>
      <c r="CA557" s="2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195"/>
      <c r="CQ557" s="195"/>
      <c r="CR557" s="195"/>
      <c r="CS557" s="4"/>
      <c r="CT557" s="4"/>
      <c r="CU557" s="4"/>
      <c r="CV557" s="196"/>
      <c r="CW557" s="196"/>
      <c r="CX557" s="196"/>
      <c r="CY557" s="196"/>
      <c r="CZ557" s="196"/>
      <c r="DA557" s="196"/>
      <c r="DB557" s="196"/>
      <c r="DC557" s="196"/>
      <c r="DD557" s="99"/>
    </row>
    <row r="558" spans="30:108" ht="6.95" customHeight="1" x14ac:dyDescent="0.15">
      <c r="AD558" s="115"/>
      <c r="AE558" s="116"/>
      <c r="AF558" s="3"/>
      <c r="AG558" s="3"/>
      <c r="AH558" s="3"/>
      <c r="AI558" s="4"/>
      <c r="AJ558" s="194"/>
      <c r="AK558" s="194"/>
      <c r="AL558" s="194"/>
      <c r="AM558" s="2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111"/>
      <c r="BC558" s="111"/>
      <c r="BD558" s="111"/>
      <c r="BE558" s="88"/>
      <c r="BF558" s="88"/>
      <c r="BG558" s="88"/>
      <c r="BH558" s="103"/>
      <c r="BI558" s="103"/>
      <c r="BJ558" s="103"/>
      <c r="BK558" s="103"/>
      <c r="BL558" s="103"/>
      <c r="BM558" s="103"/>
      <c r="BN558" s="103"/>
      <c r="BO558" s="103"/>
      <c r="BP558" s="99"/>
      <c r="BR558" s="115"/>
      <c r="BS558" s="3"/>
      <c r="BT558" s="3"/>
      <c r="BU558" s="3"/>
      <c r="BV558" s="3"/>
      <c r="BW558" s="4"/>
      <c r="BX558" s="194"/>
      <c r="BY558" s="194"/>
      <c r="BZ558" s="194"/>
      <c r="CA558" s="2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111"/>
      <c r="CQ558" s="111"/>
      <c r="CR558" s="111"/>
      <c r="CS558" s="88"/>
      <c r="CT558" s="88"/>
      <c r="CU558" s="88"/>
      <c r="CV558" s="103"/>
      <c r="CW558" s="103"/>
      <c r="CX558" s="103"/>
      <c r="CY558" s="103"/>
      <c r="CZ558" s="103"/>
      <c r="DA558" s="103"/>
      <c r="DB558" s="103"/>
      <c r="DC558" s="103"/>
      <c r="DD558" s="99"/>
    </row>
    <row r="559" spans="30:108" ht="6.95" customHeight="1" x14ac:dyDescent="0.15">
      <c r="AD559" s="115"/>
      <c r="AE559" s="116"/>
      <c r="AF559" s="193" t="s">
        <v>44</v>
      </c>
      <c r="AG559" s="193"/>
      <c r="AH559" s="193"/>
      <c r="AI559" s="193"/>
      <c r="AJ559" s="105"/>
      <c r="AK559" s="105"/>
      <c r="AL559" s="105"/>
      <c r="AM559" s="105"/>
      <c r="AN559" s="105"/>
      <c r="AO559" s="105"/>
      <c r="AP559" s="105"/>
      <c r="AQ559" s="105"/>
      <c r="AR559" s="88"/>
      <c r="AS559" s="103"/>
      <c r="AT559" s="103"/>
      <c r="AU559" s="103"/>
      <c r="AV559" s="103"/>
      <c r="AW559" s="103"/>
      <c r="AX559" s="103"/>
      <c r="AY559" s="103"/>
      <c r="AZ559" s="103"/>
      <c r="BA559" s="4"/>
      <c r="BB559" s="111"/>
      <c r="BC559" s="111"/>
      <c r="BD559" s="111"/>
      <c r="BE559" s="88"/>
      <c r="BF559" s="88"/>
      <c r="BG559" s="88"/>
      <c r="BH559" s="103"/>
      <c r="BI559" s="103"/>
      <c r="BJ559" s="103"/>
      <c r="BK559" s="103"/>
      <c r="BL559" s="103"/>
      <c r="BM559" s="103"/>
      <c r="BN559" s="103"/>
      <c r="BO559" s="103"/>
      <c r="BP559" s="99"/>
      <c r="BR559" s="115"/>
      <c r="BS559" s="116"/>
      <c r="BT559" s="193" t="s">
        <v>26</v>
      </c>
      <c r="BU559" s="193"/>
      <c r="BV559" s="193"/>
      <c r="BW559" s="193"/>
      <c r="BX559" s="4"/>
      <c r="BY559" s="193" t="s">
        <v>55</v>
      </c>
      <c r="BZ559" s="193"/>
      <c r="CA559" s="193"/>
      <c r="CB559" s="193"/>
      <c r="CC559" s="193"/>
      <c r="CD559" s="193"/>
      <c r="CE559" s="193"/>
      <c r="CF559" s="193"/>
      <c r="CG559" s="103"/>
      <c r="CH559" s="196" t="s">
        <v>42</v>
      </c>
      <c r="CI559" s="196"/>
      <c r="CJ559" s="196"/>
      <c r="CK559" s="196">
        <v>1</v>
      </c>
      <c r="CL559" s="196"/>
      <c r="CM559" s="196" t="s">
        <v>43</v>
      </c>
      <c r="CN559" s="196"/>
      <c r="CO559" s="196"/>
      <c r="CP559" s="111"/>
      <c r="CQ559" s="111"/>
      <c r="CR559" s="111"/>
      <c r="CS559" s="88"/>
      <c r="CT559" s="88"/>
      <c r="CU559" s="88"/>
      <c r="CV559" s="103"/>
      <c r="CW559" s="103"/>
      <c r="CX559" s="103"/>
      <c r="CY559" s="103"/>
      <c r="CZ559" s="103"/>
      <c r="DA559" s="103"/>
      <c r="DB559" s="103"/>
      <c r="DC559" s="103"/>
      <c r="DD559" s="99"/>
    </row>
    <row r="560" spans="30:108" ht="6.95" customHeight="1" x14ac:dyDescent="0.15">
      <c r="AD560" s="115"/>
      <c r="AE560" s="116"/>
      <c r="AF560" s="193"/>
      <c r="AG560" s="193"/>
      <c r="AH560" s="193"/>
      <c r="AI560" s="193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1"/>
      <c r="BI560" s="1"/>
      <c r="BJ560" s="1"/>
      <c r="BK560" s="1"/>
      <c r="BL560" s="1"/>
      <c r="BM560" s="1"/>
      <c r="BN560" s="1"/>
      <c r="BO560" s="1"/>
      <c r="BP560" s="99"/>
      <c r="BR560" s="115"/>
      <c r="BS560" s="116"/>
      <c r="BT560" s="193"/>
      <c r="BU560" s="193"/>
      <c r="BV560" s="193"/>
      <c r="BW560" s="193"/>
      <c r="BX560" s="4"/>
      <c r="BY560" s="193"/>
      <c r="BZ560" s="193"/>
      <c r="CA560" s="193"/>
      <c r="CB560" s="193"/>
      <c r="CC560" s="193"/>
      <c r="CD560" s="193"/>
      <c r="CE560" s="193"/>
      <c r="CF560" s="193"/>
      <c r="CG560" s="103"/>
      <c r="CH560" s="196"/>
      <c r="CI560" s="196"/>
      <c r="CJ560" s="196"/>
      <c r="CK560" s="196"/>
      <c r="CL560" s="196"/>
      <c r="CM560" s="196"/>
      <c r="CN560" s="196"/>
      <c r="CO560" s="196"/>
      <c r="CP560" s="4"/>
      <c r="CQ560" s="4"/>
      <c r="CR560" s="4"/>
      <c r="CS560" s="4"/>
      <c r="CT560" s="4"/>
      <c r="CU560" s="4"/>
      <c r="CV560" s="1"/>
      <c r="CW560" s="1"/>
      <c r="CX560" s="1"/>
      <c r="CY560" s="1"/>
      <c r="CZ560" s="1"/>
      <c r="DA560" s="1"/>
      <c r="DB560" s="1"/>
      <c r="DC560" s="1"/>
      <c r="DD560" s="99"/>
    </row>
    <row r="561" spans="30:108" ht="6.95" customHeight="1" thickBot="1" x14ac:dyDescent="0.2">
      <c r="AD561" s="148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  <c r="BO561" s="90"/>
      <c r="BP561" s="149"/>
      <c r="BR561" s="150"/>
      <c r="BS561" s="151"/>
      <c r="BT561" s="151"/>
      <c r="BU561" s="151"/>
      <c r="BV561" s="151"/>
      <c r="BW561" s="151"/>
      <c r="BX561" s="151"/>
      <c r="BY561" s="151"/>
      <c r="BZ561" s="151"/>
      <c r="CA561" s="151"/>
      <c r="CB561" s="151"/>
      <c r="CC561" s="151"/>
      <c r="CD561" s="151"/>
      <c r="CE561" s="151"/>
      <c r="CF561" s="151"/>
      <c r="CG561" s="151"/>
      <c r="CH561" s="151"/>
      <c r="CI561" s="151"/>
      <c r="CJ561" s="151"/>
      <c r="CK561" s="151"/>
      <c r="CL561" s="151"/>
      <c r="CM561" s="151"/>
      <c r="CN561" s="151"/>
      <c r="CO561" s="151"/>
      <c r="CP561" s="151"/>
      <c r="CQ561" s="151"/>
      <c r="CR561" s="151"/>
      <c r="CS561" s="151"/>
      <c r="CT561" s="151"/>
      <c r="CU561" s="151"/>
      <c r="CV561" s="151"/>
      <c r="CW561" s="151"/>
      <c r="CX561" s="151"/>
      <c r="CY561" s="151"/>
      <c r="CZ561" s="151"/>
      <c r="DA561" s="151"/>
      <c r="DB561" s="151"/>
      <c r="DC561" s="151"/>
      <c r="DD561" s="152"/>
    </row>
    <row r="562" spans="30:108" ht="6.95" customHeight="1" x14ac:dyDescent="0.15">
      <c r="AD562" s="148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149"/>
      <c r="BR562" s="148"/>
      <c r="BS562" s="90"/>
      <c r="BT562" s="90"/>
      <c r="BU562" s="90"/>
      <c r="BV562" s="90"/>
      <c r="BW562" s="90"/>
      <c r="BX562" s="90"/>
      <c r="BY562" s="90"/>
      <c r="BZ562" s="90"/>
      <c r="CA562" s="90"/>
      <c r="CB562" s="90"/>
      <c r="CC562" s="90"/>
      <c r="CD562" s="90"/>
      <c r="CE562" s="90"/>
      <c r="CF562" s="90"/>
      <c r="CG562" s="90"/>
      <c r="CH562" s="90"/>
      <c r="CI562" s="90"/>
      <c r="CJ562" s="90"/>
      <c r="CK562" s="90"/>
      <c r="CL562" s="90"/>
      <c r="CM562" s="90"/>
      <c r="CN562" s="90"/>
      <c r="CO562" s="90"/>
      <c r="CP562" s="90"/>
      <c r="CQ562" s="90"/>
      <c r="CR562" s="90"/>
      <c r="CS562" s="90"/>
      <c r="CT562" s="90"/>
      <c r="CU562" s="90"/>
      <c r="CV562" s="90"/>
      <c r="CW562" s="90"/>
      <c r="CX562" s="90"/>
      <c r="CY562" s="90"/>
      <c r="CZ562" s="90"/>
      <c r="DA562" s="90"/>
      <c r="DB562" s="90"/>
      <c r="DC562" s="90"/>
      <c r="DD562" s="149"/>
    </row>
    <row r="563" spans="30:108" ht="6.95" customHeight="1" x14ac:dyDescent="0.15">
      <c r="AD563" s="148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196" t="s">
        <v>42</v>
      </c>
      <c r="BI563" s="196"/>
      <c r="BJ563" s="196"/>
      <c r="BK563" s="196">
        <v>1</v>
      </c>
      <c r="BL563" s="196"/>
      <c r="BM563" s="196" t="s">
        <v>43</v>
      </c>
      <c r="BN563" s="196"/>
      <c r="BO563" s="196"/>
      <c r="BP563" s="149"/>
      <c r="BR563" s="148"/>
      <c r="BS563" s="90"/>
      <c r="BT563" s="90"/>
      <c r="BU563" s="90"/>
      <c r="BV563" s="90"/>
      <c r="BW563" s="90"/>
      <c r="BX563" s="90"/>
      <c r="BY563" s="90"/>
      <c r="BZ563" s="90"/>
      <c r="CA563" s="90"/>
      <c r="CB563" s="90"/>
      <c r="CC563" s="90"/>
      <c r="CD563" s="90"/>
      <c r="CE563" s="90"/>
      <c r="CF563" s="90"/>
      <c r="CG563" s="90"/>
      <c r="CH563" s="90"/>
      <c r="CI563" s="90"/>
      <c r="CJ563" s="90"/>
      <c r="CK563" s="90"/>
      <c r="CL563" s="90"/>
      <c r="CM563" s="90"/>
      <c r="CN563" s="90"/>
      <c r="CO563" s="90"/>
      <c r="CP563" s="90"/>
      <c r="CQ563" s="90"/>
      <c r="CR563" s="90"/>
      <c r="CS563" s="90"/>
      <c r="CT563" s="90"/>
      <c r="CU563" s="90"/>
      <c r="CV563" s="103"/>
      <c r="CW563" s="103"/>
      <c r="CX563" s="103"/>
      <c r="CY563" s="103"/>
      <c r="CZ563" s="103"/>
      <c r="DA563" s="103"/>
      <c r="DB563" s="103"/>
      <c r="DC563" s="103"/>
      <c r="DD563" s="149"/>
    </row>
    <row r="564" spans="30:108" ht="6.95" customHeight="1" x14ac:dyDescent="0.15">
      <c r="AD564" s="148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196"/>
      <c r="BI564" s="196"/>
      <c r="BJ564" s="196"/>
      <c r="BK564" s="196"/>
      <c r="BL564" s="196"/>
      <c r="BM564" s="196"/>
      <c r="BN564" s="196"/>
      <c r="BO564" s="196"/>
      <c r="BP564" s="149"/>
      <c r="BR564" s="148"/>
      <c r="BS564" s="90"/>
      <c r="BT564" s="90"/>
      <c r="BU564" s="90"/>
      <c r="BV564" s="90"/>
      <c r="BW564" s="90"/>
      <c r="BX564" s="90"/>
      <c r="BY564" s="90"/>
      <c r="BZ564" s="90"/>
      <c r="CA564" s="90"/>
      <c r="CB564" s="90"/>
      <c r="CC564" s="90"/>
      <c r="CD564" s="90"/>
      <c r="CE564" s="90"/>
      <c r="CF564" s="90"/>
      <c r="CG564" s="90"/>
      <c r="CH564" s="90"/>
      <c r="CI564" s="90"/>
      <c r="CJ564" s="90"/>
      <c r="CK564" s="90"/>
      <c r="CL564" s="90"/>
      <c r="CM564" s="90"/>
      <c r="CN564" s="90"/>
      <c r="CO564" s="90"/>
      <c r="CP564" s="90"/>
      <c r="CQ564" s="90"/>
      <c r="CR564" s="90"/>
      <c r="CS564" s="90"/>
      <c r="CT564" s="90"/>
      <c r="CU564" s="90"/>
      <c r="CV564" s="103"/>
      <c r="CW564" s="103"/>
      <c r="CX564" s="103"/>
      <c r="CY564" s="103"/>
      <c r="CZ564" s="103"/>
      <c r="DA564" s="103"/>
      <c r="DB564" s="103"/>
      <c r="DC564" s="103"/>
      <c r="DD564" s="149"/>
    </row>
    <row r="565" spans="30:108" ht="6.95" customHeight="1" thickBot="1" x14ac:dyDescent="0.2">
      <c r="AD565" s="150"/>
      <c r="AE565" s="151"/>
      <c r="AF565" s="151"/>
      <c r="AG565" s="151"/>
      <c r="AH565" s="151"/>
      <c r="AI565" s="151"/>
      <c r="AJ565" s="151"/>
      <c r="AK565" s="151"/>
      <c r="AL565" s="151"/>
      <c r="AM565" s="151"/>
      <c r="AN565" s="151"/>
      <c r="AO565" s="151"/>
      <c r="AP565" s="151"/>
      <c r="AQ565" s="151"/>
      <c r="AR565" s="151"/>
      <c r="AS565" s="151"/>
      <c r="AT565" s="151"/>
      <c r="AU565" s="151"/>
      <c r="AV565" s="151"/>
      <c r="AW565" s="151"/>
      <c r="AX565" s="151"/>
      <c r="AY565" s="151"/>
      <c r="AZ565" s="151"/>
      <c r="BA565" s="151"/>
      <c r="BB565" s="151"/>
      <c r="BC565" s="151"/>
      <c r="BD565" s="151"/>
      <c r="BE565" s="151"/>
      <c r="BF565" s="151"/>
      <c r="BG565" s="151"/>
      <c r="BH565" s="151"/>
      <c r="BI565" s="151"/>
      <c r="BJ565" s="151"/>
      <c r="BK565" s="151"/>
      <c r="BL565" s="151"/>
      <c r="BM565" s="151"/>
      <c r="BN565" s="151"/>
      <c r="BO565" s="151"/>
      <c r="BP565" s="152"/>
      <c r="BR565" s="150"/>
      <c r="BS565" s="151"/>
      <c r="BT565" s="151"/>
      <c r="BU565" s="151"/>
      <c r="BV565" s="151"/>
      <c r="BW565" s="151"/>
      <c r="BX565" s="151"/>
      <c r="BY565" s="151"/>
      <c r="BZ565" s="151"/>
      <c r="CA565" s="151"/>
      <c r="CB565" s="151"/>
      <c r="CC565" s="151"/>
      <c r="CD565" s="151"/>
      <c r="CE565" s="151"/>
      <c r="CF565" s="151"/>
      <c r="CG565" s="151"/>
      <c r="CH565" s="151"/>
      <c r="CI565" s="151"/>
      <c r="CJ565" s="151"/>
      <c r="CK565" s="151"/>
      <c r="CL565" s="151"/>
      <c r="CM565" s="151"/>
      <c r="CN565" s="151"/>
      <c r="CO565" s="151"/>
      <c r="CP565" s="151"/>
      <c r="CQ565" s="151"/>
      <c r="CR565" s="151"/>
      <c r="CS565" s="151"/>
      <c r="CT565" s="151"/>
      <c r="CU565" s="151"/>
      <c r="CV565" s="151"/>
      <c r="CW565" s="151"/>
      <c r="CX565" s="151"/>
      <c r="CY565" s="151"/>
      <c r="CZ565" s="151"/>
      <c r="DA565" s="151"/>
      <c r="DB565" s="151"/>
      <c r="DC565" s="151"/>
      <c r="DD565" s="152"/>
    </row>
    <row r="566" spans="30:108" ht="6.95" customHeight="1" thickBot="1" x14ac:dyDescent="0.2">
      <c r="AD566" s="216">
        <v>800</v>
      </c>
      <c r="AE566" s="216"/>
      <c r="AF566" s="216"/>
      <c r="BQ566" s="93"/>
      <c r="BR566" s="216">
        <v>800</v>
      </c>
      <c r="BS566" s="216"/>
      <c r="BT566" s="216"/>
    </row>
    <row r="567" spans="30:108" ht="6.95" customHeight="1" x14ac:dyDescent="0.15">
      <c r="AD567" s="108" t="s">
        <v>25</v>
      </c>
      <c r="AE567" s="109"/>
      <c r="AF567" s="109"/>
      <c r="AG567" s="109"/>
      <c r="AH567" s="109"/>
      <c r="AI567" s="202" t="s">
        <v>40</v>
      </c>
      <c r="AJ567" s="202"/>
      <c r="AK567" s="202">
        <v>1</v>
      </c>
      <c r="AL567" s="202"/>
      <c r="AM567" s="202" t="s">
        <v>41</v>
      </c>
      <c r="AN567" s="202"/>
      <c r="AO567" s="202"/>
      <c r="AP567" s="202"/>
      <c r="AQ567" s="202"/>
      <c r="AR567" s="204"/>
      <c r="AS567" s="204"/>
      <c r="AT567" s="204"/>
      <c r="AU567" s="204"/>
      <c r="AV567" s="204"/>
      <c r="AW567" s="204"/>
      <c r="AX567" s="204"/>
      <c r="AY567" s="204"/>
      <c r="AZ567" s="204"/>
      <c r="BA567" s="204"/>
      <c r="BB567" s="204"/>
      <c r="BC567" s="204"/>
      <c r="BD567" s="204"/>
      <c r="BE567" s="204"/>
      <c r="BF567" s="204"/>
      <c r="BG567" s="204"/>
      <c r="BH567" s="204"/>
      <c r="BI567" s="204"/>
      <c r="BJ567" s="204"/>
      <c r="BK567" s="204"/>
      <c r="BL567" s="204"/>
      <c r="BM567" s="206">
        <f>SUM(AR585,BK585,AR594,BK594,BK625,BK619,AW614,BK602,AR602)*AK567</f>
        <v>18</v>
      </c>
      <c r="BN567" s="206"/>
      <c r="BO567" s="206"/>
      <c r="BP567" s="208"/>
      <c r="BQ567" s="93"/>
      <c r="BR567" s="108" t="s">
        <v>25</v>
      </c>
      <c r="BS567" s="109"/>
      <c r="BT567" s="109"/>
      <c r="BU567" s="109"/>
      <c r="BV567" s="109"/>
      <c r="BW567" s="202" t="s">
        <v>40</v>
      </c>
      <c r="BX567" s="202"/>
      <c r="BY567" s="202">
        <v>1</v>
      </c>
      <c r="BZ567" s="202"/>
      <c r="CA567" s="202" t="s">
        <v>41</v>
      </c>
      <c r="CB567" s="202"/>
      <c r="CC567" s="202"/>
      <c r="CD567" s="202"/>
      <c r="CE567" s="202"/>
      <c r="CF567" s="204"/>
      <c r="CG567" s="204"/>
      <c r="CH567" s="204"/>
      <c r="CI567" s="204"/>
      <c r="CJ567" s="204"/>
      <c r="CK567" s="204"/>
      <c r="CL567" s="204"/>
      <c r="CM567" s="204"/>
      <c r="CN567" s="204"/>
      <c r="CO567" s="204"/>
      <c r="CP567" s="204"/>
      <c r="CQ567" s="204"/>
      <c r="CR567" s="204"/>
      <c r="CS567" s="204"/>
      <c r="CT567" s="204"/>
      <c r="CU567" s="204"/>
      <c r="CV567" s="204"/>
      <c r="CW567" s="204"/>
      <c r="CX567" s="204"/>
      <c r="CY567" s="204"/>
      <c r="CZ567" s="204"/>
      <c r="DA567" s="206">
        <f>SUM(CF585,CY585,CF594,CY594,CY625,CY619,CK614,CY602,CF602)*BY567</f>
        <v>18</v>
      </c>
      <c r="DB567" s="206"/>
      <c r="DC567" s="206"/>
      <c r="DD567" s="208"/>
    </row>
    <row r="568" spans="30:108" ht="6.95" customHeight="1" thickBot="1" x14ac:dyDescent="0.2">
      <c r="AD568" s="80"/>
      <c r="AE568" s="81"/>
      <c r="AF568" s="81"/>
      <c r="AG568" s="81"/>
      <c r="AH568" s="81"/>
      <c r="AI568" s="203"/>
      <c r="AJ568" s="203"/>
      <c r="AK568" s="203"/>
      <c r="AL568" s="203"/>
      <c r="AM568" s="203"/>
      <c r="AN568" s="203"/>
      <c r="AO568" s="203"/>
      <c r="AP568" s="203"/>
      <c r="AQ568" s="203"/>
      <c r="AR568" s="205"/>
      <c r="AS568" s="205"/>
      <c r="AT568" s="205"/>
      <c r="AU568" s="205"/>
      <c r="AV568" s="205"/>
      <c r="AW568" s="205"/>
      <c r="AX568" s="205"/>
      <c r="AY568" s="205"/>
      <c r="AZ568" s="205"/>
      <c r="BA568" s="205"/>
      <c r="BB568" s="205"/>
      <c r="BC568" s="205"/>
      <c r="BD568" s="205"/>
      <c r="BE568" s="205"/>
      <c r="BF568" s="205"/>
      <c r="BG568" s="205"/>
      <c r="BH568" s="205"/>
      <c r="BI568" s="205"/>
      <c r="BJ568" s="205"/>
      <c r="BK568" s="205"/>
      <c r="BL568" s="205"/>
      <c r="BM568" s="207"/>
      <c r="BN568" s="207"/>
      <c r="BO568" s="207"/>
      <c r="BP568" s="209"/>
      <c r="BQ568" s="93"/>
      <c r="BR568" s="80"/>
      <c r="BS568" s="81"/>
      <c r="BT568" s="81"/>
      <c r="BU568" s="81"/>
      <c r="BV568" s="81"/>
      <c r="BW568" s="203"/>
      <c r="BX568" s="203"/>
      <c r="BY568" s="203"/>
      <c r="BZ568" s="203"/>
      <c r="CA568" s="203"/>
      <c r="CB568" s="203"/>
      <c r="CC568" s="203"/>
      <c r="CD568" s="203"/>
      <c r="CE568" s="203"/>
      <c r="CF568" s="205"/>
      <c r="CG568" s="205"/>
      <c r="CH568" s="205"/>
      <c r="CI568" s="205"/>
      <c r="CJ568" s="205"/>
      <c r="CK568" s="205"/>
      <c r="CL568" s="205"/>
      <c r="CM568" s="205"/>
      <c r="CN568" s="205"/>
      <c r="CO568" s="205"/>
      <c r="CP568" s="205"/>
      <c r="CQ568" s="205"/>
      <c r="CR568" s="205"/>
      <c r="CS568" s="205"/>
      <c r="CT568" s="205"/>
      <c r="CU568" s="205"/>
      <c r="CV568" s="205"/>
      <c r="CW568" s="205"/>
      <c r="CX568" s="205"/>
      <c r="CY568" s="205"/>
      <c r="CZ568" s="205"/>
      <c r="DA568" s="207"/>
      <c r="DB568" s="207"/>
      <c r="DC568" s="207"/>
      <c r="DD568" s="209"/>
    </row>
    <row r="569" spans="30:108" ht="6.95" customHeight="1" x14ac:dyDescent="0.15">
      <c r="AD569" s="5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1"/>
      <c r="BI569" s="1"/>
      <c r="BJ569" s="1"/>
      <c r="BK569" s="1"/>
      <c r="BL569" s="1"/>
      <c r="BM569" s="1"/>
      <c r="BN569" s="92"/>
      <c r="BO569" s="92"/>
      <c r="BP569" s="98"/>
      <c r="BQ569" s="93"/>
      <c r="BR569" s="5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1"/>
      <c r="CW569" s="1"/>
      <c r="CX569" s="1"/>
      <c r="CY569" s="1"/>
      <c r="CZ569" s="1"/>
      <c r="DA569" s="1"/>
      <c r="DB569" s="92"/>
      <c r="DC569" s="92"/>
      <c r="DD569" s="98"/>
    </row>
    <row r="570" spans="30:108" ht="6.95" customHeight="1" x14ac:dyDescent="0.15">
      <c r="AD570" s="5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1"/>
      <c r="BI570" s="1"/>
      <c r="BJ570" s="1"/>
      <c r="BK570" s="1"/>
      <c r="BL570" s="1"/>
      <c r="BM570" s="1"/>
      <c r="BN570" s="1"/>
      <c r="BO570" s="1"/>
      <c r="BP570" s="99"/>
      <c r="BQ570" s="93"/>
      <c r="BR570" s="5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1"/>
      <c r="CW570" s="1"/>
      <c r="CX570" s="1"/>
      <c r="CY570" s="1"/>
      <c r="CZ570" s="1"/>
      <c r="DA570" s="1"/>
      <c r="DB570" s="1"/>
      <c r="DC570" s="1"/>
      <c r="DD570" s="99"/>
    </row>
    <row r="571" spans="30:108" ht="6.95" customHeight="1" x14ac:dyDescent="0.15">
      <c r="AD571" s="5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1"/>
      <c r="BI571" s="1"/>
      <c r="BJ571" s="1"/>
      <c r="BK571" s="1"/>
      <c r="BL571" s="1"/>
      <c r="BM571" s="1"/>
      <c r="BN571" s="1"/>
      <c r="BO571" s="1"/>
      <c r="BP571" s="99"/>
      <c r="BQ571" s="93"/>
      <c r="BR571" s="5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1"/>
      <c r="CW571" s="1"/>
      <c r="CX571" s="1"/>
      <c r="CY571" s="1"/>
      <c r="CZ571" s="1"/>
      <c r="DA571" s="1"/>
      <c r="DB571" s="1"/>
      <c r="DC571" s="1"/>
      <c r="DD571" s="99"/>
    </row>
    <row r="572" spans="30:108" ht="6.95" customHeight="1" x14ac:dyDescent="0.15">
      <c r="AD572" s="5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1"/>
      <c r="BI572" s="1"/>
      <c r="BJ572" s="1"/>
      <c r="BK572" s="1"/>
      <c r="BL572" s="1"/>
      <c r="BM572" s="1"/>
      <c r="BN572" s="1"/>
      <c r="BO572" s="1"/>
      <c r="BP572" s="99"/>
      <c r="BQ572" s="93"/>
      <c r="BR572" s="5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1"/>
      <c r="CW572" s="1"/>
      <c r="CX572" s="1"/>
      <c r="CY572" s="1"/>
      <c r="CZ572" s="1"/>
      <c r="DA572" s="1"/>
      <c r="DB572" s="1"/>
      <c r="DC572" s="1"/>
      <c r="DD572" s="99"/>
    </row>
    <row r="573" spans="30:108" ht="6.95" customHeight="1" x14ac:dyDescent="0.15">
      <c r="AD573" s="5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1"/>
      <c r="BI573" s="1"/>
      <c r="BJ573" s="1"/>
      <c r="BK573" s="1"/>
      <c r="BL573" s="1"/>
      <c r="BM573" s="1"/>
      <c r="BN573" s="1"/>
      <c r="BO573" s="1"/>
      <c r="BP573" s="99"/>
      <c r="BQ573" s="93"/>
      <c r="BR573" s="5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1"/>
      <c r="CW573" s="1"/>
      <c r="CX573" s="1"/>
      <c r="CY573" s="1"/>
      <c r="CZ573" s="1"/>
      <c r="DA573" s="1"/>
      <c r="DB573" s="1"/>
      <c r="DC573" s="1"/>
      <c r="DD573" s="99"/>
    </row>
    <row r="574" spans="30:108" ht="6.95" customHeight="1" x14ac:dyDescent="0.15">
      <c r="AD574" s="5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1"/>
      <c r="BI574" s="1"/>
      <c r="BJ574" s="1"/>
      <c r="BK574" s="1"/>
      <c r="BL574" s="1"/>
      <c r="BM574" s="1"/>
      <c r="BN574" s="1"/>
      <c r="BO574" s="1"/>
      <c r="BP574" s="99"/>
      <c r="BQ574" s="93"/>
      <c r="BR574" s="5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1"/>
      <c r="CW574" s="1"/>
      <c r="CX574" s="1"/>
      <c r="CY574" s="1"/>
      <c r="CZ574" s="1"/>
      <c r="DA574" s="1"/>
      <c r="DB574" s="1"/>
      <c r="DC574" s="1"/>
      <c r="DD574" s="99"/>
    </row>
    <row r="575" spans="30:108" ht="6.95" customHeight="1" x14ac:dyDescent="0.15">
      <c r="AD575" s="5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1"/>
      <c r="BI575" s="1"/>
      <c r="BJ575" s="1"/>
      <c r="BK575" s="1"/>
      <c r="BL575" s="1"/>
      <c r="BM575" s="1"/>
      <c r="BN575" s="1"/>
      <c r="BO575" s="1"/>
      <c r="BP575" s="99"/>
      <c r="BQ575" s="93"/>
      <c r="BR575" s="5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1"/>
      <c r="CW575" s="1"/>
      <c r="CX575" s="1"/>
      <c r="CY575" s="1"/>
      <c r="CZ575" s="1"/>
      <c r="DA575" s="1"/>
      <c r="DB575" s="1"/>
      <c r="DC575" s="1"/>
      <c r="DD575" s="99"/>
    </row>
    <row r="576" spans="30:108" ht="6.95" customHeight="1" x14ac:dyDescent="0.15">
      <c r="AD576" s="210">
        <v>5</v>
      </c>
      <c r="AE576" s="211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1"/>
      <c r="BI576" s="1"/>
      <c r="BJ576" s="1"/>
      <c r="BK576" s="1"/>
      <c r="BL576" s="1"/>
      <c r="BM576" s="1"/>
      <c r="BN576" s="1"/>
      <c r="BO576" s="1"/>
      <c r="BP576" s="99"/>
      <c r="BQ576" s="93"/>
      <c r="BR576" s="210">
        <v>7</v>
      </c>
      <c r="BS576" s="211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1"/>
      <c r="CW576" s="1"/>
      <c r="CX576" s="1"/>
      <c r="CY576" s="1"/>
      <c r="CZ576" s="1"/>
      <c r="DA576" s="1"/>
      <c r="DB576" s="1"/>
      <c r="DC576" s="1"/>
      <c r="DD576" s="99"/>
    </row>
    <row r="577" spans="30:108" ht="6.95" customHeight="1" thickBot="1" x14ac:dyDescent="0.2">
      <c r="AD577" s="212"/>
      <c r="AE577" s="21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100"/>
      <c r="BI577" s="100"/>
      <c r="BJ577" s="100"/>
      <c r="BK577" s="100"/>
      <c r="BL577" s="100"/>
      <c r="BM577" s="100"/>
      <c r="BN577" s="100"/>
      <c r="BO577" s="100"/>
      <c r="BP577" s="101"/>
      <c r="BQ577" s="93"/>
      <c r="BR577" s="212"/>
      <c r="BS577" s="21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  <c r="CD577" s="53"/>
      <c r="CE577" s="53"/>
      <c r="CF577" s="53"/>
      <c r="CG577" s="53"/>
      <c r="CH577" s="53"/>
      <c r="CI577" s="53"/>
      <c r="CJ577" s="53"/>
      <c r="CK577" s="53"/>
      <c r="CL577" s="53"/>
      <c r="CM577" s="53"/>
      <c r="CN577" s="53"/>
      <c r="CO577" s="53"/>
      <c r="CP577" s="53"/>
      <c r="CQ577" s="53"/>
      <c r="CR577" s="53"/>
      <c r="CS577" s="53"/>
      <c r="CT577" s="53"/>
      <c r="CU577" s="53"/>
      <c r="CV577" s="100"/>
      <c r="CW577" s="100"/>
      <c r="CX577" s="100"/>
      <c r="CY577" s="100"/>
      <c r="CZ577" s="100"/>
      <c r="DA577" s="100"/>
      <c r="DB577" s="100"/>
      <c r="DC577" s="100"/>
      <c r="DD577" s="101"/>
    </row>
    <row r="578" spans="30:108" ht="6.95" customHeight="1" x14ac:dyDescent="0.15">
      <c r="AD578" s="52"/>
      <c r="AE578" s="2"/>
      <c r="AF578" s="214" t="s">
        <v>26</v>
      </c>
      <c r="AG578" s="214"/>
      <c r="AH578" s="214"/>
      <c r="AI578" s="214"/>
      <c r="AJ578" s="82"/>
      <c r="AK578" s="82"/>
      <c r="AL578" s="82"/>
      <c r="AM578" s="82"/>
      <c r="AN578" s="82"/>
      <c r="AO578" s="2"/>
      <c r="AP578" s="2"/>
      <c r="AQ578" s="82"/>
      <c r="AR578" s="82"/>
      <c r="AS578" s="82"/>
      <c r="AT578" s="82"/>
      <c r="AU578" s="82"/>
      <c r="AV578" s="82"/>
      <c r="AW578" s="82"/>
      <c r="AX578" s="82"/>
      <c r="AY578" s="214" t="s">
        <v>26</v>
      </c>
      <c r="AZ578" s="214"/>
      <c r="BA578" s="214"/>
      <c r="BB578" s="214"/>
      <c r="BC578" s="82"/>
      <c r="BD578" s="82"/>
      <c r="BE578" s="82"/>
      <c r="BF578" s="82"/>
      <c r="BG578" s="82"/>
      <c r="BH578" s="2"/>
      <c r="BI578" s="2"/>
      <c r="BJ578" s="82"/>
      <c r="BK578" s="82"/>
      <c r="BL578" s="82"/>
      <c r="BM578" s="82"/>
      <c r="BN578" s="82"/>
      <c r="BO578" s="82"/>
      <c r="BP578" s="99"/>
      <c r="BQ578" s="93"/>
      <c r="BR578" s="52"/>
      <c r="BS578" s="2"/>
      <c r="BT578" s="214" t="s">
        <v>26</v>
      </c>
      <c r="BU578" s="214"/>
      <c r="BV578" s="214"/>
      <c r="BW578" s="214"/>
      <c r="BX578" s="82"/>
      <c r="BY578" s="82"/>
      <c r="BZ578" s="82"/>
      <c r="CA578" s="82"/>
      <c r="CB578" s="82"/>
      <c r="CC578" s="2"/>
      <c r="CD578" s="2"/>
      <c r="CE578" s="82"/>
      <c r="CF578" s="82"/>
      <c r="CG578" s="82"/>
      <c r="CH578" s="82"/>
      <c r="CI578" s="82"/>
      <c r="CJ578" s="82"/>
      <c r="CK578" s="82"/>
      <c r="CL578" s="82"/>
      <c r="CM578" s="214" t="s">
        <v>26</v>
      </c>
      <c r="CN578" s="214"/>
      <c r="CO578" s="214"/>
      <c r="CP578" s="214"/>
      <c r="CQ578" s="82"/>
      <c r="CR578" s="82"/>
      <c r="CS578" s="82"/>
      <c r="CT578" s="82"/>
      <c r="CU578" s="82"/>
      <c r="CV578" s="2"/>
      <c r="CW578" s="2"/>
      <c r="CX578" s="82"/>
      <c r="CY578" s="82"/>
      <c r="CZ578" s="82"/>
      <c r="DA578" s="82"/>
      <c r="DB578" s="82"/>
      <c r="DC578" s="82"/>
      <c r="DD578" s="99"/>
    </row>
    <row r="579" spans="30:108" ht="6.95" customHeight="1" x14ac:dyDescent="0.15">
      <c r="AD579" s="56"/>
      <c r="AE579" s="3"/>
      <c r="AF579" s="197"/>
      <c r="AG579" s="197"/>
      <c r="AH579" s="197"/>
      <c r="AI579" s="197"/>
      <c r="AJ579" s="82"/>
      <c r="AK579" s="197">
        <f>IF(AF578="D16",750, IF(AF578="D13",600))</f>
        <v>750</v>
      </c>
      <c r="AL579" s="197"/>
      <c r="AM579" s="197"/>
      <c r="AN579" s="197"/>
      <c r="AO579" s="2"/>
      <c r="AP579" s="2"/>
      <c r="AQ579" s="82"/>
      <c r="AR579" s="82"/>
      <c r="AS579" s="82"/>
      <c r="AT579" s="82"/>
      <c r="AU579" s="82"/>
      <c r="AV579" s="82"/>
      <c r="AW579" s="82"/>
      <c r="AX579" s="82"/>
      <c r="AY579" s="197"/>
      <c r="AZ579" s="197"/>
      <c r="BA579" s="197"/>
      <c r="BB579" s="197"/>
      <c r="BC579" s="82"/>
      <c r="BD579" s="197">
        <f>IF(AY578="D16",750, IF(AY578="D13",600))</f>
        <v>750</v>
      </c>
      <c r="BE579" s="197"/>
      <c r="BF579" s="197"/>
      <c r="BG579" s="197"/>
      <c r="BH579" s="2"/>
      <c r="BI579" s="2"/>
      <c r="BJ579" s="82"/>
      <c r="BK579" s="82"/>
      <c r="BL579" s="82"/>
      <c r="BM579" s="82"/>
      <c r="BN579" s="82"/>
      <c r="BO579" s="82"/>
      <c r="BP579" s="99"/>
      <c r="BQ579" s="93"/>
      <c r="BR579" s="56"/>
      <c r="BS579" s="3"/>
      <c r="BT579" s="197"/>
      <c r="BU579" s="197"/>
      <c r="BV579" s="197"/>
      <c r="BW579" s="197"/>
      <c r="BX579" s="82"/>
      <c r="BY579" s="197">
        <f>IF(BT578="D16",750, IF(BT578="D13",600))</f>
        <v>750</v>
      </c>
      <c r="BZ579" s="197"/>
      <c r="CA579" s="197"/>
      <c r="CB579" s="197"/>
      <c r="CC579" s="2"/>
      <c r="CD579" s="2"/>
      <c r="CE579" s="82"/>
      <c r="CF579" s="82"/>
      <c r="CG579" s="82"/>
      <c r="CH579" s="82"/>
      <c r="CI579" s="82"/>
      <c r="CJ579" s="82"/>
      <c r="CK579" s="82"/>
      <c r="CL579" s="82"/>
      <c r="CM579" s="197"/>
      <c r="CN579" s="197"/>
      <c r="CO579" s="197"/>
      <c r="CP579" s="197"/>
      <c r="CQ579" s="82"/>
      <c r="CR579" s="197">
        <f>IF(CM578="D16",750, IF(CM578="D13",600))</f>
        <v>750</v>
      </c>
      <c r="CS579" s="197"/>
      <c r="CT579" s="197"/>
      <c r="CU579" s="197"/>
      <c r="CV579" s="2"/>
      <c r="CW579" s="2"/>
      <c r="CX579" s="82"/>
      <c r="CY579" s="82"/>
      <c r="CZ579" s="82"/>
      <c r="DA579" s="82"/>
      <c r="DB579" s="82"/>
      <c r="DC579" s="82"/>
      <c r="DD579" s="99"/>
    </row>
    <row r="580" spans="30:108" ht="6.95" customHeight="1" x14ac:dyDescent="0.15">
      <c r="AD580" s="56"/>
      <c r="AE580" s="3"/>
      <c r="AF580" s="85"/>
      <c r="AG580" s="85"/>
      <c r="AH580" s="85"/>
      <c r="AI580" s="85"/>
      <c r="AJ580" s="85"/>
      <c r="AK580" s="197"/>
      <c r="AL580" s="197"/>
      <c r="AM580" s="197"/>
      <c r="AN580" s="197"/>
      <c r="AO580" s="85"/>
      <c r="AP580" s="85"/>
      <c r="AQ580" s="85"/>
      <c r="AR580" s="85"/>
      <c r="AS580" s="85"/>
      <c r="AT580" s="85"/>
      <c r="AU580" s="82"/>
      <c r="AV580" s="82"/>
      <c r="AW580" s="82"/>
      <c r="AX580" s="82"/>
      <c r="AY580" s="85"/>
      <c r="AZ580" s="85"/>
      <c r="BA580" s="85"/>
      <c r="BB580" s="85"/>
      <c r="BC580" s="85"/>
      <c r="BD580" s="197"/>
      <c r="BE580" s="197"/>
      <c r="BF580" s="197"/>
      <c r="BG580" s="197"/>
      <c r="BH580" s="85"/>
      <c r="BI580" s="85"/>
      <c r="BJ580" s="85"/>
      <c r="BK580" s="85"/>
      <c r="BL580" s="85"/>
      <c r="BM580" s="85"/>
      <c r="BN580" s="85"/>
      <c r="BO580" s="85"/>
      <c r="BP580" s="99"/>
      <c r="BQ580" s="93"/>
      <c r="BR580" s="56"/>
      <c r="BS580" s="3"/>
      <c r="BT580" s="85"/>
      <c r="BU580" s="85"/>
      <c r="BV580" s="85"/>
      <c r="BW580" s="85"/>
      <c r="BX580" s="85"/>
      <c r="BY580" s="197"/>
      <c r="BZ580" s="197"/>
      <c r="CA580" s="197"/>
      <c r="CB580" s="197"/>
      <c r="CC580" s="85"/>
      <c r="CD580" s="85"/>
      <c r="CE580" s="85"/>
      <c r="CF580" s="85"/>
      <c r="CG580" s="85"/>
      <c r="CH580" s="85"/>
      <c r="CI580" s="82"/>
      <c r="CJ580" s="82"/>
      <c r="CK580" s="82"/>
      <c r="CL580" s="82"/>
      <c r="CM580" s="85"/>
      <c r="CN580" s="85"/>
      <c r="CO580" s="85"/>
      <c r="CP580" s="85"/>
      <c r="CQ580" s="85"/>
      <c r="CR580" s="197"/>
      <c r="CS580" s="197"/>
      <c r="CT580" s="197"/>
      <c r="CU580" s="197"/>
      <c r="CV580" s="85"/>
      <c r="CW580" s="85"/>
      <c r="CX580" s="85"/>
      <c r="CY580" s="85"/>
      <c r="CZ580" s="85"/>
      <c r="DA580" s="85"/>
      <c r="DB580" s="85"/>
      <c r="DC580" s="85"/>
      <c r="DD580" s="99"/>
    </row>
    <row r="581" spans="30:108" ht="6.95" customHeight="1" x14ac:dyDescent="0.15">
      <c r="AD581" s="56"/>
      <c r="AE581" s="3"/>
      <c r="AF581" s="3"/>
      <c r="AG581" s="3"/>
      <c r="AH581" s="3"/>
      <c r="AI581" s="3"/>
      <c r="AJ581" s="3"/>
      <c r="AK581" s="2"/>
      <c r="AL581" s="2"/>
      <c r="AM581" s="85"/>
      <c r="AN581" s="85"/>
      <c r="AO581" s="215">
        <f>CHOOSE(SUM((AD566&gt;={700,750,800,850,900,950})*1), 515,565,615,665,715,765)</f>
        <v>615</v>
      </c>
      <c r="AP581" s="215"/>
      <c r="AQ581" s="215"/>
      <c r="AR581" s="215"/>
      <c r="AS581" s="3"/>
      <c r="AT581" s="3"/>
      <c r="AU581" s="2"/>
      <c r="AV581" s="2"/>
      <c r="AW581" s="85"/>
      <c r="AX581" s="85"/>
      <c r="AY581" s="3"/>
      <c r="AZ581" s="3"/>
      <c r="BA581" s="3"/>
      <c r="BB581" s="3"/>
      <c r="BC581" s="3"/>
      <c r="BD581" s="2"/>
      <c r="BE581" s="2"/>
      <c r="BF581" s="85"/>
      <c r="BG581" s="85"/>
      <c r="BH581" s="215">
        <f>AO581-100</f>
        <v>515</v>
      </c>
      <c r="BI581" s="215"/>
      <c r="BJ581" s="215"/>
      <c r="BK581" s="215"/>
      <c r="BL581" s="3"/>
      <c r="BM581" s="3"/>
      <c r="BN581" s="3"/>
      <c r="BO581" s="3"/>
      <c r="BP581" s="99"/>
      <c r="BQ581" s="93"/>
      <c r="BR581" s="56"/>
      <c r="BS581" s="3"/>
      <c r="BT581" s="3"/>
      <c r="BU581" s="3"/>
      <c r="BV581" s="3"/>
      <c r="BW581" s="3"/>
      <c r="BX581" s="3"/>
      <c r="BY581" s="2"/>
      <c r="BZ581" s="2"/>
      <c r="CA581" s="85"/>
      <c r="CB581" s="85"/>
      <c r="CC581" s="215">
        <f>CHOOSE(SUM((BR566&gt;={700,750,800,850,900,950})*1), 515,565,615,665,715,765)</f>
        <v>615</v>
      </c>
      <c r="CD581" s="215"/>
      <c r="CE581" s="215"/>
      <c r="CF581" s="215"/>
      <c r="CG581" s="3"/>
      <c r="CH581" s="3"/>
      <c r="CI581" s="2"/>
      <c r="CJ581" s="2"/>
      <c r="CK581" s="85"/>
      <c r="CL581" s="85"/>
      <c r="CM581" s="3"/>
      <c r="CN581" s="3"/>
      <c r="CO581" s="3"/>
      <c r="CP581" s="3"/>
      <c r="CQ581" s="3"/>
      <c r="CR581" s="2"/>
      <c r="CS581" s="2"/>
      <c r="CT581" s="85"/>
      <c r="CU581" s="85"/>
      <c r="CV581" s="215">
        <f>CC581-100</f>
        <v>515</v>
      </c>
      <c r="CW581" s="215"/>
      <c r="CX581" s="215"/>
      <c r="CY581" s="215"/>
      <c r="CZ581" s="3"/>
      <c r="DA581" s="3"/>
      <c r="DB581" s="3"/>
      <c r="DC581" s="3"/>
      <c r="DD581" s="99"/>
    </row>
    <row r="582" spans="30:108" ht="6.95" customHeight="1" x14ac:dyDescent="0.15">
      <c r="AD582" s="56"/>
      <c r="AE582" s="3"/>
      <c r="AF582" s="3"/>
      <c r="AG582" s="3"/>
      <c r="AH582" s="3"/>
      <c r="AI582" s="3"/>
      <c r="AJ582" s="3"/>
      <c r="AK582" s="4"/>
      <c r="AL582" s="4"/>
      <c r="AM582" s="85"/>
      <c r="AN582" s="85"/>
      <c r="AO582" s="215"/>
      <c r="AP582" s="215"/>
      <c r="AQ582" s="215"/>
      <c r="AR582" s="215"/>
      <c r="AS582" s="3"/>
      <c r="AT582" s="3"/>
      <c r="AU582" s="4"/>
      <c r="AV582" s="4"/>
      <c r="AW582" s="85"/>
      <c r="AX582" s="85"/>
      <c r="AY582" s="3"/>
      <c r="AZ582" s="3"/>
      <c r="BA582" s="3"/>
      <c r="BB582" s="3"/>
      <c r="BC582" s="3"/>
      <c r="BD582" s="4"/>
      <c r="BE582" s="4"/>
      <c r="BF582" s="85"/>
      <c r="BG582" s="85"/>
      <c r="BH582" s="215"/>
      <c r="BI582" s="215"/>
      <c r="BJ582" s="215"/>
      <c r="BK582" s="215"/>
      <c r="BL582" s="3"/>
      <c r="BM582" s="3"/>
      <c r="BN582" s="3"/>
      <c r="BO582" s="3"/>
      <c r="BP582" s="99"/>
      <c r="BQ582" s="93"/>
      <c r="BR582" s="56"/>
      <c r="BS582" s="3"/>
      <c r="BT582" s="3"/>
      <c r="BU582" s="3"/>
      <c r="BV582" s="3"/>
      <c r="BW582" s="3"/>
      <c r="BX582" s="3"/>
      <c r="BY582" s="4"/>
      <c r="BZ582" s="4"/>
      <c r="CA582" s="85"/>
      <c r="CB582" s="85"/>
      <c r="CC582" s="215"/>
      <c r="CD582" s="215"/>
      <c r="CE582" s="215"/>
      <c r="CF582" s="215"/>
      <c r="CG582" s="3"/>
      <c r="CH582" s="3"/>
      <c r="CI582" s="4"/>
      <c r="CJ582" s="4"/>
      <c r="CK582" s="85"/>
      <c r="CL582" s="85"/>
      <c r="CM582" s="3"/>
      <c r="CN582" s="3"/>
      <c r="CO582" s="3"/>
      <c r="CP582" s="3"/>
      <c r="CQ582" s="3"/>
      <c r="CR582" s="4"/>
      <c r="CS582" s="4"/>
      <c r="CT582" s="85"/>
      <c r="CU582" s="85"/>
      <c r="CV582" s="215"/>
      <c r="CW582" s="215"/>
      <c r="CX582" s="215"/>
      <c r="CY582" s="215"/>
      <c r="CZ582" s="3"/>
      <c r="DA582" s="3"/>
      <c r="DB582" s="3"/>
      <c r="DC582" s="3"/>
      <c r="DD582" s="99"/>
    </row>
    <row r="583" spans="30:108" ht="6.95" customHeight="1" x14ac:dyDescent="0.15">
      <c r="AD583" s="56"/>
      <c r="AE583" s="3"/>
      <c r="AF583" s="3"/>
      <c r="AG583" s="3"/>
      <c r="AH583" s="3"/>
      <c r="AI583" s="3"/>
      <c r="AJ583" s="3"/>
      <c r="AK583" s="4"/>
      <c r="AL583" s="4"/>
      <c r="AM583" s="84"/>
      <c r="AN583" s="84"/>
      <c r="AO583" s="200" t="s">
        <v>29</v>
      </c>
      <c r="AP583" s="200"/>
      <c r="AQ583" s="200"/>
      <c r="AR583" s="200"/>
      <c r="AS583" s="3"/>
      <c r="AT583" s="3"/>
      <c r="AU583" s="4"/>
      <c r="AV583" s="4"/>
      <c r="AW583" s="84"/>
      <c r="AX583" s="84"/>
      <c r="AY583" s="3"/>
      <c r="AZ583" s="3"/>
      <c r="BA583" s="3"/>
      <c r="BB583" s="3"/>
      <c r="BC583" s="3"/>
      <c r="BD583" s="4"/>
      <c r="BE583" s="4"/>
      <c r="BF583" s="84"/>
      <c r="BG583" s="84"/>
      <c r="BH583" s="200" t="s">
        <v>29</v>
      </c>
      <c r="BI583" s="200"/>
      <c r="BJ583" s="200"/>
      <c r="BK583" s="200"/>
      <c r="BL583" s="3"/>
      <c r="BM583" s="3"/>
      <c r="BN583" s="3"/>
      <c r="BO583" s="3"/>
      <c r="BP583" s="99"/>
      <c r="BQ583" s="93"/>
      <c r="BR583" s="56"/>
      <c r="BS583" s="3"/>
      <c r="BT583" s="3"/>
      <c r="BU583" s="3"/>
      <c r="BV583" s="3"/>
      <c r="BW583" s="3"/>
      <c r="BX583" s="3"/>
      <c r="BY583" s="4"/>
      <c r="BZ583" s="4"/>
      <c r="CA583" s="84"/>
      <c r="CB583" s="84"/>
      <c r="CC583" s="200" t="s">
        <v>29</v>
      </c>
      <c r="CD583" s="200"/>
      <c r="CE583" s="200"/>
      <c r="CF583" s="200"/>
      <c r="CG583" s="3"/>
      <c r="CH583" s="3"/>
      <c r="CI583" s="4"/>
      <c r="CJ583" s="4"/>
      <c r="CK583" s="84"/>
      <c r="CL583" s="84"/>
      <c r="CM583" s="3"/>
      <c r="CN583" s="3"/>
      <c r="CO583" s="3"/>
      <c r="CP583" s="3"/>
      <c r="CQ583" s="3"/>
      <c r="CR583" s="4"/>
      <c r="CS583" s="4"/>
      <c r="CT583" s="84"/>
      <c r="CU583" s="84"/>
      <c r="CV583" s="200" t="s">
        <v>29</v>
      </c>
      <c r="CW583" s="200"/>
      <c r="CX583" s="200"/>
      <c r="CY583" s="200"/>
      <c r="CZ583" s="3"/>
      <c r="DA583" s="3"/>
      <c r="DB583" s="3"/>
      <c r="DC583" s="3"/>
      <c r="DD583" s="99"/>
    </row>
    <row r="584" spans="30:108" ht="6.95" customHeight="1" x14ac:dyDescent="0.15">
      <c r="AD584" s="56"/>
      <c r="AE584" s="3"/>
      <c r="AF584" s="3"/>
      <c r="AG584" s="3"/>
      <c r="AH584" s="3"/>
      <c r="AI584" s="3"/>
      <c r="AJ584" s="84"/>
      <c r="AK584" s="200">
        <f>IF(AF578="D13",CHOOSE(SUM((AO581&gt;={515,565,615,665,715,765})*1), 300, 250, 200, 150, 100, 100), CHOOSE(SUM((AO581&gt;={515,565,615,665,715,765})*1), 450, 400, 350, 300, 250, 200))</f>
        <v>350</v>
      </c>
      <c r="AL584" s="200"/>
      <c r="AM584" s="200"/>
      <c r="AN584" s="200"/>
      <c r="AO584" s="200"/>
      <c r="AP584" s="200"/>
      <c r="AQ584" s="200"/>
      <c r="AR584" s="200"/>
      <c r="AS584" s="84"/>
      <c r="AT584" s="84"/>
      <c r="AU584" s="84"/>
      <c r="AV584" s="84"/>
      <c r="AW584" s="84"/>
      <c r="AX584" s="84"/>
      <c r="AY584" s="3"/>
      <c r="AZ584" s="3"/>
      <c r="BA584" s="3"/>
      <c r="BB584" s="3"/>
      <c r="BC584" s="84"/>
      <c r="BD584" s="200">
        <f>IF(AY578="D13",CHOOSE(SUM((BH581&gt;={415,465,515,565,615,665})*1), 400, 350, 300, 250, 200, 150), CHOOSE(SUM((BH581&gt;={415,465,515,565,615,665})*1), 550, 500, 450, 400, 350, 300))</f>
        <v>450</v>
      </c>
      <c r="BE584" s="200"/>
      <c r="BF584" s="200"/>
      <c r="BG584" s="200"/>
      <c r="BH584" s="200"/>
      <c r="BI584" s="200"/>
      <c r="BJ584" s="200"/>
      <c r="BK584" s="200"/>
      <c r="BL584" s="84"/>
      <c r="BM584" s="84"/>
      <c r="BN584" s="3"/>
      <c r="BO584" s="84"/>
      <c r="BP584" s="99"/>
      <c r="BQ584" s="93"/>
      <c r="BR584" s="56"/>
      <c r="BS584" s="3"/>
      <c r="BT584" s="3"/>
      <c r="BU584" s="3"/>
      <c r="BV584" s="3"/>
      <c r="BW584" s="3"/>
      <c r="BX584" s="84"/>
      <c r="BY584" s="200">
        <f>IF(BT578="D13",CHOOSE(SUM((CC581&gt;={515,565,615,665,715,765})*1), 300, 250, 200, 150, 100, 100), CHOOSE(SUM((CC581&gt;={515,565,615,665,715,765})*1), 450, 400, 350, 300, 250, 200))</f>
        <v>350</v>
      </c>
      <c r="BZ584" s="200"/>
      <c r="CA584" s="200"/>
      <c r="CB584" s="200"/>
      <c r="CC584" s="200"/>
      <c r="CD584" s="200"/>
      <c r="CE584" s="200"/>
      <c r="CF584" s="200"/>
      <c r="CG584" s="84"/>
      <c r="CH584" s="84"/>
      <c r="CI584" s="84"/>
      <c r="CJ584" s="84"/>
      <c r="CK584" s="84"/>
      <c r="CL584" s="84"/>
      <c r="CM584" s="3"/>
      <c r="CN584" s="3"/>
      <c r="CO584" s="3"/>
      <c r="CP584" s="3"/>
      <c r="CQ584" s="84"/>
      <c r="CR584" s="200">
        <f>IF(CM578="D13",CHOOSE(SUM((CV581&gt;={415,465,515,565,615,665})*1), 400, 350, 300, 250, 200, 150), CHOOSE(SUM((CV581&gt;={415,465,515,565,615,665})*1), 550, 500, 450, 400, 350, 300))</f>
        <v>450</v>
      </c>
      <c r="CS584" s="200"/>
      <c r="CT584" s="200"/>
      <c r="CU584" s="200"/>
      <c r="CV584" s="200"/>
      <c r="CW584" s="200"/>
      <c r="CX584" s="200"/>
      <c r="CY584" s="200"/>
      <c r="CZ584" s="84"/>
      <c r="DA584" s="84"/>
      <c r="DB584" s="3"/>
      <c r="DC584" s="84"/>
      <c r="DD584" s="99"/>
    </row>
    <row r="585" spans="30:108" ht="6.95" customHeight="1" x14ac:dyDescent="0.15">
      <c r="AD585" s="56"/>
      <c r="AE585" s="3"/>
      <c r="AF585" s="3"/>
      <c r="AG585" s="3"/>
      <c r="AH585" s="3"/>
      <c r="AI585" s="3"/>
      <c r="AJ585" s="84"/>
      <c r="AK585" s="200"/>
      <c r="AL585" s="200"/>
      <c r="AM585" s="200"/>
      <c r="AN585" s="200"/>
      <c r="AO585" s="196" t="s">
        <v>42</v>
      </c>
      <c r="AP585" s="196"/>
      <c r="AQ585" s="196"/>
      <c r="AR585" s="196">
        <v>1</v>
      </c>
      <c r="AS585" s="196"/>
      <c r="AT585" s="196" t="s">
        <v>43</v>
      </c>
      <c r="AU585" s="196"/>
      <c r="AV585" s="196"/>
      <c r="AW585" s="84"/>
      <c r="AX585" s="84"/>
      <c r="AY585" s="3"/>
      <c r="AZ585" s="3"/>
      <c r="BA585" s="3"/>
      <c r="BB585" s="3"/>
      <c r="BC585" s="84"/>
      <c r="BD585" s="200"/>
      <c r="BE585" s="200"/>
      <c r="BF585" s="200"/>
      <c r="BG585" s="200"/>
      <c r="BH585" s="196" t="s">
        <v>42</v>
      </c>
      <c r="BI585" s="196"/>
      <c r="BJ585" s="196"/>
      <c r="BK585" s="196">
        <v>1</v>
      </c>
      <c r="BL585" s="196"/>
      <c r="BM585" s="196" t="s">
        <v>43</v>
      </c>
      <c r="BN585" s="196"/>
      <c r="BO585" s="196"/>
      <c r="BP585" s="99"/>
      <c r="BQ585" s="93"/>
      <c r="BR585" s="56"/>
      <c r="BS585" s="3"/>
      <c r="BT585" s="3"/>
      <c r="BU585" s="3"/>
      <c r="BV585" s="3"/>
      <c r="BW585" s="3"/>
      <c r="BX585" s="84"/>
      <c r="BY585" s="200"/>
      <c r="BZ585" s="200"/>
      <c r="CA585" s="200"/>
      <c r="CB585" s="200"/>
      <c r="CC585" s="196" t="s">
        <v>42</v>
      </c>
      <c r="CD585" s="196"/>
      <c r="CE585" s="196"/>
      <c r="CF585" s="196">
        <v>1</v>
      </c>
      <c r="CG585" s="196"/>
      <c r="CH585" s="196" t="s">
        <v>43</v>
      </c>
      <c r="CI585" s="196"/>
      <c r="CJ585" s="196"/>
      <c r="CK585" s="84"/>
      <c r="CL585" s="84"/>
      <c r="CM585" s="3"/>
      <c r="CN585" s="3"/>
      <c r="CO585" s="3"/>
      <c r="CP585" s="3"/>
      <c r="CQ585" s="84"/>
      <c r="CR585" s="200"/>
      <c r="CS585" s="200"/>
      <c r="CT585" s="200"/>
      <c r="CU585" s="200"/>
      <c r="CV585" s="196" t="s">
        <v>42</v>
      </c>
      <c r="CW585" s="196"/>
      <c r="CX585" s="196"/>
      <c r="CY585" s="196">
        <v>1</v>
      </c>
      <c r="CZ585" s="196"/>
      <c r="DA585" s="196" t="s">
        <v>43</v>
      </c>
      <c r="DB585" s="196"/>
      <c r="DC585" s="196"/>
      <c r="DD585" s="99"/>
    </row>
    <row r="586" spans="30:108" ht="6.95" customHeight="1" x14ac:dyDescent="0.15">
      <c r="AD586" s="52"/>
      <c r="AE586" s="2"/>
      <c r="AF586" s="2"/>
      <c r="AG586" s="2"/>
      <c r="AH586" s="2"/>
      <c r="AI586" s="2"/>
      <c r="AJ586" s="2"/>
      <c r="AK586" s="2"/>
      <c r="AL586" s="88"/>
      <c r="AM586" s="88"/>
      <c r="AN586" s="88"/>
      <c r="AO586" s="196"/>
      <c r="AP586" s="196"/>
      <c r="AQ586" s="196"/>
      <c r="AR586" s="196"/>
      <c r="AS586" s="196"/>
      <c r="AT586" s="196"/>
      <c r="AU586" s="196"/>
      <c r="AV586" s="196"/>
      <c r="AW586" s="88"/>
      <c r="AX586" s="88"/>
      <c r="AY586" s="2"/>
      <c r="AZ586" s="2"/>
      <c r="BA586" s="2"/>
      <c r="BB586" s="2"/>
      <c r="BC586" s="2"/>
      <c r="BD586" s="2"/>
      <c r="BE586" s="88"/>
      <c r="BF586" s="88"/>
      <c r="BG586" s="88"/>
      <c r="BH586" s="196"/>
      <c r="BI586" s="196"/>
      <c r="BJ586" s="196"/>
      <c r="BK586" s="196"/>
      <c r="BL586" s="196"/>
      <c r="BM586" s="196"/>
      <c r="BN586" s="196"/>
      <c r="BO586" s="196"/>
      <c r="BP586" s="99"/>
      <c r="BQ586" s="93"/>
      <c r="BR586" s="52"/>
      <c r="BS586" s="2"/>
      <c r="BT586" s="2"/>
      <c r="BU586" s="2"/>
      <c r="BV586" s="2"/>
      <c r="BW586" s="2"/>
      <c r="BX586" s="2"/>
      <c r="BY586" s="2"/>
      <c r="BZ586" s="88"/>
      <c r="CA586" s="88"/>
      <c r="CB586" s="88"/>
      <c r="CC586" s="196"/>
      <c r="CD586" s="196"/>
      <c r="CE586" s="196"/>
      <c r="CF586" s="196"/>
      <c r="CG586" s="196"/>
      <c r="CH586" s="196"/>
      <c r="CI586" s="196"/>
      <c r="CJ586" s="196"/>
      <c r="CK586" s="88"/>
      <c r="CL586" s="88"/>
      <c r="CM586" s="2"/>
      <c r="CN586" s="2"/>
      <c r="CO586" s="2"/>
      <c r="CP586" s="2"/>
      <c r="CQ586" s="2"/>
      <c r="CR586" s="2"/>
      <c r="CS586" s="88"/>
      <c r="CT586" s="88"/>
      <c r="CU586" s="88"/>
      <c r="CV586" s="196"/>
      <c r="CW586" s="196"/>
      <c r="CX586" s="196"/>
      <c r="CY586" s="196"/>
      <c r="CZ586" s="196"/>
      <c r="DA586" s="196"/>
      <c r="DB586" s="196"/>
      <c r="DC586" s="196"/>
      <c r="DD586" s="99"/>
    </row>
    <row r="587" spans="30:108" ht="6.95" customHeight="1" x14ac:dyDescent="0.15">
      <c r="AD587" s="83"/>
      <c r="AE587" s="82"/>
      <c r="AF587" s="197" t="s">
        <v>26</v>
      </c>
      <c r="AG587" s="197"/>
      <c r="AH587" s="197"/>
      <c r="AI587" s="197"/>
      <c r="AJ587" s="82"/>
      <c r="AK587" s="82"/>
      <c r="AL587" s="82"/>
      <c r="AM587" s="82"/>
      <c r="AN587" s="82"/>
      <c r="AO587" s="2"/>
      <c r="AP587" s="2"/>
      <c r="AQ587" s="82"/>
      <c r="AR587" s="82"/>
      <c r="AS587" s="82"/>
      <c r="AT587" s="82"/>
      <c r="AU587" s="82"/>
      <c r="AV587" s="82"/>
      <c r="AW587" s="82"/>
      <c r="AX587" s="82"/>
      <c r="AY587" s="197" t="s">
        <v>26</v>
      </c>
      <c r="AZ587" s="197"/>
      <c r="BA587" s="197"/>
      <c r="BB587" s="197"/>
      <c r="BC587" s="82"/>
      <c r="BD587" s="82"/>
      <c r="BE587" s="82"/>
      <c r="BF587" s="82"/>
      <c r="BG587" s="82"/>
      <c r="BH587" s="2"/>
      <c r="BI587" s="2"/>
      <c r="BJ587" s="82"/>
      <c r="BK587" s="82"/>
      <c r="BL587" s="82"/>
      <c r="BM587" s="82"/>
      <c r="BN587" s="82"/>
      <c r="BO587" s="82"/>
      <c r="BP587" s="99"/>
      <c r="BQ587" s="93"/>
      <c r="BR587" s="83"/>
      <c r="BS587" s="82"/>
      <c r="BT587" s="197" t="s">
        <v>26</v>
      </c>
      <c r="BU587" s="197"/>
      <c r="BV587" s="197"/>
      <c r="BW587" s="197"/>
      <c r="BX587" s="82"/>
      <c r="BY587" s="82"/>
      <c r="BZ587" s="82"/>
      <c r="CA587" s="82"/>
      <c r="CB587" s="82"/>
      <c r="CC587" s="2"/>
      <c r="CD587" s="2"/>
      <c r="CE587" s="82"/>
      <c r="CF587" s="82"/>
      <c r="CG587" s="82"/>
      <c r="CH587" s="82"/>
      <c r="CI587" s="82"/>
      <c r="CJ587" s="82"/>
      <c r="CK587" s="82"/>
      <c r="CL587" s="82"/>
      <c r="CM587" s="197" t="s">
        <v>26</v>
      </c>
      <c r="CN587" s="197"/>
      <c r="CO587" s="197"/>
      <c r="CP587" s="197"/>
      <c r="CQ587" s="82"/>
      <c r="CR587" s="82"/>
      <c r="CS587" s="82"/>
      <c r="CT587" s="82"/>
      <c r="CU587" s="82"/>
      <c r="CV587" s="2"/>
      <c r="CW587" s="2"/>
      <c r="CX587" s="82"/>
      <c r="CY587" s="82"/>
      <c r="CZ587" s="82"/>
      <c r="DA587" s="82"/>
      <c r="DB587" s="82"/>
      <c r="DC587" s="82"/>
      <c r="DD587" s="99"/>
    </row>
    <row r="588" spans="30:108" ht="6.95" customHeight="1" x14ac:dyDescent="0.15">
      <c r="AD588" s="56"/>
      <c r="AE588" s="82"/>
      <c r="AF588" s="197"/>
      <c r="AG588" s="197"/>
      <c r="AH588" s="197"/>
      <c r="AI588" s="197"/>
      <c r="AJ588" s="82"/>
      <c r="AK588" s="106"/>
      <c r="AL588" s="106"/>
      <c r="AM588" s="106"/>
      <c r="AN588" s="106"/>
      <c r="AO588" s="2"/>
      <c r="AP588" s="2"/>
      <c r="AQ588" s="82"/>
      <c r="AR588" s="82"/>
      <c r="AS588" s="82"/>
      <c r="AT588" s="82"/>
      <c r="AU588" s="82"/>
      <c r="AV588" s="82"/>
      <c r="AW588" s="82"/>
      <c r="AX588" s="82"/>
      <c r="AY588" s="197"/>
      <c r="AZ588" s="197"/>
      <c r="BA588" s="197"/>
      <c r="BB588" s="197"/>
      <c r="BC588" s="82"/>
      <c r="BD588" s="106"/>
      <c r="BE588" s="106"/>
      <c r="BF588" s="106"/>
      <c r="BG588" s="106"/>
      <c r="BH588" s="2"/>
      <c r="BI588" s="2"/>
      <c r="BJ588" s="82"/>
      <c r="BK588" s="82"/>
      <c r="BL588" s="82"/>
      <c r="BM588" s="82"/>
      <c r="BN588" s="82"/>
      <c r="BO588" s="82"/>
      <c r="BP588" s="99"/>
      <c r="BQ588" s="93"/>
      <c r="BR588" s="56"/>
      <c r="BS588" s="82"/>
      <c r="BT588" s="197"/>
      <c r="BU588" s="197"/>
      <c r="BV588" s="197"/>
      <c r="BW588" s="197"/>
      <c r="BX588" s="82"/>
      <c r="BY588" s="106"/>
      <c r="BZ588" s="106"/>
      <c r="CA588" s="106"/>
      <c r="CB588" s="106"/>
      <c r="CC588" s="2"/>
      <c r="CD588" s="2"/>
      <c r="CE588" s="82"/>
      <c r="CF588" s="82"/>
      <c r="CG588" s="82"/>
      <c r="CH588" s="82"/>
      <c r="CI588" s="82"/>
      <c r="CJ588" s="82"/>
      <c r="CK588" s="82"/>
      <c r="CL588" s="82"/>
      <c r="CM588" s="197"/>
      <c r="CN588" s="197"/>
      <c r="CO588" s="197"/>
      <c r="CP588" s="197"/>
      <c r="CQ588" s="82"/>
      <c r="CR588" s="106"/>
      <c r="CS588" s="106"/>
      <c r="CT588" s="106"/>
      <c r="CU588" s="106"/>
      <c r="CV588" s="2"/>
      <c r="CW588" s="2"/>
      <c r="CX588" s="82"/>
      <c r="CY588" s="82"/>
      <c r="CZ588" s="82"/>
      <c r="DA588" s="82"/>
      <c r="DB588" s="82"/>
      <c r="DC588" s="82"/>
      <c r="DD588" s="99"/>
    </row>
    <row r="589" spans="30:108" ht="6.95" customHeight="1" x14ac:dyDescent="0.15">
      <c r="AD589" s="56"/>
      <c r="AE589" s="82"/>
      <c r="AF589" s="85"/>
      <c r="AG589" s="85"/>
      <c r="AH589" s="85"/>
      <c r="AI589" s="85"/>
      <c r="AJ589" s="85"/>
      <c r="AK589" s="106"/>
      <c r="AL589" s="106"/>
      <c r="AM589" s="106"/>
      <c r="AN589" s="106"/>
      <c r="AO589" s="85"/>
      <c r="AP589" s="85"/>
      <c r="AQ589" s="85"/>
      <c r="AR589" s="85"/>
      <c r="AS589" s="85"/>
      <c r="AT589" s="85"/>
      <c r="AU589" s="85"/>
      <c r="AV589" s="85"/>
      <c r="AW589" s="82"/>
      <c r="AX589" s="82"/>
      <c r="AY589" s="85"/>
      <c r="AZ589" s="85"/>
      <c r="BA589" s="85"/>
      <c r="BB589" s="85"/>
      <c r="BC589" s="85"/>
      <c r="BD589" s="106"/>
      <c r="BE589" s="106"/>
      <c r="BF589" s="106"/>
      <c r="BG589" s="106"/>
      <c r="BH589" s="85"/>
      <c r="BI589" s="85"/>
      <c r="BJ589" s="85"/>
      <c r="BK589" s="85"/>
      <c r="BL589" s="85"/>
      <c r="BM589" s="85"/>
      <c r="BN589" s="85"/>
      <c r="BO589" s="85"/>
      <c r="BP589" s="99"/>
      <c r="BQ589" s="93"/>
      <c r="BR589" s="56"/>
      <c r="BS589" s="82"/>
      <c r="BT589" s="85"/>
      <c r="BU589" s="85"/>
      <c r="BV589" s="85"/>
      <c r="BW589" s="85"/>
      <c r="BX589" s="85"/>
      <c r="BY589" s="106"/>
      <c r="BZ589" s="106"/>
      <c r="CA589" s="106"/>
      <c r="CB589" s="106"/>
      <c r="CC589" s="85"/>
      <c r="CD589" s="85"/>
      <c r="CE589" s="85"/>
      <c r="CF589" s="85"/>
      <c r="CG589" s="85"/>
      <c r="CH589" s="85"/>
      <c r="CI589" s="85"/>
      <c r="CJ589" s="85"/>
      <c r="CK589" s="82"/>
      <c r="CL589" s="82"/>
      <c r="CM589" s="85"/>
      <c r="CN589" s="85"/>
      <c r="CO589" s="85"/>
      <c r="CP589" s="85"/>
      <c r="CQ589" s="85"/>
      <c r="CR589" s="106"/>
      <c r="CS589" s="106"/>
      <c r="CT589" s="106"/>
      <c r="CU589" s="106"/>
      <c r="CV589" s="85"/>
      <c r="CW589" s="85"/>
      <c r="CX589" s="85"/>
      <c r="CY589" s="85"/>
      <c r="CZ589" s="85"/>
      <c r="DA589" s="85"/>
      <c r="DB589" s="85"/>
      <c r="DC589" s="85"/>
      <c r="DD589" s="99"/>
    </row>
    <row r="590" spans="30:108" ht="6.95" customHeight="1" x14ac:dyDescent="0.15">
      <c r="AD590" s="56"/>
      <c r="AE590" s="215">
        <f>CHOOSE(SUM((AD566&gt;={700,750,800,850,900,950})*1), 515,565,615,665,715,765)</f>
        <v>615</v>
      </c>
      <c r="AF590" s="215"/>
      <c r="AG590" s="215"/>
      <c r="AH590" s="215"/>
      <c r="AI590" s="3"/>
      <c r="AJ590" s="3"/>
      <c r="AK590" s="2"/>
      <c r="AL590" s="2"/>
      <c r="AM590" s="85"/>
      <c r="AN590" s="85"/>
      <c r="AO590" s="118"/>
      <c r="AP590" s="118"/>
      <c r="AQ590" s="118"/>
      <c r="AR590" s="118"/>
      <c r="AS590" s="3"/>
      <c r="AT590" s="3"/>
      <c r="AU590" s="3"/>
      <c r="AV590" s="3"/>
      <c r="AW590" s="85"/>
      <c r="AX590" s="215">
        <f>AE590-100</f>
        <v>515</v>
      </c>
      <c r="AY590" s="215"/>
      <c r="AZ590" s="215"/>
      <c r="BA590" s="215"/>
      <c r="BB590" s="3"/>
      <c r="BC590" s="3"/>
      <c r="BD590" s="2"/>
      <c r="BE590" s="2"/>
      <c r="BF590" s="85"/>
      <c r="BG590" s="85"/>
      <c r="BH590" s="118"/>
      <c r="BI590" s="118"/>
      <c r="BJ590" s="118"/>
      <c r="BK590" s="118"/>
      <c r="BL590" s="3"/>
      <c r="BM590" s="3"/>
      <c r="BN590" s="3"/>
      <c r="BO590" s="3"/>
      <c r="BP590" s="99"/>
      <c r="BQ590" s="93"/>
      <c r="BR590" s="56"/>
      <c r="BS590" s="215">
        <v>615</v>
      </c>
      <c r="BT590" s="215"/>
      <c r="BU590" s="215"/>
      <c r="BV590" s="215"/>
      <c r="BW590" s="3"/>
      <c r="BX590" s="3"/>
      <c r="BY590" s="2"/>
      <c r="BZ590" s="2"/>
      <c r="CA590" s="85"/>
      <c r="CB590" s="85"/>
      <c r="CC590" s="118"/>
      <c r="CD590" s="118"/>
      <c r="CE590" s="118"/>
      <c r="CF590" s="118"/>
      <c r="CG590" s="3"/>
      <c r="CH590" s="3"/>
      <c r="CI590" s="3"/>
      <c r="CJ590" s="3"/>
      <c r="CK590" s="85"/>
      <c r="CL590" s="215">
        <v>515</v>
      </c>
      <c r="CM590" s="215"/>
      <c r="CN590" s="215"/>
      <c r="CO590" s="215"/>
      <c r="CP590" s="3"/>
      <c r="CQ590" s="3"/>
      <c r="CR590" s="2"/>
      <c r="CS590" s="2"/>
      <c r="CT590" s="85"/>
      <c r="CU590" s="85"/>
      <c r="CV590" s="118"/>
      <c r="CW590" s="118"/>
      <c r="CX590" s="118"/>
      <c r="CY590" s="118"/>
      <c r="CZ590" s="3"/>
      <c r="DA590" s="3"/>
      <c r="DB590" s="3"/>
      <c r="DC590" s="3"/>
      <c r="DD590" s="99"/>
    </row>
    <row r="591" spans="30:108" ht="6.95" customHeight="1" x14ac:dyDescent="0.15">
      <c r="AD591" s="56"/>
      <c r="AE591" s="215"/>
      <c r="AF591" s="215"/>
      <c r="AG591" s="215"/>
      <c r="AH591" s="215"/>
      <c r="AI591" s="3"/>
      <c r="AJ591" s="3"/>
      <c r="AK591" s="4"/>
      <c r="AL591" s="4"/>
      <c r="AM591" s="85"/>
      <c r="AN591" s="85"/>
      <c r="AO591" s="118"/>
      <c r="AP591" s="118"/>
      <c r="AQ591" s="118"/>
      <c r="AR591" s="118"/>
      <c r="AS591" s="3"/>
      <c r="AT591" s="3"/>
      <c r="AU591" s="3"/>
      <c r="AV591" s="3"/>
      <c r="AW591" s="85"/>
      <c r="AX591" s="215"/>
      <c r="AY591" s="215"/>
      <c r="AZ591" s="215"/>
      <c r="BA591" s="215"/>
      <c r="BB591" s="3"/>
      <c r="BC591" s="3"/>
      <c r="BD591" s="4"/>
      <c r="BE591" s="4"/>
      <c r="BF591" s="85"/>
      <c r="BG591" s="85"/>
      <c r="BH591" s="118"/>
      <c r="BI591" s="118"/>
      <c r="BJ591" s="118"/>
      <c r="BK591" s="118"/>
      <c r="BL591" s="3"/>
      <c r="BM591" s="3"/>
      <c r="BN591" s="3"/>
      <c r="BO591" s="3"/>
      <c r="BP591" s="99"/>
      <c r="BQ591" s="93"/>
      <c r="BR591" s="56"/>
      <c r="BS591" s="215"/>
      <c r="BT591" s="215"/>
      <c r="BU591" s="215"/>
      <c r="BV591" s="215"/>
      <c r="BW591" s="3"/>
      <c r="BX591" s="3"/>
      <c r="BY591" s="4"/>
      <c r="BZ591" s="4"/>
      <c r="CA591" s="85"/>
      <c r="CB591" s="85"/>
      <c r="CC591" s="118"/>
      <c r="CD591" s="118"/>
      <c r="CE591" s="118"/>
      <c r="CF591" s="118"/>
      <c r="CG591" s="3"/>
      <c r="CH591" s="3"/>
      <c r="CI591" s="3"/>
      <c r="CJ591" s="3"/>
      <c r="CK591" s="85"/>
      <c r="CL591" s="215"/>
      <c r="CM591" s="215"/>
      <c r="CN591" s="215"/>
      <c r="CO591" s="215"/>
      <c r="CP591" s="3"/>
      <c r="CQ591" s="3"/>
      <c r="CR591" s="4"/>
      <c r="CS591" s="4"/>
      <c r="CT591" s="85"/>
      <c r="CU591" s="85"/>
      <c r="CV591" s="118"/>
      <c r="CW591" s="118"/>
      <c r="CX591" s="118"/>
      <c r="CY591" s="118"/>
      <c r="CZ591" s="3"/>
      <c r="DA591" s="3"/>
      <c r="DB591" s="3"/>
      <c r="DC591" s="3"/>
      <c r="DD591" s="99"/>
    </row>
    <row r="592" spans="30:108" ht="6.95" customHeight="1" x14ac:dyDescent="0.15">
      <c r="AD592" s="56"/>
      <c r="AE592" s="200" t="s">
        <v>29</v>
      </c>
      <c r="AF592" s="200"/>
      <c r="AG592" s="200"/>
      <c r="AH592" s="200"/>
      <c r="AI592" s="3"/>
      <c r="AJ592" s="3"/>
      <c r="AK592" s="4"/>
      <c r="AL592" s="4"/>
      <c r="AM592" s="84"/>
      <c r="AN592" s="84"/>
      <c r="AO592" s="107"/>
      <c r="AP592" s="107"/>
      <c r="AQ592" s="107"/>
      <c r="AR592" s="107"/>
      <c r="AS592" s="3"/>
      <c r="AT592" s="3"/>
      <c r="AU592" s="3"/>
      <c r="AV592" s="3"/>
      <c r="AW592" s="84"/>
      <c r="AX592" s="200" t="s">
        <v>29</v>
      </c>
      <c r="AY592" s="200"/>
      <c r="AZ592" s="200"/>
      <c r="BA592" s="200"/>
      <c r="BB592" s="3"/>
      <c r="BC592" s="3"/>
      <c r="BD592" s="4"/>
      <c r="BE592" s="4"/>
      <c r="BF592" s="84"/>
      <c r="BG592" s="84"/>
      <c r="BH592" s="107"/>
      <c r="BI592" s="107"/>
      <c r="BJ592" s="107"/>
      <c r="BK592" s="107"/>
      <c r="BL592" s="3"/>
      <c r="BM592" s="3"/>
      <c r="BN592" s="3"/>
      <c r="BO592" s="3"/>
      <c r="BP592" s="99"/>
      <c r="BQ592" s="93"/>
      <c r="BR592" s="56"/>
      <c r="BS592" s="200" t="s">
        <v>29</v>
      </c>
      <c r="BT592" s="200"/>
      <c r="BU592" s="200"/>
      <c r="BV592" s="200"/>
      <c r="BW592" s="3"/>
      <c r="BX592" s="3"/>
      <c r="BY592" s="4"/>
      <c r="BZ592" s="4"/>
      <c r="CA592" s="84"/>
      <c r="CB592" s="84"/>
      <c r="CC592" s="107"/>
      <c r="CD592" s="107"/>
      <c r="CE592" s="107"/>
      <c r="CF592" s="107"/>
      <c r="CG592" s="3"/>
      <c r="CH592" s="3"/>
      <c r="CI592" s="3"/>
      <c r="CJ592" s="3"/>
      <c r="CK592" s="84"/>
      <c r="CL592" s="200" t="s">
        <v>29</v>
      </c>
      <c r="CM592" s="200"/>
      <c r="CN592" s="200"/>
      <c r="CO592" s="200"/>
      <c r="CP592" s="3"/>
      <c r="CQ592" s="3"/>
      <c r="CR592" s="4"/>
      <c r="CS592" s="4"/>
      <c r="CT592" s="84"/>
      <c r="CU592" s="84"/>
      <c r="CV592" s="107"/>
      <c r="CW592" s="107"/>
      <c r="CX592" s="107"/>
      <c r="CY592" s="107"/>
      <c r="CZ592" s="3"/>
      <c r="DA592" s="3"/>
      <c r="DB592" s="3"/>
      <c r="DC592" s="3"/>
      <c r="DD592" s="99"/>
    </row>
    <row r="593" spans="30:108" ht="6.95" customHeight="1" x14ac:dyDescent="0.15">
      <c r="AD593" s="56"/>
      <c r="AE593" s="200"/>
      <c r="AF593" s="200"/>
      <c r="AG593" s="200"/>
      <c r="AH593" s="200"/>
      <c r="AI593" s="3"/>
      <c r="AJ593" s="84"/>
      <c r="AK593" s="107"/>
      <c r="AL593" s="107"/>
      <c r="AM593" s="107"/>
      <c r="AN593" s="107"/>
      <c r="AO593" s="107"/>
      <c r="AP593" s="107"/>
      <c r="AQ593" s="107"/>
      <c r="AR593" s="107"/>
      <c r="AS593" s="84"/>
      <c r="AT593" s="84"/>
      <c r="AU593" s="3"/>
      <c r="AV593" s="84"/>
      <c r="AW593" s="84"/>
      <c r="AX593" s="200"/>
      <c r="AY593" s="200"/>
      <c r="AZ593" s="200"/>
      <c r="BA593" s="200"/>
      <c r="BB593" s="3"/>
      <c r="BC593" s="84"/>
      <c r="BD593" s="107"/>
      <c r="BE593" s="107"/>
      <c r="BF593" s="107"/>
      <c r="BG593" s="107"/>
      <c r="BH593" s="107"/>
      <c r="BI593" s="107"/>
      <c r="BJ593" s="107"/>
      <c r="BK593" s="107"/>
      <c r="BL593" s="84"/>
      <c r="BM593" s="84"/>
      <c r="BN593" s="3"/>
      <c r="BO593" s="84"/>
      <c r="BP593" s="99"/>
      <c r="BQ593" s="93"/>
      <c r="BR593" s="56"/>
      <c r="BS593" s="200"/>
      <c r="BT593" s="200"/>
      <c r="BU593" s="200"/>
      <c r="BV593" s="200"/>
      <c r="BW593" s="3"/>
      <c r="BX593" s="84"/>
      <c r="BY593" s="107"/>
      <c r="BZ593" s="107"/>
      <c r="CA593" s="107"/>
      <c r="CB593" s="107"/>
      <c r="CC593" s="107"/>
      <c r="CD593" s="107"/>
      <c r="CE593" s="107"/>
      <c r="CF593" s="107"/>
      <c r="CG593" s="84"/>
      <c r="CH593" s="84"/>
      <c r="CI593" s="3"/>
      <c r="CJ593" s="84"/>
      <c r="CK593" s="84"/>
      <c r="CL593" s="200"/>
      <c r="CM593" s="200"/>
      <c r="CN593" s="200"/>
      <c r="CO593" s="200"/>
      <c r="CP593" s="3"/>
      <c r="CQ593" s="84"/>
      <c r="CR593" s="107"/>
      <c r="CS593" s="107"/>
      <c r="CT593" s="107"/>
      <c r="CU593" s="107"/>
      <c r="CV593" s="107"/>
      <c r="CW593" s="107"/>
      <c r="CX593" s="107"/>
      <c r="CY593" s="107"/>
      <c r="CZ593" s="84"/>
      <c r="DA593" s="84"/>
      <c r="DB593" s="3"/>
      <c r="DC593" s="84"/>
      <c r="DD593" s="99"/>
    </row>
    <row r="594" spans="30:108" ht="6.95" customHeight="1" x14ac:dyDescent="0.15">
      <c r="AD594" s="56"/>
      <c r="AE594" s="84"/>
      <c r="AF594" s="3"/>
      <c r="AG594" s="3"/>
      <c r="AH594" s="3"/>
      <c r="AI594" s="3"/>
      <c r="AJ594" s="84"/>
      <c r="AK594" s="107"/>
      <c r="AL594" s="107"/>
      <c r="AM594" s="107"/>
      <c r="AN594" s="107"/>
      <c r="AO594" s="196" t="s">
        <v>42</v>
      </c>
      <c r="AP594" s="196"/>
      <c r="AQ594" s="196"/>
      <c r="AR594" s="196">
        <v>1</v>
      </c>
      <c r="AS594" s="196"/>
      <c r="AT594" s="196" t="s">
        <v>43</v>
      </c>
      <c r="AU594" s="196"/>
      <c r="AV594" s="196"/>
      <c r="AW594" s="84"/>
      <c r="AX594" s="84"/>
      <c r="AY594" s="3"/>
      <c r="AZ594" s="3"/>
      <c r="BA594" s="3"/>
      <c r="BB594" s="3"/>
      <c r="BC594" s="84"/>
      <c r="BD594" s="107"/>
      <c r="BE594" s="107"/>
      <c r="BF594" s="107"/>
      <c r="BG594" s="107"/>
      <c r="BH594" s="196" t="s">
        <v>42</v>
      </c>
      <c r="BI594" s="196"/>
      <c r="BJ594" s="196"/>
      <c r="BK594" s="196">
        <v>1</v>
      </c>
      <c r="BL594" s="196"/>
      <c r="BM594" s="196" t="s">
        <v>43</v>
      </c>
      <c r="BN594" s="196"/>
      <c r="BO594" s="196"/>
      <c r="BP594" s="99"/>
      <c r="BQ594" s="93"/>
      <c r="BR594" s="56"/>
      <c r="BS594" s="84"/>
      <c r="BT594" s="3"/>
      <c r="BU594" s="3"/>
      <c r="BV594" s="3"/>
      <c r="BW594" s="3"/>
      <c r="BX594" s="84"/>
      <c r="BY594" s="107"/>
      <c r="BZ594" s="107"/>
      <c r="CA594" s="107"/>
      <c r="CB594" s="107"/>
      <c r="CC594" s="196" t="s">
        <v>42</v>
      </c>
      <c r="CD594" s="196"/>
      <c r="CE594" s="196"/>
      <c r="CF594" s="196">
        <v>1</v>
      </c>
      <c r="CG594" s="196"/>
      <c r="CH594" s="196" t="s">
        <v>43</v>
      </c>
      <c r="CI594" s="196"/>
      <c r="CJ594" s="196"/>
      <c r="CK594" s="84"/>
      <c r="CL594" s="84"/>
      <c r="CM594" s="3"/>
      <c r="CN594" s="3"/>
      <c r="CO594" s="3"/>
      <c r="CP594" s="3"/>
      <c r="CQ594" s="84"/>
      <c r="CR594" s="107"/>
      <c r="CS594" s="107"/>
      <c r="CT594" s="107"/>
      <c r="CU594" s="107"/>
      <c r="CV594" s="196" t="s">
        <v>42</v>
      </c>
      <c r="CW594" s="196"/>
      <c r="CX594" s="196"/>
      <c r="CY594" s="196">
        <v>1</v>
      </c>
      <c r="CZ594" s="196"/>
      <c r="DA594" s="196" t="s">
        <v>43</v>
      </c>
      <c r="DB594" s="196"/>
      <c r="DC594" s="196"/>
      <c r="DD594" s="99"/>
    </row>
    <row r="595" spans="30:108" ht="6.95" customHeight="1" x14ac:dyDescent="0.15">
      <c r="AD595" s="52"/>
      <c r="AE595" s="88"/>
      <c r="AF595" s="2"/>
      <c r="AG595" s="2"/>
      <c r="AH595" s="2"/>
      <c r="AI595" s="2"/>
      <c r="AJ595" s="2"/>
      <c r="AK595" s="2"/>
      <c r="AL595" s="88"/>
      <c r="AM595" s="88"/>
      <c r="AN595" s="88"/>
      <c r="AO595" s="196"/>
      <c r="AP595" s="196"/>
      <c r="AQ595" s="196"/>
      <c r="AR595" s="196"/>
      <c r="AS595" s="196"/>
      <c r="AT595" s="196"/>
      <c r="AU595" s="196"/>
      <c r="AV595" s="196"/>
      <c r="AW595" s="88"/>
      <c r="AX595" s="88"/>
      <c r="AY595" s="2"/>
      <c r="AZ595" s="2"/>
      <c r="BA595" s="2"/>
      <c r="BB595" s="2"/>
      <c r="BC595" s="2"/>
      <c r="BD595" s="2"/>
      <c r="BE595" s="88"/>
      <c r="BF595" s="88"/>
      <c r="BG595" s="88"/>
      <c r="BH595" s="196"/>
      <c r="BI595" s="196"/>
      <c r="BJ595" s="196"/>
      <c r="BK595" s="196"/>
      <c r="BL595" s="196"/>
      <c r="BM595" s="196"/>
      <c r="BN595" s="196"/>
      <c r="BO595" s="196"/>
      <c r="BP595" s="99"/>
      <c r="BQ595" s="93"/>
      <c r="BR595" s="52"/>
      <c r="BS595" s="88"/>
      <c r="BT595" s="2"/>
      <c r="BU595" s="2"/>
      <c r="BV595" s="2"/>
      <c r="BW595" s="2"/>
      <c r="BX595" s="2"/>
      <c r="BY595" s="2"/>
      <c r="BZ595" s="88"/>
      <c r="CA595" s="88"/>
      <c r="CB595" s="88"/>
      <c r="CC595" s="196"/>
      <c r="CD595" s="196"/>
      <c r="CE595" s="196"/>
      <c r="CF595" s="196"/>
      <c r="CG595" s="196"/>
      <c r="CH595" s="196"/>
      <c r="CI595" s="196"/>
      <c r="CJ595" s="196"/>
      <c r="CK595" s="88"/>
      <c r="CL595" s="88"/>
      <c r="CM595" s="2"/>
      <c r="CN595" s="2"/>
      <c r="CO595" s="2"/>
      <c r="CP595" s="2"/>
      <c r="CQ595" s="2"/>
      <c r="CR595" s="2"/>
      <c r="CS595" s="88"/>
      <c r="CT595" s="88"/>
      <c r="CU595" s="88"/>
      <c r="CV595" s="196"/>
      <c r="CW595" s="196"/>
      <c r="CX595" s="196"/>
      <c r="CY595" s="196"/>
      <c r="CZ595" s="196"/>
      <c r="DA595" s="196"/>
      <c r="DB595" s="196"/>
      <c r="DC595" s="196"/>
      <c r="DD595" s="99"/>
    </row>
    <row r="596" spans="30:108" ht="6.95" customHeight="1" x14ac:dyDescent="0.15">
      <c r="AD596" s="83"/>
      <c r="AE596" s="82"/>
      <c r="AF596" s="197" t="s">
        <v>28</v>
      </c>
      <c r="AG596" s="197"/>
      <c r="AH596" s="197"/>
      <c r="AI596" s="197"/>
      <c r="AJ596" s="82"/>
      <c r="AK596" s="82"/>
      <c r="AL596" s="82"/>
      <c r="AM596" s="2"/>
      <c r="AN596" s="2"/>
      <c r="AO596" s="2"/>
      <c r="AP596" s="2"/>
      <c r="AQ596" s="2"/>
      <c r="AR596" s="2"/>
      <c r="AS596" s="2"/>
      <c r="AT596" s="2"/>
      <c r="AU596" s="3"/>
      <c r="AV596" s="82"/>
      <c r="AW596" s="88"/>
      <c r="AX596" s="88"/>
      <c r="AY596" s="197" t="s">
        <v>27</v>
      </c>
      <c r="AZ596" s="197"/>
      <c r="BA596" s="197"/>
      <c r="BB596" s="197"/>
      <c r="BC596" s="82"/>
      <c r="BD596" s="82"/>
      <c r="BE596" s="3"/>
      <c r="BF596" s="3"/>
      <c r="BG596" s="3"/>
      <c r="BH596" s="3"/>
      <c r="BI596" s="198"/>
      <c r="BJ596" s="198"/>
      <c r="BK596" s="198"/>
      <c r="BL596" s="198"/>
      <c r="BM596" s="1"/>
      <c r="BN596" s="1"/>
      <c r="BO596" s="1"/>
      <c r="BP596" s="99"/>
      <c r="BQ596" s="93"/>
      <c r="BR596" s="83"/>
      <c r="BS596" s="82"/>
      <c r="BT596" s="197" t="s">
        <v>28</v>
      </c>
      <c r="BU596" s="197"/>
      <c r="BV596" s="197"/>
      <c r="BW596" s="197"/>
      <c r="BX596" s="82"/>
      <c r="BY596" s="82"/>
      <c r="BZ596" s="82"/>
      <c r="CA596" s="2"/>
      <c r="CB596" s="2"/>
      <c r="CC596" s="2"/>
      <c r="CD596" s="2"/>
      <c r="CE596" s="2"/>
      <c r="CF596" s="2"/>
      <c r="CG596" s="2"/>
      <c r="CH596" s="2"/>
      <c r="CI596" s="3"/>
      <c r="CJ596" s="82"/>
      <c r="CK596" s="88"/>
      <c r="CL596" s="88"/>
      <c r="CM596" s="197" t="s">
        <v>27</v>
      </c>
      <c r="CN596" s="197"/>
      <c r="CO596" s="197"/>
      <c r="CP596" s="197"/>
      <c r="CQ596" s="82"/>
      <c r="CR596" s="82"/>
      <c r="CS596" s="3"/>
      <c r="CT596" s="3"/>
      <c r="CU596" s="3"/>
      <c r="CV596" s="3"/>
      <c r="CW596" s="198"/>
      <c r="CX596" s="198"/>
      <c r="CY596" s="198"/>
      <c r="CZ596" s="198"/>
      <c r="DA596" s="1"/>
      <c r="DB596" s="1"/>
      <c r="DC596" s="1"/>
      <c r="DD596" s="99"/>
    </row>
    <row r="597" spans="30:108" ht="6.95" customHeight="1" x14ac:dyDescent="0.15">
      <c r="AD597" s="56"/>
      <c r="AE597" s="3"/>
      <c r="AF597" s="197"/>
      <c r="AG597" s="197"/>
      <c r="AH597" s="197"/>
      <c r="AI597" s="197"/>
      <c r="AJ597" s="82"/>
      <c r="AK597" s="82"/>
      <c r="AL597" s="82"/>
      <c r="AM597" s="2"/>
      <c r="AN597" s="2"/>
      <c r="AO597" s="2"/>
      <c r="AP597" s="2"/>
      <c r="AQ597" s="2"/>
      <c r="AR597" s="2"/>
      <c r="AS597" s="2"/>
      <c r="AT597" s="2"/>
      <c r="AU597" s="3"/>
      <c r="AV597" s="82"/>
      <c r="AW597" s="82"/>
      <c r="AX597" s="3"/>
      <c r="AY597" s="197"/>
      <c r="AZ597" s="197"/>
      <c r="BA597" s="197"/>
      <c r="BB597" s="197"/>
      <c r="BC597" s="82"/>
      <c r="BD597" s="82"/>
      <c r="BE597" s="3"/>
      <c r="BF597" s="3"/>
      <c r="BG597" s="3"/>
      <c r="BH597" s="3"/>
      <c r="BI597" s="198"/>
      <c r="BJ597" s="198"/>
      <c r="BK597" s="198"/>
      <c r="BL597" s="198"/>
      <c r="BM597" s="1"/>
      <c r="BN597" s="1"/>
      <c r="BO597" s="1"/>
      <c r="BP597" s="99"/>
      <c r="BQ597" s="93"/>
      <c r="BR597" s="56"/>
      <c r="BS597" s="3"/>
      <c r="BT597" s="197"/>
      <c r="BU597" s="197"/>
      <c r="BV597" s="197"/>
      <c r="BW597" s="197"/>
      <c r="BX597" s="82"/>
      <c r="BY597" s="82"/>
      <c r="BZ597" s="82"/>
      <c r="CA597" s="2"/>
      <c r="CB597" s="2"/>
      <c r="CC597" s="2"/>
      <c r="CD597" s="2"/>
      <c r="CE597" s="2"/>
      <c r="CF597" s="2"/>
      <c r="CG597" s="2"/>
      <c r="CH597" s="2"/>
      <c r="CI597" s="3"/>
      <c r="CJ597" s="82"/>
      <c r="CK597" s="82"/>
      <c r="CL597" s="3"/>
      <c r="CM597" s="197"/>
      <c r="CN597" s="197"/>
      <c r="CO597" s="197"/>
      <c r="CP597" s="197"/>
      <c r="CQ597" s="82"/>
      <c r="CR597" s="82"/>
      <c r="CS597" s="3"/>
      <c r="CT597" s="3"/>
      <c r="CU597" s="3"/>
      <c r="CV597" s="3"/>
      <c r="CW597" s="198"/>
      <c r="CX597" s="198"/>
      <c r="CY597" s="198"/>
      <c r="CZ597" s="198"/>
      <c r="DA597" s="1"/>
      <c r="DB597" s="1"/>
      <c r="DC597" s="1"/>
      <c r="DD597" s="99"/>
    </row>
    <row r="598" spans="30:108" ht="6.95" customHeight="1" x14ac:dyDescent="0.15">
      <c r="AD598" s="56"/>
      <c r="AE598" s="3"/>
      <c r="AF598" s="3"/>
      <c r="AG598" s="3"/>
      <c r="AH598" s="3"/>
      <c r="AI598" s="2"/>
      <c r="AJ598" s="2"/>
      <c r="AK598" s="2"/>
      <c r="AL598" s="2"/>
      <c r="AM598" s="2"/>
      <c r="AN598" s="82"/>
      <c r="AO598" s="82"/>
      <c r="AP598" s="82"/>
      <c r="AQ598" s="82"/>
      <c r="AR598" s="82"/>
      <c r="AS598" s="82"/>
      <c r="AT598" s="2"/>
      <c r="AU598" s="3"/>
      <c r="AV598" s="82"/>
      <c r="AW598" s="82"/>
      <c r="AX598" s="3"/>
      <c r="AY598" s="3"/>
      <c r="AZ598" s="2"/>
      <c r="BA598" s="3"/>
      <c r="BB598" s="82"/>
      <c r="BC598" s="82"/>
      <c r="BD598" s="3"/>
      <c r="BE598" s="3"/>
      <c r="BF598" s="3"/>
      <c r="BG598" s="3"/>
      <c r="BH598" s="3"/>
      <c r="BI598" s="3"/>
      <c r="BJ598" s="3"/>
      <c r="BK598" s="3"/>
      <c r="BL598" s="3"/>
      <c r="BM598" s="1"/>
      <c r="BN598" s="1"/>
      <c r="BO598" s="1"/>
      <c r="BP598" s="99"/>
      <c r="BQ598" s="93"/>
      <c r="BR598" s="56"/>
      <c r="BS598" s="3"/>
      <c r="BT598" s="3"/>
      <c r="BU598" s="3"/>
      <c r="BV598" s="3"/>
      <c r="BW598" s="2"/>
      <c r="BX598" s="2"/>
      <c r="BY598" s="2"/>
      <c r="BZ598" s="2"/>
      <c r="CA598" s="2"/>
      <c r="CB598" s="82"/>
      <c r="CC598" s="82"/>
      <c r="CD598" s="82"/>
      <c r="CE598" s="82"/>
      <c r="CF598" s="82"/>
      <c r="CG598" s="82"/>
      <c r="CH598" s="2"/>
      <c r="CI598" s="3"/>
      <c r="CJ598" s="82"/>
      <c r="CK598" s="82"/>
      <c r="CL598" s="3"/>
      <c r="CM598" s="3"/>
      <c r="CN598" s="2"/>
      <c r="CO598" s="3"/>
      <c r="CP598" s="82"/>
      <c r="CQ598" s="82"/>
      <c r="CR598" s="3"/>
      <c r="CS598" s="3"/>
      <c r="CT598" s="3"/>
      <c r="CU598" s="3"/>
      <c r="CV598" s="3"/>
      <c r="CW598" s="3"/>
      <c r="CX598" s="3"/>
      <c r="CY598" s="3"/>
      <c r="CZ598" s="3"/>
      <c r="DA598" s="1"/>
      <c r="DB598" s="1"/>
      <c r="DC598" s="1"/>
      <c r="DD598" s="99"/>
    </row>
    <row r="599" spans="30:108" ht="6.95" customHeight="1" x14ac:dyDescent="0.15">
      <c r="AD599" s="56"/>
      <c r="AE599" s="3"/>
      <c r="AF599" s="199">
        <f>CHOOSE(SUM((AD566&gt;={700,750,800,850,900,950})*1), 500,550,600,650,700,750)</f>
        <v>600</v>
      </c>
      <c r="AG599" s="199"/>
      <c r="AH599" s="199"/>
      <c r="AI599" s="199"/>
      <c r="AJ599" s="4"/>
      <c r="AK599" s="4"/>
      <c r="AL599" s="4"/>
      <c r="AM599" s="4"/>
      <c r="AN599" s="82"/>
      <c r="AO599" s="82"/>
      <c r="AP599" s="82"/>
      <c r="AQ599" s="82"/>
      <c r="AR599" s="82"/>
      <c r="AS599" s="82"/>
      <c r="AT599" s="4"/>
      <c r="AU599" s="3"/>
      <c r="AV599" s="3"/>
      <c r="AW599" s="82"/>
      <c r="AX599" s="3"/>
      <c r="AY599" s="3"/>
      <c r="AZ599" s="4"/>
      <c r="BA599" s="3"/>
      <c r="BB599" s="3"/>
      <c r="BC599" s="3"/>
      <c r="BD599" s="3"/>
      <c r="BE599" s="3"/>
      <c r="BF599" s="3"/>
      <c r="BG599" s="3"/>
      <c r="BH599" s="197">
        <f>CHOOSE(SUM(($BR$138&gt;={700,750})*1), 700,800)</f>
        <v>800</v>
      </c>
      <c r="BI599" s="197"/>
      <c r="BJ599" s="197"/>
      <c r="BK599" s="197"/>
      <c r="BL599" s="3"/>
      <c r="BM599" s="1"/>
      <c r="BN599" s="1"/>
      <c r="BO599" s="1"/>
      <c r="BP599" s="99"/>
      <c r="BQ599" s="93"/>
      <c r="BR599" s="56"/>
      <c r="BS599" s="3"/>
      <c r="BT599" s="199">
        <f>CHOOSE(SUM((BR566&gt;={700,750,800,850,900,950})*1), 500,550,600,650,700,750)</f>
        <v>600</v>
      </c>
      <c r="BU599" s="199"/>
      <c r="BV599" s="199"/>
      <c r="BW599" s="199"/>
      <c r="BX599" s="4"/>
      <c r="BY599" s="4"/>
      <c r="BZ599" s="4"/>
      <c r="CA599" s="4"/>
      <c r="CB599" s="82"/>
      <c r="CC599" s="82"/>
      <c r="CD599" s="82"/>
      <c r="CE599" s="82"/>
      <c r="CF599" s="82"/>
      <c r="CG599" s="82"/>
      <c r="CH599" s="4"/>
      <c r="CI599" s="3"/>
      <c r="CJ599" s="3"/>
      <c r="CK599" s="82"/>
      <c r="CL599" s="3"/>
      <c r="CM599" s="3"/>
      <c r="CN599" s="4"/>
      <c r="CO599" s="3"/>
      <c r="CP599" s="3"/>
      <c r="CQ599" s="3"/>
      <c r="CR599" s="3"/>
      <c r="CS599" s="3"/>
      <c r="CT599" s="3"/>
      <c r="CU599" s="3"/>
      <c r="CV599" s="197">
        <f>CHOOSE(SUM(($BR$138&gt;={700,750})*1), 700,800)</f>
        <v>800</v>
      </c>
      <c r="CW599" s="197"/>
      <c r="CX599" s="197"/>
      <c r="CY599" s="197"/>
      <c r="CZ599" s="3"/>
      <c r="DA599" s="1"/>
      <c r="DB599" s="1"/>
      <c r="DC599" s="1"/>
      <c r="DD599" s="99"/>
    </row>
    <row r="600" spans="30:108" ht="6.95" customHeight="1" x14ac:dyDescent="0.15">
      <c r="AD600" s="56"/>
      <c r="AE600" s="3"/>
      <c r="AF600" s="199"/>
      <c r="AG600" s="199"/>
      <c r="AH600" s="199"/>
      <c r="AI600" s="199"/>
      <c r="AJ600" s="4"/>
      <c r="AK600" s="4"/>
      <c r="AL600" s="4"/>
      <c r="AM600" s="4"/>
      <c r="AN600" s="82"/>
      <c r="AO600" s="82"/>
      <c r="AP600" s="82"/>
      <c r="AQ600" s="4"/>
      <c r="AR600" s="4"/>
      <c r="AS600" s="4"/>
      <c r="AT600" s="4"/>
      <c r="AU600" s="4"/>
      <c r="AV600" s="4"/>
      <c r="AW600" s="3"/>
      <c r="AX600" s="3"/>
      <c r="AY600" s="4"/>
      <c r="AZ600" s="4"/>
      <c r="BA600" s="4"/>
      <c r="BB600" s="4"/>
      <c r="BC600" s="4"/>
      <c r="BD600" s="4"/>
      <c r="BE600" s="4"/>
      <c r="BF600" s="4"/>
      <c r="BG600" s="4"/>
      <c r="BH600" s="197"/>
      <c r="BI600" s="197"/>
      <c r="BJ600" s="197"/>
      <c r="BK600" s="197"/>
      <c r="BL600" s="4"/>
      <c r="BM600" s="1"/>
      <c r="BN600" s="1"/>
      <c r="BO600" s="1"/>
      <c r="BP600" s="99"/>
      <c r="BQ600" s="93"/>
      <c r="BR600" s="56"/>
      <c r="BS600" s="3"/>
      <c r="BT600" s="199"/>
      <c r="BU600" s="199"/>
      <c r="BV600" s="199"/>
      <c r="BW600" s="199"/>
      <c r="BX600" s="4"/>
      <c r="BY600" s="4"/>
      <c r="BZ600" s="4"/>
      <c r="CA600" s="4"/>
      <c r="CB600" s="82"/>
      <c r="CC600" s="82"/>
      <c r="CD600" s="82"/>
      <c r="CE600" s="4"/>
      <c r="CF600" s="4"/>
      <c r="CG600" s="4"/>
      <c r="CH600" s="4"/>
      <c r="CI600" s="4"/>
      <c r="CJ600" s="4"/>
      <c r="CK600" s="3"/>
      <c r="CL600" s="3"/>
      <c r="CM600" s="4"/>
      <c r="CN600" s="4"/>
      <c r="CO600" s="4"/>
      <c r="CP600" s="4"/>
      <c r="CQ600" s="4"/>
      <c r="CR600" s="4"/>
      <c r="CS600" s="4"/>
      <c r="CT600" s="4"/>
      <c r="CU600" s="4"/>
      <c r="CV600" s="197"/>
      <c r="CW600" s="197"/>
      <c r="CX600" s="197"/>
      <c r="CY600" s="197"/>
      <c r="CZ600" s="4"/>
      <c r="DA600" s="1"/>
      <c r="DB600" s="1"/>
      <c r="DC600" s="1"/>
      <c r="DD600" s="99"/>
    </row>
    <row r="601" spans="30:108" ht="6.95" customHeight="1" x14ac:dyDescent="0.15">
      <c r="AD601" s="56"/>
      <c r="AE601" s="3"/>
      <c r="AF601" s="3"/>
      <c r="AG601" s="3"/>
      <c r="AH601" s="3"/>
      <c r="AI601" s="4"/>
      <c r="AJ601" s="4"/>
      <c r="AK601" s="4"/>
      <c r="AL601" s="4"/>
      <c r="AM601" s="88"/>
      <c r="AN601" s="88"/>
      <c r="AO601" s="88"/>
      <c r="AP601" s="88"/>
      <c r="AQ601" s="88"/>
      <c r="AR601" s="88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1"/>
      <c r="BN601" s="1"/>
      <c r="BO601" s="1"/>
      <c r="BP601" s="99"/>
      <c r="BQ601" s="93"/>
      <c r="BR601" s="56"/>
      <c r="BS601" s="3"/>
      <c r="BT601" s="3"/>
      <c r="BU601" s="3"/>
      <c r="BV601" s="3"/>
      <c r="BW601" s="4"/>
      <c r="BX601" s="4"/>
      <c r="BY601" s="4"/>
      <c r="BZ601" s="4"/>
      <c r="CA601" s="88"/>
      <c r="CB601" s="88"/>
      <c r="CC601" s="88"/>
      <c r="CD601" s="88"/>
      <c r="CE601" s="88"/>
      <c r="CF601" s="88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1"/>
      <c r="DB601" s="1"/>
      <c r="DC601" s="1"/>
      <c r="DD601" s="99"/>
    </row>
    <row r="602" spans="30:108" ht="6.95" customHeight="1" x14ac:dyDescent="0.15">
      <c r="AD602" s="56"/>
      <c r="AE602" s="3"/>
      <c r="AF602" s="3"/>
      <c r="AG602" s="3"/>
      <c r="AH602" s="3"/>
      <c r="AI602" s="4"/>
      <c r="AJ602" s="4"/>
      <c r="AK602" s="84"/>
      <c r="AL602" s="84"/>
      <c r="AM602" s="88"/>
      <c r="AN602" s="88"/>
      <c r="AO602" s="196" t="s">
        <v>42</v>
      </c>
      <c r="AP602" s="196"/>
      <c r="AQ602" s="196"/>
      <c r="AR602" s="196">
        <v>6</v>
      </c>
      <c r="AS602" s="196"/>
      <c r="AT602" s="196" t="s">
        <v>43</v>
      </c>
      <c r="AU602" s="196"/>
      <c r="AV602" s="196"/>
      <c r="AW602" s="4"/>
      <c r="AX602" s="4"/>
      <c r="AY602" s="4"/>
      <c r="AZ602" s="88"/>
      <c r="BA602" s="4"/>
      <c r="BB602" s="200">
        <f>CHOOSE(SUM(($BR$138&gt;={700,750})*1), 300,200)</f>
        <v>200</v>
      </c>
      <c r="BC602" s="200"/>
      <c r="BD602" s="200"/>
      <c r="BE602" s="200"/>
      <c r="BF602" s="4"/>
      <c r="BG602" s="88"/>
      <c r="BH602" s="196" t="s">
        <v>42</v>
      </c>
      <c r="BI602" s="196"/>
      <c r="BJ602" s="196"/>
      <c r="BK602" s="196">
        <v>2</v>
      </c>
      <c r="BL602" s="196"/>
      <c r="BM602" s="196" t="s">
        <v>43</v>
      </c>
      <c r="BN602" s="196"/>
      <c r="BO602" s="196"/>
      <c r="BP602" s="99"/>
      <c r="BQ602" s="93"/>
      <c r="BR602" s="56"/>
      <c r="BS602" s="3"/>
      <c r="BT602" s="3"/>
      <c r="BU602" s="3"/>
      <c r="BV602" s="3"/>
      <c r="BW602" s="4"/>
      <c r="BX602" s="4"/>
      <c r="BY602" s="84"/>
      <c r="BZ602" s="84"/>
      <c r="CA602" s="88"/>
      <c r="CB602" s="88"/>
      <c r="CC602" s="196" t="s">
        <v>42</v>
      </c>
      <c r="CD602" s="196"/>
      <c r="CE602" s="196"/>
      <c r="CF602" s="196">
        <v>6</v>
      </c>
      <c r="CG602" s="196"/>
      <c r="CH602" s="196" t="s">
        <v>43</v>
      </c>
      <c r="CI602" s="196"/>
      <c r="CJ602" s="196"/>
      <c r="CK602" s="4"/>
      <c r="CL602" s="4"/>
      <c r="CM602" s="4"/>
      <c r="CN602" s="88"/>
      <c r="CO602" s="4"/>
      <c r="CP602" s="200">
        <f>CHOOSE(SUM(($BR$138&gt;={700,750})*1), 300,200)</f>
        <v>200</v>
      </c>
      <c r="CQ602" s="200"/>
      <c r="CR602" s="200"/>
      <c r="CS602" s="200"/>
      <c r="CT602" s="4"/>
      <c r="CU602" s="88"/>
      <c r="CV602" s="196" t="s">
        <v>42</v>
      </c>
      <c r="CW602" s="196"/>
      <c r="CX602" s="196"/>
      <c r="CY602" s="196">
        <v>2</v>
      </c>
      <c r="CZ602" s="196"/>
      <c r="DA602" s="196" t="s">
        <v>43</v>
      </c>
      <c r="DB602" s="196"/>
      <c r="DC602" s="196"/>
      <c r="DD602" s="99"/>
    </row>
    <row r="603" spans="30:108" ht="6.95" customHeight="1" x14ac:dyDescent="0.15">
      <c r="AD603" s="56"/>
      <c r="AE603" s="3"/>
      <c r="AF603" s="2"/>
      <c r="AG603" s="2"/>
      <c r="AH603" s="2"/>
      <c r="AI603" s="2"/>
      <c r="AJ603" s="2"/>
      <c r="AK603" s="84"/>
      <c r="AL603" s="84"/>
      <c r="AM603" s="88"/>
      <c r="AN603" s="88"/>
      <c r="AO603" s="196"/>
      <c r="AP603" s="196"/>
      <c r="AQ603" s="196"/>
      <c r="AR603" s="196"/>
      <c r="AS603" s="196"/>
      <c r="AT603" s="196"/>
      <c r="AU603" s="196"/>
      <c r="AV603" s="196"/>
      <c r="AW603" s="84"/>
      <c r="AX603" s="84"/>
      <c r="AY603" s="4"/>
      <c r="AZ603" s="88"/>
      <c r="BA603" s="4"/>
      <c r="BB603" s="200"/>
      <c r="BC603" s="200"/>
      <c r="BD603" s="200"/>
      <c r="BE603" s="200"/>
      <c r="BF603" s="4"/>
      <c r="BG603" s="88"/>
      <c r="BH603" s="196"/>
      <c r="BI603" s="196"/>
      <c r="BJ603" s="196"/>
      <c r="BK603" s="196"/>
      <c r="BL603" s="196"/>
      <c r="BM603" s="196"/>
      <c r="BN603" s="196"/>
      <c r="BO603" s="196"/>
      <c r="BP603" s="99"/>
      <c r="BQ603" s="93"/>
      <c r="BR603" s="56"/>
      <c r="BS603" s="3"/>
      <c r="BT603" s="2"/>
      <c r="BU603" s="2"/>
      <c r="BV603" s="2"/>
      <c r="BW603" s="2"/>
      <c r="BX603" s="2"/>
      <c r="BY603" s="84"/>
      <c r="BZ603" s="84"/>
      <c r="CA603" s="88"/>
      <c r="CB603" s="88"/>
      <c r="CC603" s="196"/>
      <c r="CD603" s="196"/>
      <c r="CE603" s="196"/>
      <c r="CF603" s="196"/>
      <c r="CG603" s="196"/>
      <c r="CH603" s="196"/>
      <c r="CI603" s="196"/>
      <c r="CJ603" s="196"/>
      <c r="CK603" s="84"/>
      <c r="CL603" s="84"/>
      <c r="CM603" s="4"/>
      <c r="CN603" s="88"/>
      <c r="CO603" s="4"/>
      <c r="CP603" s="200"/>
      <c r="CQ603" s="200"/>
      <c r="CR603" s="200"/>
      <c r="CS603" s="200"/>
      <c r="CT603" s="4"/>
      <c r="CU603" s="88"/>
      <c r="CV603" s="196"/>
      <c r="CW603" s="196"/>
      <c r="CX603" s="196"/>
      <c r="CY603" s="196"/>
      <c r="CZ603" s="196"/>
      <c r="DA603" s="196"/>
      <c r="DB603" s="196"/>
      <c r="DC603" s="196"/>
      <c r="DD603" s="99"/>
    </row>
    <row r="604" spans="30:108" ht="6.95" customHeight="1" x14ac:dyDescent="0.15">
      <c r="AD604" s="52"/>
      <c r="AE604" s="2"/>
      <c r="AF604" s="2"/>
      <c r="AG604" s="2"/>
      <c r="AH604" s="2"/>
      <c r="AI604" s="2"/>
      <c r="AJ604" s="2"/>
      <c r="AK604" s="84"/>
      <c r="AL604" s="84"/>
      <c r="AM604" s="88"/>
      <c r="AN604" s="88"/>
      <c r="AO604" s="103"/>
      <c r="AP604" s="103"/>
      <c r="AQ604" s="103"/>
      <c r="AR604" s="103"/>
      <c r="AS604" s="103"/>
      <c r="AT604" s="103"/>
      <c r="AU604" s="103"/>
      <c r="AV604" s="103"/>
      <c r="AW604" s="84"/>
      <c r="AX604" s="84"/>
      <c r="AY604" s="4"/>
      <c r="AZ604" s="4"/>
      <c r="BA604" s="4"/>
      <c r="BB604" s="4"/>
      <c r="BC604" s="4"/>
      <c r="BD604" s="4"/>
      <c r="BE604" s="4"/>
      <c r="BF604" s="4"/>
      <c r="BG604" s="4"/>
      <c r="BH604" s="1"/>
      <c r="BI604" s="1"/>
      <c r="BJ604" s="1"/>
      <c r="BK604" s="1"/>
      <c r="BL604" s="1"/>
      <c r="BM604" s="1"/>
      <c r="BN604" s="1"/>
      <c r="BO604" s="1"/>
      <c r="BP604" s="99"/>
      <c r="BQ604" s="93"/>
      <c r="BR604" s="52"/>
      <c r="BS604" s="2"/>
      <c r="BT604" s="2"/>
      <c r="BU604" s="2"/>
      <c r="BV604" s="2"/>
      <c r="BW604" s="2"/>
      <c r="BX604" s="2"/>
      <c r="BY604" s="84"/>
      <c r="BZ604" s="84"/>
      <c r="CA604" s="88"/>
      <c r="CB604" s="88"/>
      <c r="CC604" s="103"/>
      <c r="CD604" s="103"/>
      <c r="CE604" s="103"/>
      <c r="CF604" s="103"/>
      <c r="CG604" s="103"/>
      <c r="CH604" s="103"/>
      <c r="CI604" s="103"/>
      <c r="CJ604" s="103"/>
      <c r="CK604" s="84"/>
      <c r="CL604" s="84"/>
      <c r="CM604" s="4"/>
      <c r="CN604" s="88"/>
      <c r="CO604" s="4"/>
      <c r="CP604" s="107"/>
      <c r="CQ604" s="107"/>
      <c r="CR604" s="107"/>
      <c r="CS604" s="107"/>
      <c r="CT604" s="4"/>
      <c r="CU604" s="88"/>
      <c r="CV604" s="103"/>
      <c r="CW604" s="103"/>
      <c r="CX604" s="103"/>
      <c r="CY604" s="103"/>
      <c r="CZ604" s="103"/>
      <c r="DA604" s="103"/>
      <c r="DB604" s="103"/>
      <c r="DC604" s="103"/>
      <c r="DD604" s="99"/>
    </row>
    <row r="605" spans="30:108" ht="6.95" customHeight="1" x14ac:dyDescent="0.15">
      <c r="AD605" s="56"/>
      <c r="AE605" s="3"/>
      <c r="AF605" s="2"/>
      <c r="AG605" s="2"/>
      <c r="AH605" s="2"/>
      <c r="AI605" s="2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1"/>
      <c r="BI605" s="1"/>
      <c r="BJ605" s="1"/>
      <c r="BK605" s="1"/>
      <c r="BL605" s="1"/>
      <c r="BM605" s="1"/>
      <c r="BN605" s="1"/>
      <c r="BO605" s="1"/>
      <c r="BP605" s="99"/>
      <c r="BQ605" s="93"/>
      <c r="BR605" s="56"/>
      <c r="BS605" s="3"/>
      <c r="BT605" s="3"/>
      <c r="BU605" s="3"/>
      <c r="BV605" s="3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1"/>
      <c r="CW605" s="1"/>
      <c r="CX605" s="1"/>
      <c r="CY605" s="1"/>
      <c r="CZ605" s="1"/>
      <c r="DA605" s="1"/>
      <c r="DB605" s="1"/>
      <c r="DC605" s="1"/>
      <c r="DD605" s="99"/>
    </row>
    <row r="606" spans="30:108" ht="6.95" customHeight="1" x14ac:dyDescent="0.15">
      <c r="AD606" s="56"/>
      <c r="AE606" s="3"/>
      <c r="AF606" s="2"/>
      <c r="AG606" s="2"/>
      <c r="AH606" s="2"/>
      <c r="AI606" s="2"/>
      <c r="AJ606" s="106"/>
      <c r="AK606" s="106"/>
      <c r="AL606" s="106"/>
      <c r="AM606" s="106"/>
      <c r="AN606" s="106"/>
      <c r="AO606" s="106"/>
      <c r="AP606" s="103"/>
      <c r="AQ606" s="103"/>
      <c r="AR606" s="103"/>
      <c r="AS606" s="103"/>
      <c r="AT606" s="103"/>
      <c r="AU606" s="103"/>
      <c r="AV606" s="103"/>
      <c r="AW606" s="103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1"/>
      <c r="BI606" s="1"/>
      <c r="BJ606" s="1"/>
      <c r="BK606" s="1"/>
      <c r="BL606" s="1"/>
      <c r="BM606" s="1"/>
      <c r="BN606" s="1"/>
      <c r="BO606" s="1"/>
      <c r="BP606" s="147"/>
      <c r="BQ606" s="93"/>
      <c r="BR606" s="56"/>
      <c r="BS606" s="3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3"/>
      <c r="CE606" s="103"/>
      <c r="CF606" s="103"/>
      <c r="CG606" s="103"/>
      <c r="CH606" s="103"/>
      <c r="CI606" s="103"/>
      <c r="CJ606" s="103"/>
      <c r="CK606" s="103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1"/>
      <c r="CW606" s="1"/>
      <c r="CX606" s="1"/>
      <c r="CY606" s="1"/>
      <c r="CZ606" s="1"/>
      <c r="DA606" s="1"/>
      <c r="DB606" s="1"/>
      <c r="DC606" s="1"/>
      <c r="DD606" s="99"/>
    </row>
    <row r="607" spans="30:108" ht="6.95" customHeight="1" x14ac:dyDescent="0.15">
      <c r="AD607" s="56"/>
      <c r="AE607" s="3"/>
      <c r="AF607" s="2"/>
      <c r="AG607" s="2"/>
      <c r="AH607" s="2"/>
      <c r="AI607" s="2"/>
      <c r="AJ607" s="106"/>
      <c r="AK607" s="106"/>
      <c r="AL607" s="106"/>
      <c r="AM607" s="106"/>
      <c r="AN607" s="106"/>
      <c r="AO607" s="106"/>
      <c r="AP607" s="103"/>
      <c r="AQ607" s="103"/>
      <c r="AR607" s="103"/>
      <c r="AS607" s="103"/>
      <c r="AT607" s="103"/>
      <c r="AU607" s="103"/>
      <c r="AV607" s="103"/>
      <c r="AW607" s="103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1"/>
      <c r="BI607" s="1"/>
      <c r="BJ607" s="1"/>
      <c r="BK607" s="1"/>
      <c r="BL607" s="1"/>
      <c r="BM607" s="1"/>
      <c r="BN607" s="1"/>
      <c r="BO607" s="1"/>
      <c r="BP607" s="147"/>
      <c r="BQ607" s="93"/>
      <c r="BR607" s="56"/>
      <c r="BS607" s="3"/>
      <c r="BT607" s="200" t="s">
        <v>26</v>
      </c>
      <c r="BU607" s="200"/>
      <c r="BV607" s="200"/>
      <c r="BW607" s="200"/>
      <c r="BX607" s="106"/>
      <c r="BY607" s="106"/>
      <c r="BZ607" s="106"/>
      <c r="CA607" s="106"/>
      <c r="CB607" s="106"/>
      <c r="CC607" s="106"/>
      <c r="CD607" s="103"/>
      <c r="CE607" s="103"/>
      <c r="CF607" s="103"/>
      <c r="CG607" s="103"/>
      <c r="CH607" s="103"/>
      <c r="CI607" s="103"/>
      <c r="CJ607" s="103"/>
      <c r="CK607" s="103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1"/>
      <c r="CW607" s="1"/>
      <c r="CX607" s="1"/>
      <c r="CY607" s="1"/>
      <c r="CZ607" s="1"/>
      <c r="DA607" s="1"/>
      <c r="DB607" s="1"/>
      <c r="DC607" s="1"/>
      <c r="DD607" s="99"/>
    </row>
    <row r="608" spans="30:108" ht="6.95" customHeight="1" x14ac:dyDescent="0.15">
      <c r="AD608" s="56"/>
      <c r="AE608" s="3"/>
      <c r="AF608" s="193" t="s">
        <v>44</v>
      </c>
      <c r="AG608" s="193"/>
      <c r="AH608" s="193"/>
      <c r="AI608" s="193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1"/>
      <c r="BI608" s="1"/>
      <c r="BJ608" s="199">
        <f>CHOOSE(SUM((AD566&gt;={700,750,800,850,900,950})*1), 140,190,240,290,340,390)</f>
        <v>240</v>
      </c>
      <c r="BK608" s="199"/>
      <c r="BL608" s="199"/>
      <c r="BM608" s="199"/>
      <c r="BN608" s="1"/>
      <c r="BO608" s="1"/>
      <c r="BP608" s="147"/>
      <c r="BQ608" s="93"/>
      <c r="BR608" s="56"/>
      <c r="BS608" s="3"/>
      <c r="BT608" s="200"/>
      <c r="BU608" s="200"/>
      <c r="BV608" s="200"/>
      <c r="BW608" s="200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1"/>
      <c r="CW608" s="1"/>
      <c r="CX608" s="199">
        <f>CHOOSE(SUM((BR566&gt;={700,750,800,850,900,950})*1), 140,190,240,290,340,390)</f>
        <v>240</v>
      </c>
      <c r="CY608" s="199"/>
      <c r="CZ608" s="199"/>
      <c r="DA608" s="199"/>
      <c r="DB608" s="1"/>
      <c r="DC608" s="1"/>
      <c r="DD608" s="99"/>
    </row>
    <row r="609" spans="30:108" ht="6.95" customHeight="1" x14ac:dyDescent="0.15">
      <c r="AD609" s="56"/>
      <c r="AE609" s="3"/>
      <c r="AF609" s="193"/>
      <c r="AG609" s="193"/>
      <c r="AH609" s="193"/>
      <c r="AI609" s="193"/>
      <c r="AJ609" s="104"/>
      <c r="AK609" s="105"/>
      <c r="AL609" s="105"/>
      <c r="AM609" s="105"/>
      <c r="AN609" s="105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1"/>
      <c r="BI609" s="1"/>
      <c r="BJ609" s="199"/>
      <c r="BK609" s="199"/>
      <c r="BL609" s="199"/>
      <c r="BM609" s="199"/>
      <c r="BN609" s="1"/>
      <c r="BO609" s="1"/>
      <c r="BP609" s="147"/>
      <c r="BQ609" s="93"/>
      <c r="BR609" s="56"/>
      <c r="BS609" s="3"/>
      <c r="BT609" s="106"/>
      <c r="BU609" s="106"/>
      <c r="BV609" s="106"/>
      <c r="BW609" s="106"/>
      <c r="BX609" s="104"/>
      <c r="BY609" s="105"/>
      <c r="BZ609" s="105"/>
      <c r="CA609" s="105"/>
      <c r="CB609" s="105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1"/>
      <c r="CW609" s="1"/>
      <c r="CX609" s="199"/>
      <c r="CY609" s="199"/>
      <c r="CZ609" s="199"/>
      <c r="DA609" s="199"/>
      <c r="DB609" s="1"/>
      <c r="DC609" s="1"/>
      <c r="DD609" s="99"/>
    </row>
    <row r="610" spans="30:108" ht="6.95" customHeight="1" x14ac:dyDescent="0.15">
      <c r="AD610" s="56"/>
      <c r="AE610" s="3"/>
      <c r="AF610" s="2"/>
      <c r="AG610" s="2"/>
      <c r="AH610" s="2"/>
      <c r="AI610" s="2"/>
      <c r="AJ610" s="104"/>
      <c r="AK610" s="105"/>
      <c r="AL610" s="105"/>
      <c r="AM610" s="105"/>
      <c r="AN610" s="105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1"/>
      <c r="BI610" s="1"/>
      <c r="BJ610" s="96"/>
      <c r="BK610" s="96"/>
      <c r="BL610" s="96"/>
      <c r="BM610" s="96"/>
      <c r="BN610" s="110"/>
      <c r="BO610" s="1"/>
      <c r="BP610" s="147"/>
      <c r="BQ610" s="93"/>
      <c r="BR610" s="56"/>
      <c r="BS610" s="3"/>
      <c r="BT610" s="197" t="str">
        <f>BT607</f>
        <v>D16</v>
      </c>
      <c r="BU610" s="197"/>
      <c r="BV610" s="197"/>
      <c r="BW610" s="197"/>
      <c r="BX610" s="104"/>
      <c r="BY610" s="105"/>
      <c r="BZ610" s="105"/>
      <c r="CA610" s="105"/>
      <c r="CB610" s="105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1"/>
      <c r="CW610" s="1"/>
      <c r="CX610" s="96"/>
      <c r="CY610" s="96"/>
      <c r="CZ610" s="96"/>
      <c r="DA610" s="96"/>
      <c r="DB610" s="110"/>
      <c r="DC610" s="1"/>
      <c r="DD610" s="99"/>
    </row>
    <row r="611" spans="30:108" ht="6.95" customHeight="1" x14ac:dyDescent="0.15">
      <c r="AD611" s="56"/>
      <c r="AE611" s="3"/>
      <c r="AF611" s="2"/>
      <c r="AG611" s="2"/>
      <c r="AH611" s="2"/>
      <c r="AI611" s="2"/>
      <c r="AJ611" s="4"/>
      <c r="AK611" s="4"/>
      <c r="AL611" s="105"/>
      <c r="AM611" s="105"/>
      <c r="AN611" s="105"/>
      <c r="AO611" s="105"/>
      <c r="AP611" s="105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1"/>
      <c r="BI611" s="1"/>
      <c r="BJ611" s="1"/>
      <c r="BK611" s="1"/>
      <c r="BL611" s="110"/>
      <c r="BM611" s="110"/>
      <c r="BN611" s="110"/>
      <c r="BO611" s="1"/>
      <c r="BP611" s="147"/>
      <c r="BQ611" s="93"/>
      <c r="BR611" s="56"/>
      <c r="BS611" s="3"/>
      <c r="BT611" s="197"/>
      <c r="BU611" s="197"/>
      <c r="BV611" s="197"/>
      <c r="BW611" s="197"/>
      <c r="BX611" s="4"/>
      <c r="BY611" s="4"/>
      <c r="BZ611" s="105"/>
      <c r="CA611" s="105"/>
      <c r="CB611" s="105"/>
      <c r="CC611" s="105"/>
      <c r="CD611" s="105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1"/>
      <c r="CW611" s="1"/>
      <c r="CX611" s="1"/>
      <c r="CY611" s="1"/>
      <c r="CZ611" s="110"/>
      <c r="DA611" s="110"/>
      <c r="DB611" s="110"/>
      <c r="DC611" s="1"/>
      <c r="DD611" s="99"/>
    </row>
    <row r="612" spans="30:108" ht="6.95" customHeight="1" x14ac:dyDescent="0.15">
      <c r="AD612" s="56"/>
      <c r="AE612" s="3"/>
      <c r="AF612" s="193" t="s">
        <v>44</v>
      </c>
      <c r="AG612" s="193"/>
      <c r="AH612" s="193"/>
      <c r="AI612" s="193"/>
      <c r="AJ612" s="4"/>
      <c r="AK612" s="4"/>
      <c r="AL612" s="105"/>
      <c r="AM612" s="105"/>
      <c r="AN612" s="105"/>
      <c r="AO612" s="105"/>
      <c r="AP612" s="105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196" t="s">
        <v>42</v>
      </c>
      <c r="BI612" s="196"/>
      <c r="BJ612" s="196"/>
      <c r="BK612" s="196">
        <v>1</v>
      </c>
      <c r="BL612" s="196"/>
      <c r="BM612" s="196" t="s">
        <v>43</v>
      </c>
      <c r="BN612" s="196"/>
      <c r="BO612" s="196"/>
      <c r="BP612" s="147"/>
      <c r="BQ612" s="93"/>
      <c r="BR612" s="56"/>
      <c r="BS612" s="3"/>
      <c r="BT612" s="106"/>
      <c r="BU612" s="106"/>
      <c r="BV612" s="106"/>
      <c r="BW612" s="106"/>
      <c r="BX612" s="4"/>
      <c r="BY612" s="4"/>
      <c r="BZ612" s="105"/>
      <c r="CA612" s="105"/>
      <c r="CB612" s="105"/>
      <c r="CC612" s="105"/>
      <c r="CD612" s="105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196" t="s">
        <v>42</v>
      </c>
      <c r="CW612" s="196"/>
      <c r="CX612" s="196"/>
      <c r="CY612" s="196">
        <v>1</v>
      </c>
      <c r="CZ612" s="196"/>
      <c r="DA612" s="196" t="s">
        <v>43</v>
      </c>
      <c r="DB612" s="196"/>
      <c r="DC612" s="196"/>
      <c r="DD612" s="99"/>
    </row>
    <row r="613" spans="30:108" ht="6.95" customHeight="1" x14ac:dyDescent="0.15">
      <c r="AD613" s="56"/>
      <c r="AE613" s="3"/>
      <c r="AF613" s="193"/>
      <c r="AG613" s="193"/>
      <c r="AH613" s="193"/>
      <c r="AI613" s="193"/>
      <c r="AJ613" s="105"/>
      <c r="AK613" s="105"/>
      <c r="AL613" s="4"/>
      <c r="AM613" s="4"/>
      <c r="AN613" s="4"/>
      <c r="AO613" s="103"/>
      <c r="AP613" s="103"/>
      <c r="AQ613" s="103"/>
      <c r="AR613" s="103"/>
      <c r="AS613" s="103"/>
      <c r="AT613" s="103"/>
      <c r="AU613" s="103"/>
      <c r="AV613" s="103"/>
      <c r="AW613" s="103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196"/>
      <c r="BI613" s="196"/>
      <c r="BJ613" s="196"/>
      <c r="BK613" s="196"/>
      <c r="BL613" s="196"/>
      <c r="BM613" s="196"/>
      <c r="BN613" s="196"/>
      <c r="BO613" s="196"/>
      <c r="BP613" s="147"/>
      <c r="BQ613" s="93"/>
      <c r="BR613" s="56"/>
      <c r="BS613" s="3"/>
      <c r="BT613" s="3"/>
      <c r="BU613" s="3"/>
      <c r="BV613" s="105"/>
      <c r="BW613" s="105"/>
      <c r="BX613" s="105"/>
      <c r="BY613" s="105"/>
      <c r="BZ613" s="4"/>
      <c r="CA613" s="4"/>
      <c r="CB613" s="4"/>
      <c r="CC613" s="103"/>
      <c r="CD613" s="103"/>
      <c r="CE613" s="103"/>
      <c r="CF613" s="103"/>
      <c r="CG613" s="103"/>
      <c r="CH613" s="103"/>
      <c r="CI613" s="103"/>
      <c r="CJ613" s="103"/>
      <c r="CK613" s="103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196"/>
      <c r="CW613" s="196"/>
      <c r="CX613" s="196"/>
      <c r="CY613" s="196"/>
      <c r="CZ613" s="196"/>
      <c r="DA613" s="196"/>
      <c r="DB613" s="196"/>
      <c r="DC613" s="196"/>
      <c r="DD613" s="99"/>
    </row>
    <row r="614" spans="30:108" ht="6.95" customHeight="1" x14ac:dyDescent="0.15">
      <c r="AD614" s="56"/>
      <c r="AE614" s="3"/>
      <c r="AF614" s="198" t="s">
        <v>44</v>
      </c>
      <c r="AG614" s="198"/>
      <c r="AH614" s="198"/>
      <c r="AI614" s="198"/>
      <c r="AJ614" s="105"/>
      <c r="AK614" s="105"/>
      <c r="AL614" s="218">
        <v>1800</v>
      </c>
      <c r="AM614" s="218"/>
      <c r="AN614" s="218"/>
      <c r="AO614" s="218"/>
      <c r="AP614" s="218"/>
      <c r="AQ614" s="218"/>
      <c r="AR614" s="218"/>
      <c r="AS614" s="103"/>
      <c r="AT614" s="196" t="s">
        <v>42</v>
      </c>
      <c r="AU614" s="196"/>
      <c r="AV614" s="196"/>
      <c r="AW614" s="196">
        <v>2</v>
      </c>
      <c r="AX614" s="196"/>
      <c r="AY614" s="196" t="s">
        <v>43</v>
      </c>
      <c r="AZ614" s="196"/>
      <c r="BA614" s="196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99"/>
      <c r="BQ614" s="93"/>
      <c r="BR614" s="56"/>
      <c r="BS614" s="3"/>
      <c r="BT614" s="198" t="s">
        <v>44</v>
      </c>
      <c r="BU614" s="198"/>
      <c r="BV614" s="198"/>
      <c r="BW614" s="198"/>
      <c r="BX614" s="105"/>
      <c r="BY614" s="105"/>
      <c r="BZ614" s="218">
        <v>1800</v>
      </c>
      <c r="CA614" s="218"/>
      <c r="CB614" s="218"/>
      <c r="CC614" s="218"/>
      <c r="CD614" s="218"/>
      <c r="CE614" s="218"/>
      <c r="CF614" s="218"/>
      <c r="CG614" s="103"/>
      <c r="CH614" s="196" t="s">
        <v>42</v>
      </c>
      <c r="CI614" s="196"/>
      <c r="CJ614" s="196"/>
      <c r="CK614" s="196">
        <v>2</v>
      </c>
      <c r="CL614" s="196"/>
      <c r="CM614" s="196" t="s">
        <v>43</v>
      </c>
      <c r="CN614" s="196"/>
      <c r="CO614" s="196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99"/>
    </row>
    <row r="615" spans="30:108" ht="6.95" customHeight="1" x14ac:dyDescent="0.15">
      <c r="AD615" s="56"/>
      <c r="AE615" s="3"/>
      <c r="AF615" s="198"/>
      <c r="AG615" s="198"/>
      <c r="AH615" s="198"/>
      <c r="AI615" s="198"/>
      <c r="AJ615" s="4"/>
      <c r="AK615" s="4"/>
      <c r="AL615" s="218"/>
      <c r="AM615" s="218"/>
      <c r="AN615" s="218"/>
      <c r="AO615" s="218"/>
      <c r="AP615" s="218"/>
      <c r="AQ615" s="218"/>
      <c r="AR615" s="218"/>
      <c r="AS615" s="103"/>
      <c r="AT615" s="196"/>
      <c r="AU615" s="196"/>
      <c r="AV615" s="196"/>
      <c r="AW615" s="196"/>
      <c r="AX615" s="196"/>
      <c r="AY615" s="196"/>
      <c r="AZ615" s="196"/>
      <c r="BA615" s="196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99"/>
      <c r="BQ615" s="93"/>
      <c r="BR615" s="56"/>
      <c r="BS615" s="3"/>
      <c r="BT615" s="198"/>
      <c r="BU615" s="198"/>
      <c r="BV615" s="198"/>
      <c r="BW615" s="198"/>
      <c r="BX615" s="4"/>
      <c r="BY615" s="4"/>
      <c r="BZ615" s="218"/>
      <c r="CA615" s="218"/>
      <c r="CB615" s="218"/>
      <c r="CC615" s="218"/>
      <c r="CD615" s="218"/>
      <c r="CE615" s="218"/>
      <c r="CF615" s="218"/>
      <c r="CG615" s="103"/>
      <c r="CH615" s="196"/>
      <c r="CI615" s="196"/>
      <c r="CJ615" s="196"/>
      <c r="CK615" s="196"/>
      <c r="CL615" s="196"/>
      <c r="CM615" s="196"/>
      <c r="CN615" s="196"/>
      <c r="CO615" s="196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99"/>
    </row>
    <row r="616" spans="30:108" ht="6.95" customHeight="1" x14ac:dyDescent="0.15">
      <c r="AD616" s="56"/>
      <c r="AE616" s="3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3"/>
      <c r="AT616" s="103"/>
      <c r="AU616" s="103"/>
      <c r="AV616" s="103"/>
      <c r="AW616" s="103"/>
      <c r="AX616" s="103"/>
      <c r="AY616" s="103"/>
      <c r="AZ616" s="103"/>
      <c r="BA616" s="103"/>
      <c r="BB616" s="4"/>
      <c r="BC616" s="4"/>
      <c r="BD616" s="4"/>
      <c r="BE616" s="4"/>
      <c r="BF616" s="4"/>
      <c r="BG616" s="4"/>
      <c r="BH616" s="103"/>
      <c r="BI616" s="103"/>
      <c r="BJ616" s="103"/>
      <c r="BK616" s="103"/>
      <c r="BL616" s="103"/>
      <c r="BM616" s="103"/>
      <c r="BN616" s="103"/>
      <c r="BO616" s="103"/>
      <c r="BP616" s="99"/>
      <c r="BQ616" s="93"/>
      <c r="BR616" s="56"/>
      <c r="BS616" s="3"/>
      <c r="BT616" s="105"/>
      <c r="BU616" s="105"/>
      <c r="BV616" s="105"/>
      <c r="BW616" s="105"/>
      <c r="BX616" s="105"/>
      <c r="BY616" s="105"/>
      <c r="BZ616" s="105"/>
      <c r="CA616" s="105"/>
      <c r="CB616" s="105"/>
      <c r="CC616" s="105"/>
      <c r="CD616" s="105"/>
      <c r="CE616" s="105"/>
      <c r="CF616" s="105"/>
      <c r="CG616" s="103"/>
      <c r="CH616" s="103"/>
      <c r="CI616" s="103"/>
      <c r="CJ616" s="103"/>
      <c r="CK616" s="103"/>
      <c r="CL616" s="103"/>
      <c r="CM616" s="103"/>
      <c r="CN616" s="103"/>
      <c r="CO616" s="103"/>
      <c r="CP616" s="4"/>
      <c r="CQ616" s="4"/>
      <c r="CR616" s="4"/>
      <c r="CS616" s="4"/>
      <c r="CT616" s="4"/>
      <c r="CU616" s="4"/>
      <c r="CV616" s="103"/>
      <c r="CW616" s="103"/>
      <c r="CX616" s="103"/>
      <c r="CY616" s="103"/>
      <c r="CZ616" s="103"/>
      <c r="DA616" s="103"/>
      <c r="DB616" s="103"/>
      <c r="DC616" s="103"/>
      <c r="DD616" s="99"/>
    </row>
    <row r="617" spans="30:108" ht="6.95" customHeight="1" x14ac:dyDescent="0.15">
      <c r="AD617" s="56"/>
      <c r="AE617" s="3"/>
      <c r="AF617" s="193" t="s">
        <v>44</v>
      </c>
      <c r="AG617" s="193"/>
      <c r="AH617" s="193"/>
      <c r="AI617" s="193"/>
      <c r="AJ617" s="2"/>
      <c r="AK617" s="2"/>
      <c r="AL617" s="2"/>
      <c r="AM617" s="105"/>
      <c r="AN617" s="105"/>
      <c r="AO617" s="105"/>
      <c r="AP617" s="105"/>
      <c r="AQ617" s="105"/>
      <c r="AR617" s="105"/>
      <c r="AS617" s="103"/>
      <c r="AT617" s="103"/>
      <c r="AU617" s="103"/>
      <c r="AV617" s="103"/>
      <c r="AW617" s="103"/>
      <c r="AX617" s="103"/>
      <c r="AY617" s="103"/>
      <c r="AZ617" s="103"/>
      <c r="BA617" s="103"/>
      <c r="BB617" s="4"/>
      <c r="BC617" s="4"/>
      <c r="BD617" s="4"/>
      <c r="BE617" s="4"/>
      <c r="BF617" s="4"/>
      <c r="BG617" s="4"/>
      <c r="BH617" s="1"/>
      <c r="BI617" s="1"/>
      <c r="BJ617" s="1"/>
      <c r="BK617" s="1"/>
      <c r="BL617" s="1"/>
      <c r="BM617" s="1"/>
      <c r="BN617" s="1"/>
      <c r="BO617" s="1"/>
      <c r="BP617" s="99"/>
      <c r="BQ617" s="93"/>
      <c r="BR617" s="56"/>
      <c r="BS617" s="3"/>
      <c r="BT617" s="193" t="s">
        <v>44</v>
      </c>
      <c r="BU617" s="193"/>
      <c r="BV617" s="193"/>
      <c r="BW617" s="193"/>
      <c r="BX617" s="2"/>
      <c r="BY617" s="2"/>
      <c r="BZ617" s="2"/>
      <c r="CA617" s="105"/>
      <c r="CB617" s="105"/>
      <c r="CC617" s="105"/>
      <c r="CD617" s="105"/>
      <c r="CE617" s="105"/>
      <c r="CF617" s="105"/>
      <c r="CG617" s="103"/>
      <c r="CH617" s="103"/>
      <c r="CI617" s="103"/>
      <c r="CJ617" s="103"/>
      <c r="CK617" s="103"/>
      <c r="CL617" s="103"/>
      <c r="CM617" s="103"/>
      <c r="CN617" s="103"/>
      <c r="CO617" s="103"/>
      <c r="CP617" s="4"/>
      <c r="CQ617" s="4"/>
      <c r="CR617" s="4"/>
      <c r="CS617" s="4"/>
      <c r="CT617" s="4"/>
      <c r="CU617" s="4"/>
      <c r="CV617" s="1"/>
      <c r="CW617" s="1"/>
      <c r="CX617" s="1"/>
      <c r="CY617" s="1"/>
      <c r="CZ617" s="1"/>
      <c r="DA617" s="1"/>
      <c r="DB617" s="1"/>
      <c r="DC617" s="1"/>
      <c r="DD617" s="99"/>
    </row>
    <row r="618" spans="30:108" ht="6.95" customHeight="1" x14ac:dyDescent="0.15">
      <c r="AD618" s="56"/>
      <c r="AE618" s="3"/>
      <c r="AF618" s="193"/>
      <c r="AG618" s="193"/>
      <c r="AH618" s="193"/>
      <c r="AI618" s="193"/>
      <c r="AJ618" s="194">
        <f>CHOOSE(SUM((AD566&gt;={700,750,800,850,900,950})*1), 205,255,305,355,405,455)</f>
        <v>305</v>
      </c>
      <c r="AK618" s="194"/>
      <c r="AL618" s="19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1"/>
      <c r="BI618" s="1"/>
      <c r="BJ618" s="1"/>
      <c r="BK618" s="1"/>
      <c r="BL618" s="1"/>
      <c r="BM618" s="1"/>
      <c r="BN618" s="1"/>
      <c r="BO618" s="1"/>
      <c r="BP618" s="99"/>
      <c r="BQ618" s="93"/>
      <c r="BR618" s="56"/>
      <c r="BS618" s="3"/>
      <c r="BT618" s="193"/>
      <c r="BU618" s="193"/>
      <c r="BV618" s="193"/>
      <c r="BW618" s="193"/>
      <c r="BX618" s="194">
        <f>CHOOSE(SUM((BR566&gt;={700,750,800,850,900,950})*1), 205,255,305,355,405,455)</f>
        <v>305</v>
      </c>
      <c r="BY618" s="194"/>
      <c r="BZ618" s="19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1"/>
      <c r="CW618" s="1"/>
      <c r="CX618" s="1"/>
      <c r="CY618" s="1"/>
      <c r="CZ618" s="1"/>
      <c r="DA618" s="1"/>
      <c r="DB618" s="1"/>
      <c r="DC618" s="1"/>
      <c r="DD618" s="99"/>
    </row>
    <row r="619" spans="30:108" ht="6.95" customHeight="1" x14ac:dyDescent="0.15">
      <c r="AD619" s="56"/>
      <c r="AE619" s="3"/>
      <c r="AF619" s="105"/>
      <c r="AG619" s="105"/>
      <c r="AH619" s="105"/>
      <c r="AI619" s="105"/>
      <c r="AJ619" s="194"/>
      <c r="AK619" s="194"/>
      <c r="AL619" s="19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195">
        <f>CHOOSE(SUM((AD566&gt;={700,750,800,850,900,950})*1), 290,360,430,500,570,640)</f>
        <v>430</v>
      </c>
      <c r="BC619" s="195"/>
      <c r="BD619" s="195"/>
      <c r="BE619" s="4"/>
      <c r="BF619" s="4"/>
      <c r="BG619" s="4"/>
      <c r="BH619" s="196" t="s">
        <v>42</v>
      </c>
      <c r="BI619" s="196"/>
      <c r="BJ619" s="196"/>
      <c r="BK619" s="196">
        <v>2</v>
      </c>
      <c r="BL619" s="196"/>
      <c r="BM619" s="196" t="s">
        <v>43</v>
      </c>
      <c r="BN619" s="196"/>
      <c r="BO619" s="196"/>
      <c r="BP619" s="99"/>
      <c r="BQ619" s="93"/>
      <c r="BR619" s="56"/>
      <c r="BS619" s="3"/>
      <c r="BT619" s="105"/>
      <c r="BU619" s="105"/>
      <c r="BV619" s="105"/>
      <c r="BW619" s="105"/>
      <c r="BX619" s="194"/>
      <c r="BY619" s="194"/>
      <c r="BZ619" s="19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195">
        <f>CHOOSE(SUM((BR566&gt;={700,750,800,850,900,950})*1), 290,360,430,500,570,640)</f>
        <v>430</v>
      </c>
      <c r="CQ619" s="195"/>
      <c r="CR619" s="195"/>
      <c r="CS619" s="4"/>
      <c r="CT619" s="4"/>
      <c r="CU619" s="4"/>
      <c r="CV619" s="196" t="s">
        <v>42</v>
      </c>
      <c r="CW619" s="196"/>
      <c r="CX619" s="196"/>
      <c r="CY619" s="196">
        <v>2</v>
      </c>
      <c r="CZ619" s="196"/>
      <c r="DA619" s="196" t="s">
        <v>43</v>
      </c>
      <c r="DB619" s="196"/>
      <c r="DC619" s="196"/>
      <c r="DD619" s="99"/>
    </row>
    <row r="620" spans="30:108" ht="6.95" customHeight="1" x14ac:dyDescent="0.15">
      <c r="AD620" s="56"/>
      <c r="AE620" s="3"/>
      <c r="AF620" s="3"/>
      <c r="AG620" s="3"/>
      <c r="AH620" s="3"/>
      <c r="AI620" s="4"/>
      <c r="AJ620" s="194"/>
      <c r="AK620" s="194"/>
      <c r="AL620" s="194"/>
      <c r="AM620" s="2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195"/>
      <c r="BC620" s="195"/>
      <c r="BD620" s="195"/>
      <c r="BE620" s="4"/>
      <c r="BF620" s="4"/>
      <c r="BG620" s="4"/>
      <c r="BH620" s="196"/>
      <c r="BI620" s="196"/>
      <c r="BJ620" s="196"/>
      <c r="BK620" s="196"/>
      <c r="BL620" s="196"/>
      <c r="BM620" s="196"/>
      <c r="BN620" s="196"/>
      <c r="BO620" s="196"/>
      <c r="BP620" s="99"/>
      <c r="BQ620" s="93"/>
      <c r="BR620" s="56"/>
      <c r="BS620" s="3"/>
      <c r="BT620" s="3"/>
      <c r="BU620" s="3"/>
      <c r="BV620" s="3"/>
      <c r="BW620" s="4"/>
      <c r="BX620" s="194"/>
      <c r="BY620" s="194"/>
      <c r="BZ620" s="194"/>
      <c r="CA620" s="2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195"/>
      <c r="CQ620" s="195"/>
      <c r="CR620" s="195"/>
      <c r="CS620" s="4"/>
      <c r="CT620" s="4"/>
      <c r="CU620" s="4"/>
      <c r="CV620" s="196"/>
      <c r="CW620" s="196"/>
      <c r="CX620" s="196"/>
      <c r="CY620" s="196"/>
      <c r="CZ620" s="196"/>
      <c r="DA620" s="196"/>
      <c r="DB620" s="196"/>
      <c r="DC620" s="196"/>
      <c r="DD620" s="99"/>
    </row>
    <row r="621" spans="30:108" ht="6.95" customHeight="1" x14ac:dyDescent="0.15">
      <c r="AD621" s="56"/>
      <c r="AE621" s="3"/>
      <c r="AF621" s="3"/>
      <c r="AG621" s="3"/>
      <c r="AH621" s="3"/>
      <c r="AI621" s="4"/>
      <c r="AJ621" s="194"/>
      <c r="AK621" s="194"/>
      <c r="AL621" s="194"/>
      <c r="AM621" s="2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111"/>
      <c r="BC621" s="111"/>
      <c r="BD621" s="111"/>
      <c r="BE621" s="88"/>
      <c r="BF621" s="88"/>
      <c r="BG621" s="88"/>
      <c r="BH621" s="103"/>
      <c r="BI621" s="103"/>
      <c r="BJ621" s="103"/>
      <c r="BK621" s="103"/>
      <c r="BL621" s="103"/>
      <c r="BM621" s="103"/>
      <c r="BN621" s="103"/>
      <c r="BO621" s="103"/>
      <c r="BP621" s="99"/>
      <c r="BQ621" s="93"/>
      <c r="BR621" s="56"/>
      <c r="BS621" s="3"/>
      <c r="BT621" s="3"/>
      <c r="BU621" s="3"/>
      <c r="BV621" s="3"/>
      <c r="BW621" s="4"/>
      <c r="BX621" s="194"/>
      <c r="BY621" s="194"/>
      <c r="BZ621" s="194"/>
      <c r="CA621" s="2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111"/>
      <c r="CQ621" s="111"/>
      <c r="CR621" s="111"/>
      <c r="CS621" s="88"/>
      <c r="CT621" s="88"/>
      <c r="CU621" s="88"/>
      <c r="CV621" s="103"/>
      <c r="CW621" s="103"/>
      <c r="CX621" s="103"/>
      <c r="CY621" s="103"/>
      <c r="CZ621" s="103"/>
      <c r="DA621" s="103"/>
      <c r="DB621" s="103"/>
      <c r="DC621" s="103"/>
      <c r="DD621" s="99"/>
    </row>
    <row r="622" spans="30:108" ht="6.95" customHeight="1" x14ac:dyDescent="0.15">
      <c r="AD622" s="56"/>
      <c r="AE622" s="3"/>
      <c r="AF622" s="193" t="s">
        <v>44</v>
      </c>
      <c r="AG622" s="193"/>
      <c r="AH622" s="193"/>
      <c r="AI622" s="193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111"/>
      <c r="BC622" s="111"/>
      <c r="BD622" s="111"/>
      <c r="BE622" s="88"/>
      <c r="BF622" s="88"/>
      <c r="BG622" s="88"/>
      <c r="BH622" s="103"/>
      <c r="BI622" s="103"/>
      <c r="BJ622" s="103"/>
      <c r="BK622" s="103"/>
      <c r="BL622" s="103"/>
      <c r="BM622" s="103"/>
      <c r="BN622" s="103"/>
      <c r="BO622" s="103"/>
      <c r="BP622" s="99"/>
      <c r="BQ622" s="93"/>
      <c r="BR622" s="56"/>
      <c r="BS622" s="3"/>
      <c r="BT622" s="193" t="s">
        <v>44</v>
      </c>
      <c r="BU622" s="193"/>
      <c r="BV622" s="193"/>
      <c r="BW622" s="193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111"/>
      <c r="CQ622" s="111"/>
      <c r="CR622" s="111"/>
      <c r="CS622" s="88"/>
      <c r="CT622" s="88"/>
      <c r="CU622" s="88"/>
      <c r="CV622" s="103"/>
      <c r="CW622" s="103"/>
      <c r="CX622" s="103"/>
      <c r="CY622" s="103"/>
      <c r="CZ622" s="103"/>
      <c r="DA622" s="103"/>
      <c r="DB622" s="103"/>
      <c r="DC622" s="103"/>
      <c r="DD622" s="99"/>
    </row>
    <row r="623" spans="30:108" ht="6.95" customHeight="1" x14ac:dyDescent="0.15">
      <c r="AD623" s="56"/>
      <c r="AE623" s="3"/>
      <c r="AF623" s="193"/>
      <c r="AG623" s="193"/>
      <c r="AH623" s="193"/>
      <c r="AI623" s="193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1"/>
      <c r="BI623" s="1"/>
      <c r="BJ623" s="1"/>
      <c r="BK623" s="1"/>
      <c r="BL623" s="1"/>
      <c r="BM623" s="1"/>
      <c r="BN623" s="1"/>
      <c r="BO623" s="1"/>
      <c r="BP623" s="99"/>
      <c r="BQ623" s="93"/>
      <c r="BR623" s="56"/>
      <c r="BS623" s="3"/>
      <c r="BT623" s="193"/>
      <c r="BU623" s="193"/>
      <c r="BV623" s="193"/>
      <c r="BW623" s="193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1"/>
      <c r="CW623" s="1"/>
      <c r="CX623" s="1"/>
      <c r="CY623" s="1"/>
      <c r="CZ623" s="1"/>
      <c r="DA623" s="1"/>
      <c r="DB623" s="1"/>
      <c r="DC623" s="1"/>
      <c r="DD623" s="99"/>
    </row>
    <row r="624" spans="30:108" ht="6.95" customHeight="1" x14ac:dyDescent="0.15">
      <c r="AD624" s="148"/>
      <c r="AE624" s="90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49"/>
      <c r="BQ624" s="93"/>
      <c r="BR624" s="148"/>
      <c r="BS624" s="90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49"/>
    </row>
    <row r="625" spans="30:190" ht="6.95" customHeight="1" x14ac:dyDescent="0.15">
      <c r="AD625" s="148"/>
      <c r="AE625" s="90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96" t="s">
        <v>42</v>
      </c>
      <c r="BI625" s="196"/>
      <c r="BJ625" s="196"/>
      <c r="BK625" s="196">
        <v>2</v>
      </c>
      <c r="BL625" s="196"/>
      <c r="BM625" s="196" t="s">
        <v>43</v>
      </c>
      <c r="BN625" s="196"/>
      <c r="BO625" s="196"/>
      <c r="BP625" s="149"/>
      <c r="BQ625" s="93"/>
      <c r="BR625" s="148"/>
      <c r="BS625" s="90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96" t="s">
        <v>42</v>
      </c>
      <c r="CW625" s="196"/>
      <c r="CX625" s="196"/>
      <c r="CY625" s="196">
        <v>2</v>
      </c>
      <c r="CZ625" s="196"/>
      <c r="DA625" s="196" t="s">
        <v>43</v>
      </c>
      <c r="DB625" s="196"/>
      <c r="DC625" s="196"/>
      <c r="DD625" s="149"/>
    </row>
    <row r="626" spans="30:190" ht="6.95" customHeight="1" x14ac:dyDescent="0.15">
      <c r="AD626" s="148"/>
      <c r="AE626" s="90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96"/>
      <c r="BI626" s="196"/>
      <c r="BJ626" s="196"/>
      <c r="BK626" s="196"/>
      <c r="BL626" s="196"/>
      <c r="BM626" s="196"/>
      <c r="BN626" s="196"/>
      <c r="BO626" s="196"/>
      <c r="BP626" s="149"/>
      <c r="BQ626" s="93"/>
      <c r="BR626" s="148"/>
      <c r="BS626" s="90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96"/>
      <c r="CW626" s="196"/>
      <c r="CX626" s="196"/>
      <c r="CY626" s="196"/>
      <c r="CZ626" s="196"/>
      <c r="DA626" s="196"/>
      <c r="DB626" s="196"/>
      <c r="DC626" s="196"/>
      <c r="DD626" s="149"/>
    </row>
    <row r="627" spans="30:190" ht="6.95" customHeight="1" x14ac:dyDescent="0.15">
      <c r="AD627" s="148"/>
      <c r="AE627" s="90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49"/>
      <c r="BQ627" s="93"/>
      <c r="BR627" s="148"/>
      <c r="BS627" s="90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49"/>
    </row>
    <row r="628" spans="30:190" ht="6.95" customHeight="1" thickBot="1" x14ac:dyDescent="0.2">
      <c r="AD628" s="150"/>
      <c r="AE628" s="151"/>
      <c r="AF628" s="151"/>
      <c r="AG628" s="151"/>
      <c r="AH628" s="151"/>
      <c r="AI628" s="151"/>
      <c r="AJ628" s="151"/>
      <c r="AK628" s="151"/>
      <c r="AL628" s="151"/>
      <c r="AM628" s="151"/>
      <c r="AN628" s="151"/>
      <c r="AO628" s="151"/>
      <c r="AP628" s="151"/>
      <c r="AQ628" s="151"/>
      <c r="AR628" s="151"/>
      <c r="AS628" s="151"/>
      <c r="AT628" s="151"/>
      <c r="AU628" s="151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151"/>
      <c r="BH628" s="151"/>
      <c r="BI628" s="151"/>
      <c r="BJ628" s="151"/>
      <c r="BK628" s="151"/>
      <c r="BL628" s="151"/>
      <c r="BM628" s="151"/>
      <c r="BN628" s="151"/>
      <c r="BO628" s="151"/>
      <c r="BP628" s="152"/>
      <c r="BQ628" s="93"/>
      <c r="BR628" s="168"/>
      <c r="BS628" s="161"/>
      <c r="BT628" s="151"/>
      <c r="BU628" s="151"/>
      <c r="BV628" s="151"/>
      <c r="BW628" s="151"/>
      <c r="BX628" s="151"/>
      <c r="BY628" s="151"/>
      <c r="BZ628" s="151"/>
      <c r="CA628" s="151"/>
      <c r="CB628" s="151"/>
      <c r="CC628" s="151"/>
      <c r="CD628" s="151"/>
      <c r="CE628" s="151"/>
      <c r="CF628" s="151"/>
      <c r="CG628" s="151"/>
      <c r="CH628" s="151"/>
      <c r="CI628" s="151"/>
      <c r="CJ628" s="151"/>
      <c r="CK628" s="151"/>
      <c r="CL628" s="151"/>
      <c r="CM628" s="151"/>
      <c r="CN628" s="151"/>
      <c r="CO628" s="151"/>
      <c r="CP628" s="151"/>
      <c r="CQ628" s="151"/>
      <c r="CR628" s="151"/>
      <c r="CS628" s="151"/>
      <c r="CT628" s="151"/>
      <c r="CU628" s="151"/>
      <c r="CV628" s="151"/>
      <c r="CW628" s="151"/>
      <c r="CX628" s="151"/>
      <c r="CY628" s="151"/>
      <c r="CZ628" s="151"/>
      <c r="DA628" s="151"/>
      <c r="DB628" s="151"/>
      <c r="DC628" s="151"/>
      <c r="DD628" s="169"/>
    </row>
    <row r="629" spans="30:190" ht="6.95" customHeight="1" thickBot="1" x14ac:dyDescent="0.2">
      <c r="AD629" s="216">
        <v>750</v>
      </c>
      <c r="AE629" s="216"/>
      <c r="AF629" s="216"/>
      <c r="BQ629" s="93"/>
      <c r="BR629" s="93"/>
      <c r="BS629" s="93"/>
      <c r="BT629" s="93"/>
      <c r="BU629" s="93"/>
      <c r="BV629" s="93"/>
      <c r="BW629" s="93"/>
      <c r="BX629" s="93"/>
      <c r="BY629" s="93"/>
      <c r="BZ629" s="93"/>
      <c r="CA629" s="93"/>
      <c r="CB629" s="93"/>
      <c r="CC629" s="93"/>
      <c r="CD629" s="93"/>
      <c r="CE629" s="93"/>
      <c r="CF629" s="93"/>
      <c r="CG629" s="93"/>
      <c r="CH629" s="93"/>
      <c r="CI629" s="93"/>
      <c r="CJ629" s="93"/>
      <c r="CK629" s="93"/>
      <c r="CL629" s="93"/>
      <c r="CM629" s="93"/>
      <c r="CN629" s="93"/>
      <c r="CO629" s="93"/>
      <c r="CP629" s="93"/>
      <c r="CQ629" s="93"/>
      <c r="CR629" s="93"/>
      <c r="CS629" s="93"/>
      <c r="CT629" s="93"/>
      <c r="CU629" s="93"/>
      <c r="CV629" s="93"/>
      <c r="CW629" s="93"/>
      <c r="CX629" s="93"/>
      <c r="CY629" s="93"/>
      <c r="CZ629" s="93"/>
      <c r="DA629" s="93"/>
      <c r="DB629" s="93"/>
      <c r="DC629" s="93"/>
      <c r="DD629" s="93"/>
    </row>
    <row r="630" spans="30:190" ht="6.95" customHeight="1" x14ac:dyDescent="0.15">
      <c r="AD630" s="108" t="s">
        <v>25</v>
      </c>
      <c r="AE630" s="109"/>
      <c r="AF630" s="109"/>
      <c r="AG630" s="109"/>
      <c r="AH630" s="109"/>
      <c r="AI630" s="202" t="s">
        <v>40</v>
      </c>
      <c r="AJ630" s="202"/>
      <c r="AK630" s="202">
        <v>1</v>
      </c>
      <c r="AL630" s="202"/>
      <c r="AM630" s="202" t="s">
        <v>41</v>
      </c>
      <c r="AN630" s="202"/>
      <c r="AO630" s="202"/>
      <c r="AP630" s="202"/>
      <c r="AQ630" s="202"/>
      <c r="AR630" s="204"/>
      <c r="AS630" s="204"/>
      <c r="AT630" s="204"/>
      <c r="AU630" s="204"/>
      <c r="AV630" s="204"/>
      <c r="AW630" s="204"/>
      <c r="AX630" s="204"/>
      <c r="AY630" s="204"/>
      <c r="AZ630" s="204"/>
      <c r="BA630" s="204"/>
      <c r="BB630" s="204"/>
      <c r="BC630" s="204"/>
      <c r="BD630" s="204"/>
      <c r="BE630" s="204"/>
      <c r="BF630" s="204"/>
      <c r="BG630" s="204"/>
      <c r="BH630" s="204"/>
      <c r="BI630" s="204"/>
      <c r="BJ630" s="204"/>
      <c r="BK630" s="204"/>
      <c r="BL630" s="204"/>
      <c r="BM630" s="206">
        <f>SUM(AR648,BK648,AR656,BK656,BK675,BK680,AW668)*AK630</f>
        <v>23</v>
      </c>
      <c r="BN630" s="206"/>
      <c r="BO630" s="206"/>
      <c r="BP630" s="208"/>
      <c r="BQ630" s="93"/>
      <c r="BR630" s="93"/>
      <c r="BS630" s="93"/>
      <c r="BT630" s="93"/>
      <c r="BU630" s="93"/>
      <c r="BV630" s="93"/>
      <c r="BW630" s="93"/>
      <c r="BX630" s="93"/>
      <c r="BY630" s="93"/>
      <c r="BZ630" s="93"/>
      <c r="CA630" s="93"/>
      <c r="CB630" s="93"/>
      <c r="CC630" s="93"/>
      <c r="CD630" s="93"/>
      <c r="CE630" s="93"/>
      <c r="CF630" s="93"/>
      <c r="CG630" s="93"/>
      <c r="CH630" s="93"/>
      <c r="CI630" s="93"/>
      <c r="CJ630" s="93"/>
      <c r="CK630" s="93"/>
      <c r="CL630" s="93"/>
      <c r="CM630" s="93"/>
      <c r="CN630" s="93"/>
      <c r="CO630" s="93"/>
      <c r="CP630" s="93"/>
      <c r="CQ630" s="93"/>
      <c r="CR630" s="93"/>
      <c r="CS630" s="93"/>
      <c r="CT630" s="93"/>
      <c r="CU630" s="93"/>
      <c r="CV630" s="93"/>
      <c r="CW630" s="93"/>
      <c r="CX630" s="93"/>
      <c r="CY630" s="93"/>
      <c r="CZ630" s="93"/>
      <c r="DA630" s="93"/>
      <c r="DB630" s="93"/>
      <c r="DC630" s="93"/>
      <c r="DD630" s="93"/>
    </row>
    <row r="631" spans="30:190" ht="6.95" customHeight="1" thickBot="1" x14ac:dyDescent="0.2">
      <c r="AD631" s="80"/>
      <c r="AE631" s="81"/>
      <c r="AF631" s="81"/>
      <c r="AG631" s="81"/>
      <c r="AH631" s="81"/>
      <c r="AI631" s="203"/>
      <c r="AJ631" s="203"/>
      <c r="AK631" s="203"/>
      <c r="AL631" s="203"/>
      <c r="AM631" s="203"/>
      <c r="AN631" s="203"/>
      <c r="AO631" s="203"/>
      <c r="AP631" s="203"/>
      <c r="AQ631" s="203"/>
      <c r="AR631" s="205"/>
      <c r="AS631" s="205"/>
      <c r="AT631" s="205"/>
      <c r="AU631" s="205"/>
      <c r="AV631" s="205"/>
      <c r="AW631" s="205"/>
      <c r="AX631" s="205"/>
      <c r="AY631" s="205"/>
      <c r="AZ631" s="205"/>
      <c r="BA631" s="205"/>
      <c r="BB631" s="205"/>
      <c r="BC631" s="205"/>
      <c r="BD631" s="205"/>
      <c r="BE631" s="205"/>
      <c r="BF631" s="205"/>
      <c r="BG631" s="205"/>
      <c r="BH631" s="205"/>
      <c r="BI631" s="205"/>
      <c r="BJ631" s="205"/>
      <c r="BK631" s="205"/>
      <c r="BL631" s="205"/>
      <c r="BM631" s="207"/>
      <c r="BN631" s="207"/>
      <c r="BO631" s="207"/>
      <c r="BP631" s="209"/>
      <c r="BQ631" s="93"/>
      <c r="BR631" s="93"/>
      <c r="BS631" s="93"/>
      <c r="BT631" s="93"/>
      <c r="BU631" s="93"/>
      <c r="BV631" s="93"/>
      <c r="BW631" s="93"/>
      <c r="BX631" s="93"/>
      <c r="BY631" s="93"/>
      <c r="BZ631" s="93"/>
      <c r="CA631" s="93"/>
      <c r="CB631" s="93"/>
      <c r="CC631" s="93"/>
      <c r="CD631" s="93"/>
      <c r="CE631" s="93"/>
      <c r="CF631" s="93"/>
      <c r="CG631" s="93"/>
      <c r="CH631" s="93"/>
      <c r="CI631" s="93"/>
      <c r="CJ631" s="93"/>
      <c r="CK631" s="93"/>
      <c r="CL631" s="93"/>
      <c r="CM631" s="93"/>
      <c r="CN631" s="93"/>
      <c r="CO631" s="93"/>
      <c r="CP631" s="93"/>
      <c r="CQ631" s="93"/>
      <c r="CR631" s="93"/>
      <c r="CS631" s="93"/>
      <c r="CT631" s="93"/>
      <c r="CU631" s="93"/>
      <c r="CV631" s="93"/>
      <c r="CW631" s="93"/>
      <c r="CX631" s="93"/>
      <c r="CY631" s="93"/>
      <c r="CZ631" s="93"/>
      <c r="DA631" s="93"/>
      <c r="DB631" s="93"/>
      <c r="DC631" s="93"/>
      <c r="DD631" s="93"/>
    </row>
    <row r="632" spans="30:190" ht="6.95" customHeight="1" x14ac:dyDescent="0.15">
      <c r="AD632" s="5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1"/>
      <c r="BI632" s="1"/>
      <c r="BJ632" s="1"/>
      <c r="BK632" s="1"/>
      <c r="BL632" s="1"/>
      <c r="BM632" s="1"/>
      <c r="BN632" s="1"/>
      <c r="BO632" s="1"/>
      <c r="BP632" s="98"/>
      <c r="BQ632" s="93"/>
      <c r="BR632" s="93"/>
      <c r="BS632" s="93"/>
      <c r="BT632" s="93"/>
      <c r="BU632" s="93"/>
      <c r="BV632" s="93"/>
      <c r="BW632" s="93"/>
      <c r="BX632" s="93"/>
      <c r="BY632" s="93"/>
      <c r="BZ632" s="93"/>
      <c r="CA632" s="93"/>
      <c r="CB632" s="93"/>
      <c r="CC632" s="93"/>
      <c r="CD632" s="93"/>
      <c r="CE632" s="93"/>
      <c r="CF632" s="93"/>
      <c r="CG632" s="93"/>
      <c r="CH632" s="93"/>
      <c r="CI632" s="93"/>
      <c r="CJ632" s="93"/>
      <c r="CK632" s="93"/>
      <c r="CL632" s="93"/>
      <c r="CM632" s="93"/>
      <c r="CN632" s="93"/>
      <c r="CO632" s="93"/>
      <c r="CP632" s="93"/>
      <c r="CQ632" s="93"/>
      <c r="CR632" s="93"/>
      <c r="CS632" s="93"/>
      <c r="CT632" s="93"/>
      <c r="CU632" s="93"/>
      <c r="CV632" s="93"/>
      <c r="CW632" s="93"/>
      <c r="CX632" s="93"/>
      <c r="CY632" s="93"/>
      <c r="CZ632" s="93"/>
      <c r="DA632" s="93"/>
      <c r="DB632" s="93"/>
      <c r="DC632" s="93"/>
      <c r="DD632" s="93"/>
    </row>
    <row r="633" spans="30:190" ht="6.95" customHeight="1" x14ac:dyDescent="0.15">
      <c r="AD633" s="5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1"/>
      <c r="BI633" s="1"/>
      <c r="BJ633" s="1"/>
      <c r="BK633" s="1"/>
      <c r="BL633" s="1"/>
      <c r="BM633" s="1"/>
      <c r="BN633" s="1"/>
      <c r="BO633" s="1"/>
      <c r="BP633" s="99"/>
      <c r="BQ633" s="93"/>
      <c r="BR633" s="93"/>
      <c r="BS633" s="93"/>
      <c r="BT633" s="93"/>
      <c r="BU633" s="93"/>
      <c r="BV633" s="93"/>
      <c r="BW633" s="93"/>
      <c r="BX633" s="93"/>
      <c r="BY633" s="93"/>
      <c r="BZ633" s="93"/>
      <c r="CA633" s="93"/>
      <c r="CB633" s="93"/>
      <c r="CC633" s="93"/>
      <c r="CD633" s="93"/>
      <c r="CE633" s="93"/>
      <c r="CF633" s="93"/>
      <c r="CG633" s="93"/>
      <c r="CH633" s="93"/>
      <c r="CI633" s="93"/>
      <c r="CJ633" s="93"/>
      <c r="CK633" s="93"/>
      <c r="CL633" s="93"/>
      <c r="CM633" s="93"/>
      <c r="CN633" s="93"/>
      <c r="CO633" s="93"/>
      <c r="CP633" s="93"/>
      <c r="CQ633" s="93"/>
      <c r="CR633" s="93"/>
      <c r="CS633" s="93"/>
      <c r="CT633" s="93"/>
      <c r="CU633" s="93"/>
      <c r="CV633" s="93"/>
      <c r="CW633" s="93"/>
      <c r="CX633" s="93"/>
      <c r="CY633" s="93"/>
      <c r="CZ633" s="93"/>
      <c r="DA633" s="93"/>
      <c r="DB633" s="93"/>
      <c r="DC633" s="93"/>
      <c r="DD633" s="93"/>
      <c r="DH633" s="105"/>
      <c r="DI633" s="105"/>
      <c r="DJ633" s="105"/>
      <c r="DK633" s="105"/>
      <c r="DL633" s="105"/>
      <c r="DM633" s="105"/>
      <c r="DN633" s="105"/>
      <c r="DO633" s="105"/>
      <c r="DP633" s="105"/>
      <c r="DQ633" s="105"/>
      <c r="DR633" s="105"/>
      <c r="DS633" s="105"/>
      <c r="DT633" s="105"/>
      <c r="DU633" s="105"/>
      <c r="DV633" s="105"/>
      <c r="DW633" s="105"/>
      <c r="DX633" s="105"/>
      <c r="DY633" s="105"/>
      <c r="DZ633" s="105"/>
      <c r="EA633" s="105"/>
      <c r="EB633" s="105"/>
      <c r="EC633" s="105"/>
      <c r="ED633" s="105"/>
      <c r="EE633" s="105"/>
      <c r="EF633" s="105"/>
      <c r="EG633" s="105"/>
      <c r="EH633" s="105"/>
      <c r="EI633" s="105"/>
      <c r="EJ633" s="105"/>
      <c r="EK633" s="105"/>
      <c r="EL633" s="105"/>
      <c r="EM633" s="105"/>
      <c r="EN633" s="105"/>
      <c r="EO633" s="105"/>
      <c r="EP633" s="105"/>
      <c r="EQ633" s="105"/>
      <c r="ER633" s="105"/>
      <c r="ES633" s="105"/>
      <c r="ET633" s="105"/>
      <c r="EU633" s="105"/>
      <c r="EV633" s="105"/>
      <c r="EW633" s="105"/>
      <c r="EX633" s="105"/>
      <c r="EY633" s="105"/>
      <c r="EZ633" s="105"/>
      <c r="FA633" s="105"/>
      <c r="FB633" s="105"/>
      <c r="FC633" s="105"/>
      <c r="FD633" s="105"/>
      <c r="FE633" s="105"/>
      <c r="FF633" s="105"/>
      <c r="FG633" s="105"/>
      <c r="FH633" s="105"/>
      <c r="FI633" s="105"/>
      <c r="FJ633" s="105"/>
      <c r="FK633" s="105"/>
      <c r="FL633" s="105"/>
      <c r="FM633" s="105"/>
      <c r="FN633" s="105"/>
      <c r="FO633" s="105"/>
      <c r="FP633" s="105"/>
      <c r="FQ633" s="105"/>
      <c r="FR633" s="105"/>
      <c r="FS633" s="105"/>
      <c r="FT633" s="105"/>
      <c r="FU633" s="105"/>
      <c r="FV633" s="105"/>
      <c r="FW633" s="105"/>
      <c r="FX633" s="105"/>
      <c r="FY633" s="105"/>
      <c r="FZ633" s="105"/>
      <c r="GA633" s="105"/>
      <c r="GB633" s="105"/>
      <c r="GC633" s="105"/>
      <c r="GD633" s="105"/>
      <c r="GE633" s="105"/>
      <c r="GF633" s="105"/>
      <c r="GG633" s="105"/>
      <c r="GH633" s="105"/>
    </row>
    <row r="634" spans="30:190" ht="6.95" customHeight="1" x14ac:dyDescent="0.15">
      <c r="AD634" s="5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1"/>
      <c r="BI634" s="1"/>
      <c r="BJ634" s="1"/>
      <c r="BK634" s="1"/>
      <c r="BL634" s="1"/>
      <c r="BM634" s="1"/>
      <c r="BN634" s="1"/>
      <c r="BO634" s="1"/>
      <c r="BP634" s="99"/>
      <c r="BQ634" s="93"/>
      <c r="BR634" s="93"/>
      <c r="BS634" s="93"/>
      <c r="BT634" s="93"/>
      <c r="BU634" s="93"/>
      <c r="BV634" s="93"/>
      <c r="BW634" s="93"/>
      <c r="BX634" s="93"/>
      <c r="BY634" s="93"/>
      <c r="BZ634" s="93"/>
      <c r="CA634" s="93"/>
      <c r="CB634" s="93"/>
      <c r="CC634" s="93"/>
      <c r="CD634" s="93"/>
      <c r="CE634" s="93"/>
      <c r="CF634" s="93"/>
      <c r="CG634" s="93"/>
      <c r="CH634" s="93"/>
      <c r="CI634" s="93"/>
      <c r="CJ634" s="93"/>
      <c r="CK634" s="93"/>
      <c r="CL634" s="93"/>
      <c r="CM634" s="93"/>
      <c r="CN634" s="93"/>
      <c r="CO634" s="93"/>
      <c r="CP634" s="93"/>
      <c r="CQ634" s="93"/>
      <c r="CR634" s="93"/>
      <c r="CS634" s="93"/>
      <c r="CT634" s="93"/>
      <c r="CU634" s="93"/>
      <c r="CV634" s="93"/>
      <c r="CW634" s="93"/>
      <c r="CX634" s="93"/>
      <c r="CY634" s="93"/>
      <c r="CZ634" s="93"/>
      <c r="DA634" s="93"/>
      <c r="DB634" s="93"/>
      <c r="DC634" s="93"/>
      <c r="DD634" s="93"/>
      <c r="DH634" s="105"/>
      <c r="DI634" s="105"/>
      <c r="DJ634" s="105"/>
      <c r="DK634" s="105"/>
      <c r="DL634" s="105"/>
      <c r="DM634" s="105"/>
      <c r="DN634" s="105"/>
      <c r="DO634" s="105"/>
      <c r="DP634" s="105"/>
      <c r="DQ634" s="105"/>
      <c r="DR634" s="105"/>
      <c r="DS634" s="105"/>
      <c r="DT634" s="105"/>
      <c r="DU634" s="105"/>
      <c r="DV634" s="105"/>
      <c r="DW634" s="105"/>
      <c r="DX634" s="105"/>
      <c r="DY634" s="105"/>
      <c r="DZ634" s="105"/>
      <c r="EA634" s="105"/>
      <c r="EB634" s="105"/>
      <c r="EC634" s="105"/>
      <c r="ED634" s="105"/>
      <c r="EE634" s="105"/>
      <c r="EF634" s="105"/>
      <c r="EG634" s="105"/>
      <c r="EH634" s="105"/>
      <c r="EI634" s="105"/>
      <c r="EJ634" s="105"/>
      <c r="EK634" s="105"/>
      <c r="EL634" s="105"/>
      <c r="EM634" s="105"/>
      <c r="EN634" s="105"/>
      <c r="EO634" s="105"/>
      <c r="EP634" s="105"/>
      <c r="EQ634" s="105"/>
      <c r="ER634" s="105"/>
      <c r="ES634" s="105"/>
      <c r="ET634" s="105"/>
      <c r="EU634" s="105"/>
      <c r="EV634" s="105"/>
      <c r="EW634" s="105"/>
      <c r="EX634" s="105"/>
      <c r="EY634" s="105"/>
      <c r="EZ634" s="105"/>
      <c r="FA634" s="105"/>
      <c r="FB634" s="105"/>
      <c r="FC634" s="105"/>
      <c r="FD634" s="105"/>
      <c r="FE634" s="105"/>
      <c r="FF634" s="105"/>
      <c r="FG634" s="105"/>
      <c r="FH634" s="105"/>
      <c r="FI634" s="105"/>
      <c r="FJ634" s="105"/>
      <c r="FK634" s="105"/>
      <c r="FL634" s="105"/>
      <c r="FM634" s="105"/>
      <c r="FN634" s="105"/>
      <c r="FO634" s="105"/>
      <c r="FP634" s="105"/>
      <c r="FQ634" s="105"/>
      <c r="FR634" s="105"/>
      <c r="FS634" s="105"/>
      <c r="FT634" s="105"/>
      <c r="FU634" s="105"/>
      <c r="FV634" s="105"/>
      <c r="FW634" s="105"/>
      <c r="FX634" s="105"/>
      <c r="FY634" s="105"/>
      <c r="FZ634" s="105"/>
      <c r="GA634" s="105"/>
      <c r="GB634" s="105"/>
      <c r="GC634" s="105"/>
      <c r="GD634" s="105"/>
      <c r="GE634" s="105"/>
      <c r="GF634" s="105"/>
      <c r="GG634" s="105"/>
      <c r="GH634" s="105"/>
    </row>
    <row r="635" spans="30:190" ht="6.95" customHeight="1" x14ac:dyDescent="0.15">
      <c r="AD635" s="5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1"/>
      <c r="BI635" s="1"/>
      <c r="BJ635" s="1"/>
      <c r="BK635" s="1"/>
      <c r="BL635" s="1"/>
      <c r="BM635" s="1"/>
      <c r="BN635" s="1"/>
      <c r="BO635" s="1"/>
      <c r="BP635" s="99"/>
      <c r="BQ635" s="93"/>
      <c r="BR635" s="93"/>
      <c r="BS635" s="93"/>
      <c r="BT635" s="93"/>
      <c r="BU635" s="93"/>
      <c r="BV635" s="93"/>
      <c r="BW635" s="93"/>
      <c r="BX635" s="93"/>
      <c r="BY635" s="93"/>
      <c r="BZ635" s="93"/>
      <c r="CA635" s="93"/>
      <c r="CB635" s="93"/>
      <c r="CC635" s="93"/>
      <c r="CD635" s="93"/>
      <c r="CE635" s="93"/>
      <c r="CF635" s="93"/>
      <c r="CG635" s="93"/>
      <c r="CH635" s="93"/>
      <c r="CI635" s="93"/>
      <c r="CJ635" s="93"/>
      <c r="CK635" s="93"/>
      <c r="CL635" s="93"/>
      <c r="CM635" s="93"/>
      <c r="CN635" s="93"/>
      <c r="CO635" s="93"/>
      <c r="CP635" s="93"/>
      <c r="CQ635" s="93"/>
      <c r="CR635" s="93"/>
      <c r="CS635" s="93"/>
      <c r="CT635" s="93"/>
      <c r="CU635" s="93"/>
      <c r="CV635" s="93"/>
      <c r="CW635" s="93"/>
      <c r="CX635" s="93"/>
      <c r="CY635" s="93"/>
      <c r="CZ635" s="93"/>
      <c r="DA635" s="93"/>
      <c r="DB635" s="93"/>
      <c r="DC635" s="93"/>
      <c r="DD635" s="93"/>
      <c r="DH635" s="105"/>
      <c r="DI635" s="105"/>
      <c r="DJ635" s="105"/>
      <c r="DK635" s="105"/>
      <c r="DL635" s="105"/>
      <c r="DM635" s="105"/>
      <c r="DN635" s="105"/>
      <c r="DO635" s="105"/>
      <c r="DP635" s="105"/>
      <c r="DQ635" s="105"/>
      <c r="DR635" s="105"/>
      <c r="DS635" s="105"/>
      <c r="DT635" s="105"/>
      <c r="DU635" s="105"/>
      <c r="DV635" s="105"/>
      <c r="DW635" s="105"/>
      <c r="DX635" s="105"/>
      <c r="DY635" s="105"/>
      <c r="DZ635" s="105"/>
      <c r="EA635" s="105"/>
      <c r="EB635" s="105"/>
      <c r="EC635" s="105"/>
      <c r="ED635" s="105"/>
      <c r="EE635" s="105"/>
      <c r="EF635" s="105"/>
      <c r="EG635" s="105"/>
      <c r="EH635" s="105"/>
      <c r="EI635" s="105"/>
      <c r="EJ635" s="105"/>
      <c r="EK635" s="105"/>
      <c r="EL635" s="105"/>
      <c r="EM635" s="105"/>
      <c r="EN635" s="105"/>
      <c r="EO635" s="105"/>
      <c r="EP635" s="105"/>
      <c r="EQ635" s="105"/>
      <c r="ER635" s="105"/>
      <c r="ES635" s="105"/>
      <c r="ET635" s="105"/>
      <c r="EU635" s="105"/>
      <c r="EV635" s="105"/>
      <c r="EW635" s="105"/>
      <c r="EX635" s="105"/>
      <c r="EY635" s="105"/>
      <c r="EZ635" s="105"/>
      <c r="FA635" s="105"/>
      <c r="FB635" s="105"/>
      <c r="FC635" s="105"/>
      <c r="FD635" s="105"/>
      <c r="FE635" s="105"/>
      <c r="FF635" s="105"/>
      <c r="FG635" s="105"/>
      <c r="FH635" s="105"/>
      <c r="FI635" s="105"/>
      <c r="FJ635" s="105"/>
      <c r="FK635" s="105"/>
      <c r="FL635" s="105"/>
      <c r="FM635" s="105"/>
      <c r="FN635" s="105"/>
      <c r="FO635" s="105"/>
      <c r="FP635" s="105"/>
      <c r="FQ635" s="105"/>
      <c r="FR635" s="105"/>
      <c r="FS635" s="105"/>
      <c r="FT635" s="105"/>
      <c r="FU635" s="105"/>
      <c r="FV635" s="105"/>
      <c r="FW635" s="105"/>
      <c r="FX635" s="105"/>
      <c r="FY635" s="105"/>
      <c r="FZ635" s="105"/>
      <c r="GA635" s="105"/>
      <c r="GB635" s="105"/>
      <c r="GC635" s="105"/>
      <c r="GD635" s="105"/>
      <c r="GE635" s="105"/>
      <c r="GF635" s="105"/>
      <c r="GG635" s="105"/>
      <c r="GH635" s="105"/>
    </row>
    <row r="636" spans="30:190" ht="6.95" customHeight="1" x14ac:dyDescent="0.15">
      <c r="AD636" s="5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1"/>
      <c r="BI636" s="1"/>
      <c r="BJ636" s="1"/>
      <c r="BK636" s="1"/>
      <c r="BL636" s="1"/>
      <c r="BM636" s="1"/>
      <c r="BN636" s="1"/>
      <c r="BO636" s="1"/>
      <c r="BP636" s="99"/>
      <c r="BQ636" s="93"/>
      <c r="BR636" s="93"/>
      <c r="BS636" s="93"/>
      <c r="BT636" s="93"/>
      <c r="BU636" s="93"/>
      <c r="BV636" s="93"/>
      <c r="BW636" s="93"/>
      <c r="BX636" s="93"/>
      <c r="BY636" s="93"/>
      <c r="BZ636" s="93"/>
      <c r="CA636" s="93"/>
      <c r="CB636" s="93"/>
      <c r="CC636" s="93"/>
      <c r="CD636" s="93"/>
      <c r="CE636" s="93"/>
      <c r="CF636" s="93"/>
      <c r="CG636" s="93"/>
      <c r="CH636" s="93"/>
      <c r="CI636" s="93"/>
      <c r="CJ636" s="93"/>
      <c r="CK636" s="93"/>
      <c r="CL636" s="93"/>
      <c r="CM636" s="93"/>
      <c r="CN636" s="93"/>
      <c r="CO636" s="93"/>
      <c r="CP636" s="93"/>
      <c r="CQ636" s="93"/>
      <c r="CR636" s="93"/>
      <c r="CS636" s="93"/>
      <c r="CT636" s="93"/>
      <c r="CU636" s="93"/>
      <c r="CV636" s="93"/>
      <c r="CW636" s="93"/>
      <c r="CX636" s="93"/>
      <c r="CY636" s="93"/>
      <c r="CZ636" s="93"/>
      <c r="DA636" s="93"/>
      <c r="DB636" s="93"/>
      <c r="DC636" s="93"/>
      <c r="DD636" s="93"/>
      <c r="DH636" s="105"/>
      <c r="DI636" s="105"/>
      <c r="DJ636" s="105"/>
      <c r="DK636" s="105"/>
      <c r="DL636" s="105"/>
      <c r="DM636" s="105"/>
      <c r="DN636" s="105"/>
      <c r="DO636" s="105"/>
      <c r="DP636" s="105"/>
      <c r="DQ636" s="105"/>
      <c r="DR636" s="105"/>
      <c r="DS636" s="105"/>
      <c r="DT636" s="105"/>
      <c r="DU636" s="105"/>
      <c r="DV636" s="105"/>
      <c r="DW636" s="105"/>
      <c r="DX636" s="105"/>
      <c r="DY636" s="105"/>
      <c r="DZ636" s="105"/>
      <c r="EA636" s="105"/>
      <c r="EB636" s="105"/>
      <c r="EC636" s="105"/>
      <c r="ED636" s="105"/>
      <c r="EE636" s="105"/>
      <c r="EF636" s="105"/>
      <c r="EG636" s="105"/>
      <c r="EH636" s="105"/>
      <c r="EI636" s="105"/>
      <c r="EJ636" s="105"/>
      <c r="EK636" s="105"/>
      <c r="EL636" s="105"/>
      <c r="EM636" s="105"/>
      <c r="EN636" s="105"/>
      <c r="EO636" s="105"/>
      <c r="EP636" s="105"/>
      <c r="EQ636" s="105"/>
      <c r="ER636" s="105"/>
      <c r="ES636" s="105"/>
      <c r="ET636" s="105"/>
      <c r="EU636" s="105"/>
      <c r="EV636" s="105"/>
      <c r="EW636" s="105"/>
      <c r="EX636" s="105"/>
      <c r="EY636" s="105"/>
      <c r="EZ636" s="105"/>
      <c r="FA636" s="105"/>
      <c r="FB636" s="105"/>
      <c r="FC636" s="105"/>
      <c r="FD636" s="105"/>
      <c r="FE636" s="105"/>
      <c r="FF636" s="105"/>
      <c r="FG636" s="105"/>
      <c r="FH636" s="105"/>
      <c r="FI636" s="105"/>
      <c r="FJ636" s="105"/>
      <c r="FK636" s="105"/>
      <c r="FL636" s="105"/>
      <c r="FM636" s="105"/>
      <c r="FN636" s="105"/>
      <c r="FO636" s="105"/>
      <c r="FP636" s="105"/>
      <c r="FQ636" s="105"/>
      <c r="FR636" s="105"/>
      <c r="FS636" s="105"/>
      <c r="FT636" s="105"/>
      <c r="FU636" s="105"/>
      <c r="FV636" s="105"/>
      <c r="FW636" s="105"/>
      <c r="FX636" s="105"/>
      <c r="FY636" s="105"/>
      <c r="FZ636" s="105"/>
      <c r="GA636" s="105"/>
      <c r="GB636" s="105"/>
      <c r="GC636" s="105"/>
      <c r="GD636" s="105"/>
      <c r="GE636" s="105"/>
      <c r="GF636" s="105"/>
      <c r="GG636" s="105"/>
      <c r="GH636" s="105"/>
    </row>
    <row r="637" spans="30:190" ht="6.95" customHeight="1" x14ac:dyDescent="0.15">
      <c r="AD637" s="5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1"/>
      <c r="BI637" s="1"/>
      <c r="BJ637" s="1"/>
      <c r="BK637" s="1"/>
      <c r="BL637" s="1"/>
      <c r="BM637" s="1"/>
      <c r="BN637" s="1"/>
      <c r="BO637" s="1"/>
      <c r="BP637" s="99"/>
      <c r="BQ637" s="93"/>
      <c r="BR637" s="93"/>
      <c r="BS637" s="93"/>
      <c r="BT637" s="93"/>
      <c r="BU637" s="93"/>
      <c r="BV637" s="93"/>
      <c r="BW637" s="93"/>
      <c r="BX637" s="93"/>
      <c r="BY637" s="93"/>
      <c r="BZ637" s="93"/>
      <c r="CA637" s="93"/>
      <c r="CB637" s="93"/>
      <c r="CC637" s="93"/>
      <c r="CD637" s="93"/>
      <c r="CE637" s="93"/>
      <c r="CF637" s="93"/>
      <c r="CG637" s="93"/>
      <c r="CH637" s="93"/>
      <c r="CI637" s="93"/>
      <c r="CJ637" s="93"/>
      <c r="CK637" s="93"/>
      <c r="CL637" s="93"/>
      <c r="CM637" s="93"/>
      <c r="CN637" s="93"/>
      <c r="CO637" s="93"/>
      <c r="CP637" s="93"/>
      <c r="CQ637" s="93"/>
      <c r="CR637" s="93"/>
      <c r="CS637" s="93"/>
      <c r="CT637" s="93"/>
      <c r="CU637" s="93"/>
      <c r="CV637" s="93"/>
      <c r="CW637" s="93"/>
      <c r="CX637" s="93"/>
      <c r="CY637" s="93"/>
      <c r="CZ637" s="93"/>
      <c r="DA637" s="93"/>
      <c r="DB637" s="93"/>
      <c r="DC637" s="93"/>
      <c r="DD637" s="93"/>
      <c r="DH637" s="105"/>
      <c r="DI637" s="105"/>
      <c r="DJ637" s="105"/>
      <c r="DK637" s="105"/>
      <c r="DL637" s="105"/>
      <c r="DM637" s="105"/>
      <c r="DN637" s="105"/>
      <c r="DO637" s="105"/>
      <c r="DP637" s="105"/>
      <c r="DQ637" s="105"/>
      <c r="DR637" s="105"/>
      <c r="DS637" s="105"/>
      <c r="DT637" s="105"/>
      <c r="DU637" s="105"/>
      <c r="DV637" s="105"/>
      <c r="DW637" s="105"/>
      <c r="DX637" s="105"/>
      <c r="DY637" s="105"/>
      <c r="DZ637" s="105"/>
      <c r="EA637" s="105"/>
      <c r="EB637" s="105"/>
      <c r="EC637" s="105"/>
      <c r="ED637" s="105"/>
      <c r="EE637" s="105"/>
      <c r="EF637" s="105"/>
      <c r="EG637" s="105"/>
      <c r="EH637" s="105"/>
      <c r="EI637" s="105"/>
      <c r="EJ637" s="105"/>
      <c r="EK637" s="105"/>
      <c r="EL637" s="105"/>
      <c r="EM637" s="105"/>
      <c r="EN637" s="105"/>
      <c r="EO637" s="105"/>
      <c r="EP637" s="105"/>
      <c r="EQ637" s="105"/>
      <c r="ER637" s="105"/>
      <c r="ES637" s="105"/>
      <c r="ET637" s="105"/>
      <c r="EU637" s="105"/>
      <c r="EV637" s="105"/>
      <c r="EW637" s="105"/>
      <c r="EX637" s="105"/>
      <c r="EY637" s="105"/>
      <c r="EZ637" s="105"/>
      <c r="FA637" s="105"/>
      <c r="FB637" s="105"/>
      <c r="FC637" s="105"/>
      <c r="FD637" s="105"/>
      <c r="FE637" s="105"/>
      <c r="FF637" s="105"/>
      <c r="FG637" s="105"/>
      <c r="FH637" s="105"/>
      <c r="FI637" s="105"/>
      <c r="FJ637" s="105"/>
      <c r="FK637" s="105"/>
      <c r="FL637" s="105"/>
      <c r="FM637" s="105"/>
      <c r="FN637" s="105"/>
      <c r="FO637" s="105"/>
      <c r="FP637" s="105"/>
      <c r="FQ637" s="105"/>
      <c r="FR637" s="105"/>
      <c r="FS637" s="105"/>
      <c r="FT637" s="105"/>
      <c r="FU637" s="105"/>
      <c r="FV637" s="105"/>
      <c r="FW637" s="105"/>
      <c r="FX637" s="105"/>
      <c r="FY637" s="105"/>
      <c r="FZ637" s="105"/>
      <c r="GA637" s="105"/>
      <c r="GB637" s="105"/>
      <c r="GC637" s="105"/>
      <c r="GD637" s="105"/>
      <c r="GE637" s="105"/>
      <c r="GF637" s="105"/>
      <c r="GG637" s="105"/>
      <c r="GH637" s="105"/>
    </row>
    <row r="638" spans="30:190" ht="6.95" customHeight="1" x14ac:dyDescent="0.15">
      <c r="AD638" s="5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1"/>
      <c r="BI638" s="1"/>
      <c r="BJ638" s="1"/>
      <c r="BK638" s="1"/>
      <c r="BL638" s="1"/>
      <c r="BM638" s="1"/>
      <c r="BN638" s="1"/>
      <c r="BO638" s="1"/>
      <c r="BP638" s="99"/>
      <c r="BQ638" s="93"/>
      <c r="BR638" s="93"/>
      <c r="BS638" s="93"/>
      <c r="BT638" s="93"/>
      <c r="BU638" s="93"/>
      <c r="BV638" s="93"/>
      <c r="BW638" s="93"/>
      <c r="BX638" s="93"/>
      <c r="BY638" s="93"/>
      <c r="BZ638" s="93"/>
      <c r="CA638" s="93"/>
      <c r="CB638" s="93"/>
      <c r="CC638" s="93"/>
      <c r="CD638" s="93"/>
      <c r="CE638" s="93"/>
      <c r="CF638" s="93"/>
      <c r="CG638" s="93"/>
      <c r="CH638" s="93"/>
      <c r="CI638" s="93"/>
      <c r="CJ638" s="93"/>
      <c r="CK638" s="93"/>
      <c r="CL638" s="93"/>
      <c r="CM638" s="93"/>
      <c r="CN638" s="93"/>
      <c r="CO638" s="93"/>
      <c r="CP638" s="93"/>
      <c r="CQ638" s="93"/>
      <c r="CR638" s="93"/>
      <c r="CS638" s="93"/>
      <c r="CT638" s="93"/>
      <c r="CU638" s="93"/>
      <c r="CV638" s="93"/>
      <c r="CW638" s="93"/>
      <c r="CX638" s="93"/>
      <c r="CY638" s="93"/>
      <c r="CZ638" s="93"/>
      <c r="DA638" s="93"/>
      <c r="DB638" s="93"/>
      <c r="DC638" s="93"/>
      <c r="DD638" s="93"/>
      <c r="DH638" s="105"/>
      <c r="DI638" s="105"/>
      <c r="DJ638" s="105"/>
      <c r="DK638" s="105"/>
      <c r="DL638" s="105"/>
      <c r="DM638" s="105"/>
      <c r="DN638" s="105"/>
      <c r="DO638" s="105"/>
      <c r="DP638" s="105"/>
      <c r="DQ638" s="105"/>
      <c r="DR638" s="105"/>
      <c r="DS638" s="105"/>
      <c r="DT638" s="105"/>
      <c r="DU638" s="105"/>
      <c r="DV638" s="105"/>
      <c r="DW638" s="105"/>
      <c r="DX638" s="105"/>
      <c r="DY638" s="105"/>
      <c r="DZ638" s="105"/>
      <c r="EA638" s="105"/>
      <c r="EB638" s="105"/>
      <c r="EC638" s="105"/>
      <c r="ED638" s="105"/>
      <c r="EE638" s="105"/>
      <c r="EF638" s="105"/>
      <c r="EG638" s="105"/>
      <c r="EH638" s="105"/>
      <c r="EI638" s="105"/>
      <c r="EJ638" s="105"/>
      <c r="EK638" s="105"/>
      <c r="EL638" s="105"/>
      <c r="EM638" s="105"/>
      <c r="EN638" s="105"/>
      <c r="EO638" s="105"/>
      <c r="EP638" s="105"/>
      <c r="EQ638" s="105"/>
      <c r="ER638" s="105"/>
      <c r="ES638" s="105"/>
      <c r="ET638" s="105"/>
      <c r="EU638" s="105"/>
      <c r="EV638" s="105"/>
      <c r="EW638" s="105"/>
      <c r="EX638" s="105"/>
      <c r="EY638" s="105"/>
      <c r="EZ638" s="105"/>
      <c r="FA638" s="105"/>
      <c r="FB638" s="105"/>
      <c r="FC638" s="105"/>
      <c r="FD638" s="105"/>
      <c r="FE638" s="105"/>
      <c r="FF638" s="105"/>
      <c r="FG638" s="105"/>
      <c r="FH638" s="105"/>
      <c r="FI638" s="105"/>
      <c r="FJ638" s="105"/>
      <c r="FK638" s="105"/>
      <c r="FL638" s="105"/>
      <c r="FM638" s="105"/>
      <c r="FN638" s="105"/>
      <c r="FO638" s="105"/>
      <c r="FP638" s="105"/>
      <c r="FQ638" s="105"/>
      <c r="FR638" s="105"/>
      <c r="FS638" s="105"/>
      <c r="FT638" s="105"/>
      <c r="FU638" s="105"/>
      <c r="FV638" s="105"/>
      <c r="FW638" s="105"/>
      <c r="FX638" s="105"/>
      <c r="FY638" s="105"/>
      <c r="FZ638" s="105"/>
      <c r="GA638" s="105"/>
      <c r="GB638" s="105"/>
      <c r="GC638" s="105"/>
      <c r="GD638" s="105"/>
      <c r="GE638" s="105"/>
      <c r="GF638" s="105"/>
      <c r="GG638" s="105"/>
      <c r="GH638" s="105"/>
    </row>
    <row r="639" spans="30:190" ht="6.95" customHeight="1" x14ac:dyDescent="0.15">
      <c r="AD639" s="210">
        <v>5</v>
      </c>
      <c r="AE639" s="211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1"/>
      <c r="BI639" s="1"/>
      <c r="BJ639" s="1"/>
      <c r="BK639" s="1"/>
      <c r="BL639" s="1"/>
      <c r="BM639" s="1"/>
      <c r="BN639" s="1"/>
      <c r="BO639" s="1"/>
      <c r="BP639" s="99"/>
      <c r="BQ639" s="93"/>
      <c r="BR639" s="93"/>
      <c r="BS639" s="93"/>
      <c r="BT639" s="93"/>
      <c r="BU639" s="93"/>
      <c r="BV639" s="93"/>
      <c r="BW639" s="93"/>
      <c r="BX639" s="93"/>
      <c r="BY639" s="93"/>
      <c r="BZ639" s="93"/>
      <c r="CA639" s="93"/>
      <c r="CB639" s="93"/>
      <c r="CC639" s="93"/>
      <c r="CD639" s="93"/>
      <c r="CE639" s="93"/>
      <c r="CF639" s="93"/>
      <c r="CG639" s="93"/>
      <c r="CH639" s="93"/>
      <c r="CI639" s="93"/>
      <c r="CJ639" s="93"/>
      <c r="CK639" s="93"/>
      <c r="CL639" s="93"/>
      <c r="CM639" s="93"/>
      <c r="CN639" s="93"/>
      <c r="CO639" s="93"/>
      <c r="CP639" s="93"/>
      <c r="CQ639" s="93"/>
      <c r="CR639" s="93"/>
      <c r="CS639" s="93"/>
      <c r="CT639" s="93"/>
      <c r="CU639" s="93"/>
      <c r="CV639" s="93"/>
      <c r="CW639" s="93"/>
      <c r="CX639" s="93"/>
      <c r="CY639" s="93"/>
      <c r="CZ639" s="93"/>
      <c r="DA639" s="93"/>
      <c r="DB639" s="93"/>
      <c r="DC639" s="93"/>
      <c r="DD639" s="93"/>
      <c r="DH639" s="105"/>
      <c r="DI639" s="105"/>
      <c r="DJ639" s="105"/>
      <c r="DK639" s="105"/>
      <c r="DL639" s="105"/>
      <c r="DM639" s="105"/>
      <c r="DN639" s="105"/>
      <c r="DO639" s="105"/>
      <c r="DP639" s="105"/>
      <c r="DQ639" s="105"/>
      <c r="DR639" s="105"/>
      <c r="DS639" s="105"/>
      <c r="DT639" s="105"/>
      <c r="DU639" s="105"/>
      <c r="DV639" s="105"/>
      <c r="DW639" s="105"/>
      <c r="DX639" s="105"/>
      <c r="DY639" s="105"/>
      <c r="DZ639" s="105"/>
      <c r="EA639" s="105"/>
      <c r="EB639" s="105"/>
      <c r="EC639" s="105"/>
      <c r="ED639" s="105"/>
      <c r="EE639" s="105"/>
      <c r="EF639" s="105"/>
      <c r="EG639" s="105"/>
      <c r="EH639" s="105"/>
      <c r="EI639" s="105"/>
      <c r="EJ639" s="105"/>
      <c r="EK639" s="105"/>
      <c r="EL639" s="105"/>
      <c r="EM639" s="105"/>
      <c r="EN639" s="105"/>
      <c r="EO639" s="105"/>
      <c r="EP639" s="105"/>
      <c r="EQ639" s="105"/>
      <c r="ER639" s="105"/>
      <c r="ES639" s="105"/>
      <c r="ET639" s="105"/>
      <c r="EU639" s="105"/>
      <c r="EV639" s="105"/>
      <c r="EW639" s="105"/>
      <c r="EX639" s="105"/>
      <c r="EY639" s="105"/>
      <c r="EZ639" s="105"/>
      <c r="FA639" s="105"/>
      <c r="FB639" s="105"/>
      <c r="FC639" s="105"/>
      <c r="FD639" s="105"/>
      <c r="FE639" s="105"/>
      <c r="FF639" s="105"/>
      <c r="FG639" s="105"/>
      <c r="FH639" s="105"/>
      <c r="FI639" s="105"/>
      <c r="FJ639" s="105"/>
      <c r="FK639" s="105"/>
      <c r="FL639" s="105"/>
      <c r="FM639" s="105"/>
      <c r="FN639" s="105"/>
      <c r="FO639" s="105"/>
      <c r="FP639" s="105"/>
      <c r="FQ639" s="105"/>
      <c r="FR639" s="105"/>
      <c r="FS639" s="105"/>
      <c r="FT639" s="105"/>
      <c r="FU639" s="105"/>
      <c r="FV639" s="105"/>
      <c r="FW639" s="105"/>
      <c r="FX639" s="105"/>
      <c r="FY639" s="105"/>
      <c r="FZ639" s="105"/>
      <c r="GA639" s="105"/>
      <c r="GB639" s="105"/>
      <c r="GC639" s="105"/>
      <c r="GD639" s="105"/>
      <c r="GE639" s="105"/>
      <c r="GF639" s="105"/>
      <c r="GG639" s="105"/>
      <c r="GH639" s="105"/>
    </row>
    <row r="640" spans="30:190" ht="6.95" customHeight="1" thickBot="1" x14ac:dyDescent="0.2">
      <c r="AD640" s="212"/>
      <c r="AE640" s="21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100"/>
      <c r="BI640" s="100"/>
      <c r="BJ640" s="100"/>
      <c r="BK640" s="100"/>
      <c r="BL640" s="100"/>
      <c r="BM640" s="100"/>
      <c r="BN640" s="100"/>
      <c r="BO640" s="100"/>
      <c r="BP640" s="101"/>
      <c r="BQ640" s="93"/>
      <c r="BR640" s="93"/>
      <c r="BS640" s="93"/>
      <c r="BT640" s="93"/>
      <c r="BU640" s="93"/>
      <c r="BV640" s="93"/>
      <c r="BW640" s="93"/>
      <c r="BX640" s="93"/>
      <c r="BY640" s="93"/>
      <c r="BZ640" s="93"/>
      <c r="CA640" s="93"/>
      <c r="CB640" s="93"/>
      <c r="CC640" s="93"/>
      <c r="CD640" s="93"/>
      <c r="CE640" s="93"/>
      <c r="CF640" s="93"/>
      <c r="CG640" s="93"/>
      <c r="CH640" s="93"/>
      <c r="CI640" s="93"/>
      <c r="CJ640" s="93"/>
      <c r="CK640" s="93"/>
      <c r="CL640" s="93"/>
      <c r="CM640" s="93"/>
      <c r="CN640" s="93"/>
      <c r="CO640" s="93"/>
      <c r="CP640" s="93"/>
      <c r="CQ640" s="93"/>
      <c r="CR640" s="93"/>
      <c r="CS640" s="93"/>
      <c r="CT640" s="93"/>
      <c r="CU640" s="93"/>
      <c r="CV640" s="93"/>
      <c r="CW640" s="93"/>
      <c r="CX640" s="93"/>
      <c r="CY640" s="93"/>
      <c r="CZ640" s="93"/>
      <c r="DA640" s="93"/>
      <c r="DB640" s="93"/>
      <c r="DC640" s="93"/>
      <c r="DD640" s="93"/>
      <c r="DH640" s="105"/>
      <c r="DI640" s="105"/>
      <c r="DJ640" s="105"/>
      <c r="DK640" s="105"/>
      <c r="DL640" s="105"/>
      <c r="DM640" s="105"/>
      <c r="DN640" s="105"/>
      <c r="DO640" s="105"/>
      <c r="DP640" s="105"/>
      <c r="DQ640" s="105"/>
      <c r="DR640" s="105"/>
      <c r="DS640" s="105"/>
      <c r="DT640" s="105"/>
      <c r="DU640" s="105"/>
      <c r="DV640" s="105"/>
      <c r="DW640" s="105"/>
      <c r="DX640" s="105"/>
      <c r="DY640" s="105"/>
      <c r="DZ640" s="105"/>
      <c r="EA640" s="105"/>
      <c r="EB640" s="105"/>
      <c r="EC640" s="105"/>
      <c r="ED640" s="105"/>
      <c r="EE640" s="105"/>
      <c r="EF640" s="105"/>
      <c r="EG640" s="105"/>
      <c r="EH640" s="105"/>
      <c r="EI640" s="105"/>
      <c r="EJ640" s="105"/>
      <c r="EK640" s="105"/>
      <c r="EL640" s="105"/>
      <c r="EM640" s="105"/>
      <c r="EN640" s="105"/>
      <c r="EO640" s="105"/>
      <c r="EP640" s="105"/>
      <c r="EQ640" s="105"/>
      <c r="ER640" s="105"/>
      <c r="ES640" s="105"/>
      <c r="ET640" s="105"/>
      <c r="EU640" s="105"/>
      <c r="EV640" s="105"/>
      <c r="EW640" s="105"/>
      <c r="EX640" s="105"/>
      <c r="EY640" s="105"/>
      <c r="EZ640" s="105"/>
      <c r="FA640" s="105"/>
      <c r="FB640" s="105"/>
      <c r="FC640" s="105"/>
      <c r="FD640" s="105"/>
      <c r="FE640" s="105"/>
      <c r="FF640" s="105"/>
      <c r="FG640" s="105"/>
      <c r="FH640" s="105"/>
      <c r="FI640" s="105"/>
      <c r="FJ640" s="105"/>
      <c r="FK640" s="105"/>
      <c r="FL640" s="105"/>
      <c r="FM640" s="105"/>
      <c r="FN640" s="105"/>
      <c r="FO640" s="105"/>
      <c r="FP640" s="105"/>
      <c r="FQ640" s="105"/>
      <c r="FR640" s="105"/>
      <c r="FS640" s="105"/>
      <c r="FT640" s="105"/>
      <c r="FU640" s="105"/>
      <c r="FV640" s="105"/>
      <c r="FW640" s="105"/>
      <c r="FX640" s="105"/>
      <c r="FY640" s="105"/>
      <c r="FZ640" s="105"/>
      <c r="GA640" s="105"/>
      <c r="GB640" s="105"/>
      <c r="GC640" s="105"/>
      <c r="GD640" s="105"/>
      <c r="GE640" s="105"/>
      <c r="GF640" s="105"/>
      <c r="GG640" s="105"/>
      <c r="GH640" s="105"/>
    </row>
    <row r="641" spans="30:190" ht="6.95" customHeight="1" x14ac:dyDescent="0.15">
      <c r="AD641" s="52"/>
      <c r="AE641" s="189"/>
      <c r="AF641" s="214" t="s">
        <v>28</v>
      </c>
      <c r="AG641" s="214"/>
      <c r="AH641" s="214"/>
      <c r="AI641" s="214"/>
      <c r="AJ641" s="82"/>
      <c r="AK641" s="82"/>
      <c r="AL641" s="82"/>
      <c r="AM641" s="82"/>
      <c r="AN641" s="82"/>
      <c r="AO641" s="189"/>
      <c r="AP641" s="189"/>
      <c r="AQ641" s="82"/>
      <c r="AR641" s="82"/>
      <c r="AS641" s="82"/>
      <c r="AT641" s="82"/>
      <c r="AU641" s="82"/>
      <c r="AV641" s="82"/>
      <c r="AW641" s="82"/>
      <c r="AX641" s="82"/>
      <c r="AY641" s="197"/>
      <c r="AZ641" s="197"/>
      <c r="BA641" s="197"/>
      <c r="BB641" s="197"/>
      <c r="BC641" s="82"/>
      <c r="BD641" s="82"/>
      <c r="BE641" s="82"/>
      <c r="BF641" s="82"/>
      <c r="BG641" s="82"/>
      <c r="BH641" s="189"/>
      <c r="BI641" s="189"/>
      <c r="BJ641" s="82"/>
      <c r="BK641" s="82"/>
      <c r="BL641" s="82"/>
      <c r="BM641" s="82"/>
      <c r="BN641" s="82"/>
      <c r="BO641" s="82"/>
      <c r="BP641" s="99"/>
      <c r="BQ641" s="93"/>
      <c r="BR641" s="93"/>
      <c r="BS641" s="93"/>
      <c r="BT641" s="93"/>
      <c r="BU641" s="93"/>
      <c r="BV641" s="93"/>
      <c r="BW641" s="93"/>
      <c r="BX641" s="93"/>
      <c r="BY641" s="93"/>
      <c r="BZ641" s="93"/>
      <c r="CA641" s="93"/>
      <c r="CB641" s="93"/>
      <c r="CC641" s="93"/>
      <c r="CD641" s="93"/>
      <c r="CE641" s="93"/>
      <c r="CF641" s="93"/>
      <c r="CG641" s="93"/>
      <c r="CH641" s="93"/>
      <c r="CI641" s="93"/>
      <c r="CJ641" s="93"/>
      <c r="CK641" s="93"/>
      <c r="CL641" s="93"/>
      <c r="CM641" s="93"/>
      <c r="CN641" s="93"/>
      <c r="CO641" s="93"/>
      <c r="CP641" s="93"/>
      <c r="CQ641" s="93"/>
      <c r="CR641" s="93"/>
      <c r="CS641" s="93"/>
      <c r="CT641" s="93"/>
      <c r="CU641" s="93"/>
      <c r="CV641" s="93"/>
      <c r="CW641" s="93"/>
      <c r="CX641" s="93"/>
      <c r="CY641" s="93"/>
      <c r="CZ641" s="93"/>
      <c r="DA641" s="93"/>
      <c r="DB641" s="93"/>
      <c r="DC641" s="93"/>
      <c r="DD641" s="93"/>
      <c r="DH641" s="105"/>
      <c r="DI641" s="105"/>
      <c r="DJ641" s="105"/>
      <c r="DK641" s="105"/>
      <c r="DL641" s="105"/>
      <c r="DM641" s="105"/>
      <c r="DN641" s="105"/>
      <c r="DO641" s="105"/>
      <c r="DP641" s="105"/>
      <c r="DQ641" s="105"/>
      <c r="DR641" s="105"/>
      <c r="DS641" s="105"/>
      <c r="DT641" s="105"/>
      <c r="DU641" s="105"/>
      <c r="DV641" s="105"/>
      <c r="DW641" s="105"/>
      <c r="DX641" s="105"/>
      <c r="DY641" s="105"/>
      <c r="DZ641" s="105"/>
      <c r="EA641" s="105"/>
      <c r="EB641" s="105"/>
      <c r="EC641" s="105"/>
      <c r="ED641" s="105"/>
      <c r="EE641" s="105"/>
      <c r="EF641" s="105"/>
      <c r="EG641" s="105"/>
      <c r="EH641" s="105"/>
      <c r="EI641" s="105"/>
      <c r="EJ641" s="105"/>
      <c r="EK641" s="105"/>
      <c r="EL641" s="105"/>
      <c r="EM641" s="105"/>
      <c r="EN641" s="105"/>
      <c r="EO641" s="105"/>
      <c r="EP641" s="105"/>
      <c r="EQ641" s="105"/>
      <c r="ER641" s="105"/>
      <c r="ES641" s="105"/>
      <c r="ET641" s="105"/>
      <c r="EU641" s="105"/>
      <c r="EV641" s="105"/>
      <c r="EW641" s="105"/>
      <c r="EX641" s="105"/>
      <c r="EY641" s="105"/>
      <c r="EZ641" s="105"/>
      <c r="FA641" s="105"/>
      <c r="FB641" s="105"/>
      <c r="FC641" s="105"/>
      <c r="FD641" s="105"/>
      <c r="FE641" s="105"/>
      <c r="FF641" s="105"/>
      <c r="FG641" s="105"/>
      <c r="FH641" s="105"/>
      <c r="FI641" s="105"/>
      <c r="FJ641" s="105"/>
      <c r="FK641" s="105"/>
      <c r="FL641" s="105"/>
      <c r="FM641" s="105"/>
      <c r="FN641" s="105"/>
      <c r="FO641" s="105"/>
      <c r="FP641" s="105"/>
      <c r="FQ641" s="105"/>
      <c r="FR641" s="105"/>
      <c r="FS641" s="105"/>
      <c r="FT641" s="105"/>
      <c r="FU641" s="105"/>
      <c r="FV641" s="105"/>
      <c r="FW641" s="105"/>
      <c r="FX641" s="105"/>
      <c r="FY641" s="105"/>
      <c r="FZ641" s="105"/>
      <c r="GA641" s="105"/>
      <c r="GB641" s="105"/>
      <c r="GC641" s="105"/>
      <c r="GD641" s="105"/>
      <c r="GE641" s="105"/>
      <c r="GF641" s="105"/>
      <c r="GG641" s="105"/>
      <c r="GH641" s="105"/>
    </row>
    <row r="642" spans="30:190" ht="6.95" customHeight="1" x14ac:dyDescent="0.15">
      <c r="AD642" s="56"/>
      <c r="AE642" s="3"/>
      <c r="AF642" s="197"/>
      <c r="AG642" s="197"/>
      <c r="AH642" s="197"/>
      <c r="AI642" s="197"/>
      <c r="AJ642" s="82"/>
      <c r="AK642" s="197"/>
      <c r="AL642" s="197"/>
      <c r="AM642" s="197"/>
      <c r="AN642" s="197"/>
      <c r="AO642" s="189"/>
      <c r="AP642" s="189"/>
      <c r="AQ642" s="82"/>
      <c r="AR642" s="82"/>
      <c r="AS642" s="82"/>
      <c r="AT642" s="82"/>
      <c r="AU642" s="82"/>
      <c r="AV642" s="82"/>
      <c r="AW642" s="82"/>
      <c r="AX642" s="82"/>
      <c r="AY642" s="197"/>
      <c r="AZ642" s="197"/>
      <c r="BA642" s="197"/>
      <c r="BB642" s="197"/>
      <c r="BC642" s="82"/>
      <c r="BD642" s="106"/>
      <c r="BE642" s="106"/>
      <c r="BF642" s="106"/>
      <c r="BG642" s="106"/>
      <c r="BH642" s="189"/>
      <c r="BI642" s="189"/>
      <c r="BJ642" s="82"/>
      <c r="BK642" s="82"/>
      <c r="BL642" s="82"/>
      <c r="BM642" s="82"/>
      <c r="BN642" s="82"/>
      <c r="BO642" s="82"/>
      <c r="BP642" s="99"/>
      <c r="BQ642" s="93"/>
      <c r="BR642" s="93"/>
      <c r="BS642" s="93"/>
      <c r="BT642" s="93"/>
      <c r="BU642" s="93"/>
      <c r="BV642" s="93"/>
      <c r="BW642" s="93"/>
      <c r="BX642" s="93"/>
      <c r="BY642" s="93"/>
      <c r="BZ642" s="93"/>
      <c r="CA642" s="93"/>
      <c r="CB642" s="93"/>
      <c r="CC642" s="93"/>
      <c r="CD642" s="93"/>
      <c r="CE642" s="93"/>
      <c r="CF642" s="93"/>
      <c r="CG642" s="93"/>
      <c r="CH642" s="93"/>
      <c r="CI642" s="93"/>
      <c r="CJ642" s="93"/>
      <c r="CK642" s="93"/>
      <c r="CL642" s="93"/>
      <c r="CM642" s="93"/>
      <c r="CN642" s="93"/>
      <c r="CO642" s="93"/>
      <c r="CP642" s="93"/>
      <c r="CQ642" s="93"/>
      <c r="CR642" s="93"/>
      <c r="CS642" s="93"/>
      <c r="CT642" s="93"/>
      <c r="CU642" s="93"/>
      <c r="CV642" s="93"/>
      <c r="CW642" s="93"/>
      <c r="CX642" s="93"/>
      <c r="CY642" s="93"/>
      <c r="CZ642" s="93"/>
      <c r="DA642" s="93"/>
      <c r="DB642" s="93"/>
      <c r="DC642" s="93"/>
      <c r="DD642" s="93"/>
      <c r="DH642" s="105"/>
      <c r="DI642" s="105"/>
      <c r="DJ642" s="105"/>
      <c r="DK642" s="105"/>
      <c r="DL642" s="105"/>
      <c r="DM642" s="105"/>
      <c r="DN642" s="105"/>
      <c r="DO642" s="105"/>
      <c r="DP642" s="105"/>
      <c r="DQ642" s="105"/>
      <c r="DR642" s="105"/>
      <c r="DS642" s="105"/>
      <c r="DT642" s="105"/>
      <c r="DU642" s="105"/>
      <c r="DV642" s="105"/>
      <c r="DW642" s="105"/>
      <c r="DX642" s="105"/>
      <c r="DY642" s="105"/>
      <c r="DZ642" s="105"/>
      <c r="EA642" s="105"/>
      <c r="EB642" s="105"/>
      <c r="EC642" s="105"/>
      <c r="ED642" s="105"/>
      <c r="EE642" s="105"/>
      <c r="EF642" s="105"/>
      <c r="EG642" s="105"/>
      <c r="EH642" s="105"/>
      <c r="EI642" s="105"/>
      <c r="EJ642" s="105"/>
      <c r="EK642" s="105"/>
      <c r="EL642" s="105"/>
      <c r="EM642" s="105"/>
      <c r="EN642" s="105"/>
      <c r="EO642" s="105"/>
      <c r="EP642" s="105"/>
      <c r="EQ642" s="105"/>
      <c r="ER642" s="105"/>
      <c r="ES642" s="105"/>
      <c r="ET642" s="105"/>
      <c r="EU642" s="105"/>
      <c r="EV642" s="105"/>
      <c r="EW642" s="105"/>
      <c r="EX642" s="105"/>
      <c r="EY642" s="105"/>
      <c r="EZ642" s="105"/>
      <c r="FA642" s="105"/>
      <c r="FB642" s="105"/>
      <c r="FC642" s="105"/>
      <c r="FD642" s="105"/>
      <c r="FE642" s="105"/>
      <c r="FF642" s="105"/>
      <c r="FG642" s="105"/>
      <c r="FH642" s="105"/>
      <c r="FI642" s="105"/>
      <c r="FJ642" s="105"/>
      <c r="FK642" s="105"/>
      <c r="FL642" s="105"/>
      <c r="FM642" s="105"/>
      <c r="FN642" s="105"/>
      <c r="FO642" s="105"/>
      <c r="FP642" s="105"/>
      <c r="FQ642" s="105"/>
      <c r="FR642" s="105"/>
      <c r="FS642" s="105"/>
      <c r="FT642" s="105"/>
      <c r="FU642" s="105"/>
      <c r="FV642" s="105"/>
      <c r="FW642" s="105"/>
      <c r="FX642" s="105"/>
      <c r="FY642" s="105"/>
      <c r="FZ642" s="105"/>
      <c r="GA642" s="105"/>
      <c r="GB642" s="105"/>
      <c r="GC642" s="105"/>
      <c r="GD642" s="105"/>
      <c r="GE642" s="105"/>
      <c r="GF642" s="105"/>
      <c r="GG642" s="105"/>
      <c r="GH642" s="105"/>
    </row>
    <row r="643" spans="30:190" ht="6.95" customHeight="1" x14ac:dyDescent="0.15">
      <c r="AD643" s="56"/>
      <c r="AE643" s="3"/>
      <c r="AF643" s="85"/>
      <c r="AG643" s="85"/>
      <c r="AH643" s="85"/>
      <c r="AI643" s="85"/>
      <c r="AJ643" s="85"/>
      <c r="AK643" s="197"/>
      <c r="AL643" s="197"/>
      <c r="AM643" s="197"/>
      <c r="AN643" s="197"/>
      <c r="AO643" s="85"/>
      <c r="AP643" s="85"/>
      <c r="AQ643" s="85"/>
      <c r="AR643" s="85"/>
      <c r="AS643" s="85"/>
      <c r="AT643" s="85"/>
      <c r="AU643" s="82"/>
      <c r="AV643" s="82"/>
      <c r="AW643" s="82"/>
      <c r="AX643" s="82"/>
      <c r="AY643" s="85"/>
      <c r="AZ643" s="85"/>
      <c r="BA643" s="85"/>
      <c r="BB643" s="85"/>
      <c r="BC643" s="85"/>
      <c r="BD643" s="106"/>
      <c r="BE643" s="106"/>
      <c r="BF643" s="106"/>
      <c r="BG643" s="106"/>
      <c r="BH643" s="85"/>
      <c r="BI643" s="85"/>
      <c r="BJ643" s="85"/>
      <c r="BK643" s="85"/>
      <c r="BL643" s="85"/>
      <c r="BM643" s="85"/>
      <c r="BN643" s="85"/>
      <c r="BO643" s="85"/>
      <c r="BP643" s="99"/>
      <c r="BQ643" s="93"/>
      <c r="BR643" s="93"/>
      <c r="BS643" s="93"/>
      <c r="BT643" s="93"/>
      <c r="BU643" s="93"/>
      <c r="BV643" s="93"/>
      <c r="BW643" s="93"/>
      <c r="BX643" s="93"/>
      <c r="BY643" s="93"/>
      <c r="BZ643" s="93"/>
      <c r="CA643" s="93"/>
      <c r="CB643" s="93"/>
      <c r="CC643" s="93"/>
      <c r="CD643" s="93"/>
      <c r="CE643" s="93"/>
      <c r="CF643" s="93"/>
      <c r="CG643" s="93"/>
      <c r="CH643" s="93"/>
      <c r="CI643" s="93"/>
      <c r="CJ643" s="93"/>
      <c r="CK643" s="93"/>
      <c r="CL643" s="93"/>
      <c r="CM643" s="93"/>
      <c r="CN643" s="93"/>
      <c r="CO643" s="93"/>
      <c r="CP643" s="93"/>
      <c r="CQ643" s="93"/>
      <c r="CR643" s="93"/>
      <c r="CS643" s="93"/>
      <c r="CT643" s="93"/>
      <c r="CU643" s="93"/>
      <c r="CV643" s="93"/>
      <c r="CW643" s="93"/>
      <c r="CX643" s="93"/>
      <c r="CY643" s="93"/>
      <c r="CZ643" s="93"/>
      <c r="DA643" s="93"/>
      <c r="DB643" s="93"/>
      <c r="DC643" s="93"/>
      <c r="DD643" s="93"/>
      <c r="DH643" s="105"/>
      <c r="DI643" s="105"/>
      <c r="DJ643" s="105"/>
      <c r="DK643" s="105"/>
      <c r="DL643" s="105"/>
      <c r="DM643" s="105"/>
      <c r="DN643" s="105"/>
      <c r="DO643" s="105"/>
      <c r="DP643" s="105"/>
      <c r="DQ643" s="105"/>
      <c r="DR643" s="105"/>
      <c r="DS643" s="105"/>
      <c r="DT643" s="105"/>
      <c r="DU643" s="105"/>
      <c r="DV643" s="105"/>
      <c r="DW643" s="105"/>
      <c r="DX643" s="105"/>
      <c r="DY643" s="105"/>
      <c r="DZ643" s="105"/>
      <c r="EA643" s="105"/>
      <c r="EB643" s="105"/>
      <c r="EC643" s="105"/>
      <c r="ED643" s="105"/>
      <c r="EE643" s="105"/>
      <c r="EF643" s="105"/>
      <c r="EG643" s="105"/>
      <c r="EH643" s="105"/>
      <c r="EI643" s="105"/>
      <c r="EJ643" s="105"/>
      <c r="EK643" s="105"/>
      <c r="EL643" s="105"/>
      <c r="EM643" s="105"/>
      <c r="EN643" s="105"/>
      <c r="EO643" s="105"/>
      <c r="EP643" s="105"/>
      <c r="EQ643" s="105"/>
      <c r="ER643" s="105"/>
      <c r="ES643" s="105"/>
      <c r="ET643" s="105"/>
      <c r="EU643" s="105"/>
      <c r="EV643" s="105"/>
      <c r="EW643" s="105"/>
      <c r="EX643" s="105"/>
      <c r="EY643" s="105"/>
      <c r="EZ643" s="105"/>
      <c r="FA643" s="105"/>
      <c r="FB643" s="105"/>
      <c r="FC643" s="105"/>
      <c r="FD643" s="105"/>
      <c r="FE643" s="105"/>
      <c r="FF643" s="105"/>
      <c r="FG643" s="105"/>
      <c r="FH643" s="105"/>
      <c r="FI643" s="105"/>
      <c r="FJ643" s="105"/>
      <c r="FK643" s="105"/>
      <c r="FL643" s="105"/>
      <c r="FM643" s="105"/>
      <c r="FN643" s="105"/>
      <c r="FO643" s="105"/>
      <c r="FP643" s="105"/>
      <c r="FQ643" s="105"/>
      <c r="FR643" s="105"/>
      <c r="FS643" s="105"/>
      <c r="FT643" s="105"/>
      <c r="FU643" s="105"/>
      <c r="FV643" s="105"/>
      <c r="FW643" s="105"/>
      <c r="FX643" s="105"/>
      <c r="FY643" s="105"/>
      <c r="FZ643" s="105"/>
      <c r="GA643" s="105"/>
      <c r="GB643" s="105"/>
      <c r="GC643" s="105"/>
      <c r="GD643" s="105"/>
      <c r="GE643" s="105"/>
      <c r="GF643" s="105"/>
      <c r="GG643" s="105"/>
      <c r="GH643" s="105"/>
    </row>
    <row r="644" spans="30:190" ht="6.95" customHeight="1" x14ac:dyDescent="0.15">
      <c r="AD644" s="56"/>
      <c r="AE644" s="3"/>
      <c r="AF644" s="199">
        <f>CHOOSE(SUM((AD629&gt;={700,750,800,850,900,950})*1), 565,615,665,715,765,815)</f>
        <v>615</v>
      </c>
      <c r="AG644" s="199"/>
      <c r="AH644" s="199"/>
      <c r="AI644" s="199"/>
      <c r="AJ644" s="3"/>
      <c r="AK644" s="189"/>
      <c r="AL644" s="189"/>
      <c r="AM644" s="85"/>
      <c r="AN644" s="85"/>
      <c r="AO644" s="215"/>
      <c r="AP644" s="215"/>
      <c r="AQ644" s="215"/>
      <c r="AR644" s="215"/>
      <c r="AS644" s="3"/>
      <c r="AT644" s="3"/>
      <c r="AU644" s="189"/>
      <c r="AV644" s="189"/>
      <c r="AW644" s="85"/>
      <c r="AX644" s="215"/>
      <c r="AY644" s="215"/>
      <c r="AZ644" s="215"/>
      <c r="BA644" s="215"/>
      <c r="BB644" s="3"/>
      <c r="BC644" s="3"/>
      <c r="BD644" s="189"/>
      <c r="BE644" s="189"/>
      <c r="BF644" s="85"/>
      <c r="BG644" s="85"/>
      <c r="BH644" s="118"/>
      <c r="BI644" s="118"/>
      <c r="BJ644" s="118"/>
      <c r="BK644" s="118"/>
      <c r="BL644" s="3"/>
      <c r="BM644" s="3"/>
      <c r="BN644" s="3"/>
      <c r="BO644" s="3"/>
      <c r="BP644" s="99"/>
      <c r="BQ644" s="93"/>
      <c r="BR644" s="93"/>
      <c r="BS644" s="93"/>
      <c r="BT644" s="93"/>
      <c r="BU644" s="93"/>
      <c r="BV644" s="93"/>
      <c r="BW644" s="93"/>
      <c r="BX644" s="93"/>
      <c r="BY644" s="93"/>
      <c r="BZ644" s="93"/>
      <c r="CA644" s="93"/>
      <c r="CB644" s="93"/>
      <c r="CC644" s="93"/>
      <c r="CD644" s="93"/>
      <c r="CE644" s="93"/>
      <c r="CF644" s="93"/>
      <c r="CG644" s="93"/>
      <c r="CH644" s="93"/>
      <c r="CI644" s="93"/>
      <c r="CJ644" s="93"/>
      <c r="CK644" s="93"/>
      <c r="CL644" s="93"/>
      <c r="CM644" s="93"/>
      <c r="CN644" s="93"/>
      <c r="CO644" s="93"/>
      <c r="CP644" s="93"/>
      <c r="CQ644" s="93"/>
      <c r="CR644" s="93"/>
      <c r="CS644" s="93"/>
      <c r="CT644" s="93"/>
      <c r="CU644" s="93"/>
      <c r="CV644" s="93"/>
      <c r="CW644" s="93"/>
      <c r="CX644" s="93"/>
      <c r="CY644" s="93"/>
      <c r="CZ644" s="93"/>
      <c r="DA644" s="93"/>
      <c r="DB644" s="93"/>
      <c r="DC644" s="93"/>
      <c r="DD644" s="93"/>
      <c r="DH644" s="105"/>
      <c r="DI644" s="105"/>
      <c r="DJ644" s="105"/>
      <c r="DK644" s="105"/>
      <c r="DL644" s="105"/>
      <c r="DM644" s="105"/>
      <c r="DN644" s="105"/>
      <c r="DO644" s="105"/>
      <c r="DP644" s="105"/>
      <c r="DQ644" s="105"/>
      <c r="DR644" s="105"/>
      <c r="DS644" s="105"/>
      <c r="DT644" s="105"/>
      <c r="DU644" s="105"/>
      <c r="DV644" s="105"/>
      <c r="DW644" s="105"/>
      <c r="DX644" s="105"/>
      <c r="DY644" s="105"/>
      <c r="DZ644" s="105"/>
      <c r="EA644" s="105"/>
      <c r="EB644" s="105"/>
      <c r="EC644" s="105"/>
      <c r="ED644" s="105"/>
      <c r="EE644" s="105"/>
      <c r="EF644" s="105"/>
      <c r="EG644" s="105"/>
      <c r="EH644" s="105"/>
      <c r="EI644" s="105"/>
      <c r="EJ644" s="105"/>
      <c r="EK644" s="105"/>
      <c r="EL644" s="105"/>
      <c r="EM644" s="105"/>
      <c r="EN644" s="105"/>
      <c r="EO644" s="105"/>
      <c r="EP644" s="105"/>
      <c r="EQ644" s="105"/>
      <c r="ER644" s="105"/>
      <c r="ES644" s="105"/>
      <c r="ET644" s="105"/>
      <c r="EU644" s="105"/>
      <c r="EV644" s="105"/>
      <c r="EW644" s="105"/>
      <c r="EX644" s="105"/>
      <c r="EY644" s="105"/>
      <c r="EZ644" s="105"/>
      <c r="FA644" s="105"/>
      <c r="FB644" s="105"/>
      <c r="FC644" s="105"/>
      <c r="FD644" s="105"/>
      <c r="FE644" s="105"/>
      <c r="FF644" s="105"/>
      <c r="FG644" s="105"/>
      <c r="FH644" s="105"/>
      <c r="FI644" s="105"/>
      <c r="FJ644" s="105"/>
      <c r="FK644" s="105"/>
      <c r="FL644" s="105"/>
      <c r="FM644" s="105"/>
      <c r="FN644" s="105"/>
      <c r="FO644" s="105"/>
      <c r="FP644" s="105"/>
      <c r="FQ644" s="105"/>
      <c r="FR644" s="105"/>
      <c r="FS644" s="105"/>
      <c r="FT644" s="105"/>
      <c r="FU644" s="105"/>
      <c r="FV644" s="105"/>
      <c r="FW644" s="105"/>
      <c r="FX644" s="105"/>
      <c r="FY644" s="105"/>
      <c r="FZ644" s="105"/>
      <c r="GA644" s="105"/>
      <c r="GB644" s="105"/>
      <c r="GC644" s="105"/>
      <c r="GD644" s="105"/>
      <c r="GE644" s="105"/>
      <c r="GF644" s="105"/>
      <c r="GG644" s="105"/>
      <c r="GH644" s="105"/>
    </row>
    <row r="645" spans="30:190" ht="6.95" customHeight="1" x14ac:dyDescent="0.15">
      <c r="AD645" s="56"/>
      <c r="AE645" s="3"/>
      <c r="AF645" s="199"/>
      <c r="AG645" s="199"/>
      <c r="AH645" s="199"/>
      <c r="AI645" s="199"/>
      <c r="AJ645" s="3"/>
      <c r="AK645" s="4"/>
      <c r="AL645" s="4"/>
      <c r="AM645" s="85"/>
      <c r="AN645" s="85"/>
      <c r="AO645" s="215"/>
      <c r="AP645" s="215"/>
      <c r="AQ645" s="215"/>
      <c r="AR645" s="215"/>
      <c r="AS645" s="3"/>
      <c r="AT645" s="3"/>
      <c r="AU645" s="4"/>
      <c r="AV645" s="4"/>
      <c r="AW645" s="85"/>
      <c r="AX645" s="215"/>
      <c r="AY645" s="215"/>
      <c r="AZ645" s="215"/>
      <c r="BA645" s="215"/>
      <c r="BB645" s="3"/>
      <c r="BC645" s="3"/>
      <c r="BD645" s="4"/>
      <c r="BE645" s="4"/>
      <c r="BF645" s="85"/>
      <c r="BG645" s="85"/>
      <c r="BH645" s="118"/>
      <c r="BI645" s="118"/>
      <c r="BJ645" s="118"/>
      <c r="BK645" s="118"/>
      <c r="BL645" s="3"/>
      <c r="BM645" s="3"/>
      <c r="BN645" s="3"/>
      <c r="BO645" s="3"/>
      <c r="BP645" s="99"/>
      <c r="BQ645" s="93"/>
      <c r="BR645" s="93"/>
      <c r="BS645" s="93"/>
      <c r="BT645" s="93"/>
      <c r="BU645" s="93"/>
      <c r="BV645" s="93"/>
      <c r="BW645" s="93"/>
      <c r="BX645" s="93"/>
      <c r="BY645" s="93"/>
      <c r="BZ645" s="93"/>
      <c r="CA645" s="93"/>
      <c r="CB645" s="93"/>
      <c r="CC645" s="93"/>
      <c r="CD645" s="93"/>
      <c r="CE645" s="93"/>
      <c r="CF645" s="93"/>
      <c r="CG645" s="93"/>
      <c r="CH645" s="93"/>
      <c r="CI645" s="93"/>
      <c r="CJ645" s="93"/>
      <c r="CK645" s="93"/>
      <c r="CL645" s="93"/>
      <c r="CM645" s="93"/>
      <c r="CN645" s="93"/>
      <c r="CO645" s="93"/>
      <c r="CP645" s="93"/>
      <c r="CQ645" s="93"/>
      <c r="CR645" s="93"/>
      <c r="CS645" s="93"/>
      <c r="CT645" s="93"/>
      <c r="CU645" s="93"/>
      <c r="CV645" s="93"/>
      <c r="CW645" s="93"/>
      <c r="CX645" s="93"/>
      <c r="CY645" s="93"/>
      <c r="CZ645" s="93"/>
      <c r="DA645" s="93"/>
      <c r="DB645" s="93"/>
      <c r="DC645" s="93"/>
      <c r="DD645" s="93"/>
      <c r="DH645" s="105"/>
      <c r="DI645" s="105"/>
      <c r="DJ645" s="105"/>
      <c r="DK645" s="105"/>
      <c r="DL645" s="105"/>
      <c r="DM645" s="105"/>
      <c r="DN645" s="105"/>
      <c r="DO645" s="105"/>
      <c r="DP645" s="105"/>
      <c r="DQ645" s="105"/>
      <c r="DR645" s="105"/>
      <c r="DS645" s="105"/>
      <c r="DT645" s="105"/>
      <c r="DU645" s="105"/>
      <c r="DV645" s="105"/>
      <c r="DW645" s="105"/>
      <c r="DX645" s="105"/>
      <c r="DY645" s="105"/>
      <c r="DZ645" s="105"/>
      <c r="EA645" s="105"/>
      <c r="EB645" s="105"/>
      <c r="EC645" s="105"/>
      <c r="ED645" s="105"/>
      <c r="EE645" s="105"/>
      <c r="EF645" s="105"/>
      <c r="EG645" s="105"/>
      <c r="EH645" s="105"/>
      <c r="EI645" s="105"/>
      <c r="EJ645" s="105"/>
      <c r="EK645" s="105"/>
      <c r="EL645" s="105"/>
      <c r="EM645" s="105"/>
      <c r="EN645" s="105"/>
      <c r="EO645" s="105"/>
      <c r="EP645" s="105"/>
      <c r="EQ645" s="105"/>
      <c r="ER645" s="105"/>
      <c r="ES645" s="105"/>
      <c r="ET645" s="105"/>
      <c r="EU645" s="105"/>
      <c r="EV645" s="105"/>
      <c r="EW645" s="105"/>
      <c r="EX645" s="105"/>
      <c r="EY645" s="105"/>
      <c r="EZ645" s="105"/>
      <c r="FA645" s="105"/>
      <c r="FB645" s="105"/>
      <c r="FC645" s="105"/>
      <c r="FD645" s="105"/>
      <c r="FE645" s="105"/>
      <c r="FF645" s="105"/>
      <c r="FG645" s="105"/>
      <c r="FH645" s="105"/>
      <c r="FI645" s="105"/>
      <c r="FJ645" s="105"/>
      <c r="FK645" s="105"/>
      <c r="FL645" s="105"/>
      <c r="FM645" s="105"/>
      <c r="FN645" s="105"/>
      <c r="FO645" s="105"/>
      <c r="FP645" s="105"/>
      <c r="FQ645" s="105"/>
      <c r="FR645" s="105"/>
      <c r="FS645" s="105"/>
      <c r="FT645" s="105"/>
      <c r="FU645" s="105"/>
      <c r="FV645" s="105"/>
      <c r="FW645" s="105"/>
      <c r="FX645" s="105"/>
      <c r="FY645" s="105"/>
      <c r="FZ645" s="105"/>
      <c r="GA645" s="105"/>
      <c r="GB645" s="105"/>
      <c r="GC645" s="105"/>
      <c r="GD645" s="105"/>
      <c r="GE645" s="105"/>
      <c r="GF645" s="105"/>
      <c r="GG645" s="105"/>
      <c r="GH645" s="105"/>
    </row>
    <row r="646" spans="30:190" ht="6.95" customHeight="1" x14ac:dyDescent="0.15">
      <c r="AD646" s="56"/>
      <c r="AE646" s="3"/>
      <c r="AF646" s="3"/>
      <c r="AG646" s="3"/>
      <c r="AH646" s="3"/>
      <c r="AI646" s="3"/>
      <c r="AJ646" s="3"/>
      <c r="AK646" s="4"/>
      <c r="AL646" s="4"/>
      <c r="AM646" s="84"/>
      <c r="AN646" s="84"/>
      <c r="AO646" s="200"/>
      <c r="AP646" s="200"/>
      <c r="AQ646" s="200"/>
      <c r="AR646" s="200"/>
      <c r="AS646" s="3"/>
      <c r="AT646" s="3"/>
      <c r="AU646" s="4"/>
      <c r="AV646" s="4"/>
      <c r="AW646" s="84"/>
      <c r="AX646" s="200"/>
      <c r="AY646" s="200"/>
      <c r="AZ646" s="200"/>
      <c r="BA646" s="200"/>
      <c r="BB646" s="3"/>
      <c r="BC646" s="3"/>
      <c r="BD646" s="4"/>
      <c r="BE646" s="4"/>
      <c r="BF646" s="84"/>
      <c r="BG646" s="84"/>
      <c r="BH646" s="107"/>
      <c r="BI646" s="107"/>
      <c r="BJ646" s="107"/>
      <c r="BK646" s="107"/>
      <c r="BL646" s="3"/>
      <c r="BM646" s="3"/>
      <c r="BN646" s="3"/>
      <c r="BO646" s="3"/>
      <c r="BP646" s="99"/>
      <c r="BQ646" s="93"/>
      <c r="BR646" s="93"/>
      <c r="BS646" s="93"/>
      <c r="BT646" s="93"/>
      <c r="BU646" s="93"/>
      <c r="BV646" s="93"/>
      <c r="BW646" s="93"/>
      <c r="BX646" s="93"/>
      <c r="BY646" s="93"/>
      <c r="BZ646" s="93"/>
      <c r="CA646" s="93"/>
      <c r="CB646" s="93"/>
      <c r="CC646" s="93"/>
      <c r="CD646" s="93"/>
      <c r="CE646" s="93"/>
      <c r="CF646" s="93"/>
      <c r="CG646" s="93"/>
      <c r="CH646" s="93"/>
      <c r="CI646" s="93"/>
      <c r="CJ646" s="93"/>
      <c r="CK646" s="93"/>
      <c r="CL646" s="93"/>
      <c r="CM646" s="93"/>
      <c r="CN646" s="93"/>
      <c r="CO646" s="93"/>
      <c r="CP646" s="93"/>
      <c r="CQ646" s="93"/>
      <c r="CR646" s="93"/>
      <c r="CS646" s="93"/>
      <c r="CT646" s="93"/>
      <c r="CU646" s="93"/>
      <c r="CV646" s="93"/>
      <c r="CW646" s="93"/>
      <c r="CX646" s="93"/>
      <c r="CY646" s="93"/>
      <c r="CZ646" s="93"/>
      <c r="DA646" s="93"/>
      <c r="DB646" s="93"/>
      <c r="DC646" s="93"/>
      <c r="DD646" s="93"/>
      <c r="DH646" s="105"/>
      <c r="DI646" s="105"/>
      <c r="DJ646" s="105"/>
      <c r="DK646" s="105"/>
      <c r="DL646" s="105"/>
      <c r="DM646" s="105"/>
      <c r="DN646" s="105"/>
      <c r="DO646" s="105"/>
      <c r="DP646" s="105"/>
      <c r="DQ646" s="105"/>
      <c r="DR646" s="105"/>
      <c r="DS646" s="105"/>
      <c r="DT646" s="105"/>
      <c r="DU646" s="105"/>
      <c r="DV646" s="105"/>
      <c r="DW646" s="105"/>
      <c r="DX646" s="105"/>
      <c r="DY646" s="105"/>
      <c r="DZ646" s="105"/>
      <c r="EA646" s="105"/>
      <c r="EB646" s="105"/>
      <c r="EC646" s="105"/>
      <c r="ED646" s="105"/>
      <c r="EE646" s="105"/>
      <c r="EF646" s="105"/>
      <c r="EG646" s="105"/>
      <c r="EH646" s="105"/>
      <c r="EI646" s="105"/>
      <c r="EJ646" s="105"/>
      <c r="EK646" s="105"/>
      <c r="EL646" s="105"/>
      <c r="EM646" s="105"/>
      <c r="EN646" s="105"/>
      <c r="EO646" s="105"/>
      <c r="EP646" s="105"/>
      <c r="EQ646" s="105"/>
      <c r="ER646" s="105"/>
      <c r="ES646" s="105"/>
      <c r="ET646" s="105"/>
      <c r="EU646" s="105"/>
      <c r="EV646" s="105"/>
      <c r="EW646" s="105"/>
      <c r="EX646" s="105"/>
      <c r="EY646" s="105"/>
      <c r="EZ646" s="105"/>
      <c r="FA646" s="105"/>
      <c r="FB646" s="105"/>
      <c r="FC646" s="105"/>
      <c r="FD646" s="105"/>
      <c r="FE646" s="105"/>
      <c r="FF646" s="105"/>
      <c r="FG646" s="105"/>
      <c r="FH646" s="105"/>
      <c r="FI646" s="105"/>
      <c r="FJ646" s="105"/>
      <c r="FK646" s="105"/>
      <c r="FL646" s="105"/>
      <c r="FM646" s="105"/>
      <c r="FN646" s="105"/>
      <c r="FO646" s="105"/>
      <c r="FP646" s="105"/>
      <c r="FQ646" s="105"/>
      <c r="FR646" s="105"/>
      <c r="FS646" s="105"/>
      <c r="FT646" s="105"/>
      <c r="FU646" s="105"/>
      <c r="FV646" s="105"/>
      <c r="FW646" s="105"/>
      <c r="FX646" s="105"/>
      <c r="FY646" s="105"/>
      <c r="FZ646" s="105"/>
      <c r="GA646" s="105"/>
      <c r="GB646" s="105"/>
      <c r="GC646" s="105"/>
      <c r="GD646" s="105"/>
      <c r="GE646" s="105"/>
      <c r="GF646" s="105"/>
      <c r="GG646" s="105"/>
      <c r="GH646" s="105"/>
    </row>
    <row r="647" spans="30:190" ht="6.95" customHeight="1" x14ac:dyDescent="0.15">
      <c r="AD647" s="56"/>
      <c r="AE647" s="3"/>
      <c r="AF647" s="3"/>
      <c r="AG647" s="3"/>
      <c r="AH647" s="3"/>
      <c r="AI647" s="3"/>
      <c r="AJ647" s="84"/>
      <c r="AK647" s="200"/>
      <c r="AL647" s="200"/>
      <c r="AM647" s="200"/>
      <c r="AN647" s="200"/>
      <c r="AO647" s="200"/>
      <c r="AP647" s="200"/>
      <c r="AQ647" s="200"/>
      <c r="AR647" s="200"/>
      <c r="AS647" s="84"/>
      <c r="AT647" s="84"/>
      <c r="AU647" s="84"/>
      <c r="AV647" s="84"/>
      <c r="AW647" s="84"/>
      <c r="AX647" s="200"/>
      <c r="AY647" s="200"/>
      <c r="AZ647" s="200"/>
      <c r="BA647" s="200"/>
      <c r="BB647" s="3"/>
      <c r="BC647" s="84"/>
      <c r="BD647" s="107"/>
      <c r="BE647" s="107"/>
      <c r="BF647" s="107"/>
      <c r="BG647" s="107"/>
      <c r="BH647" s="107"/>
      <c r="BI647" s="107"/>
      <c r="BJ647" s="107"/>
      <c r="BK647" s="107"/>
      <c r="BL647" s="84"/>
      <c r="BM647" s="84"/>
      <c r="BN647" s="3"/>
      <c r="BO647" s="84"/>
      <c r="BP647" s="99"/>
      <c r="BQ647" s="93"/>
      <c r="BR647" s="93"/>
      <c r="BS647" s="93"/>
      <c r="BT647" s="93"/>
      <c r="BU647" s="93"/>
      <c r="BV647" s="93"/>
      <c r="BW647" s="93"/>
      <c r="BX647" s="93"/>
      <c r="BY647" s="93"/>
      <c r="BZ647" s="93"/>
      <c r="CA647" s="93"/>
      <c r="CB647" s="93"/>
      <c r="CC647" s="93"/>
      <c r="CD647" s="93"/>
      <c r="CE647" s="93"/>
      <c r="CF647" s="93"/>
      <c r="CG647" s="93"/>
      <c r="CH647" s="93"/>
      <c r="CI647" s="93"/>
      <c r="CJ647" s="93"/>
      <c r="CK647" s="93"/>
      <c r="CL647" s="93"/>
      <c r="CM647" s="93"/>
      <c r="CN647" s="93"/>
      <c r="CO647" s="93"/>
      <c r="CP647" s="93"/>
      <c r="CQ647" s="93"/>
      <c r="CR647" s="93"/>
      <c r="CS647" s="93"/>
      <c r="CT647" s="93"/>
      <c r="CU647" s="93"/>
      <c r="CV647" s="93"/>
      <c r="CW647" s="93"/>
      <c r="CX647" s="93"/>
      <c r="CY647" s="93"/>
      <c r="CZ647" s="93"/>
      <c r="DA647" s="93"/>
      <c r="DB647" s="93"/>
      <c r="DC647" s="93"/>
      <c r="DD647" s="93"/>
      <c r="DH647" s="105"/>
      <c r="DI647" s="105"/>
      <c r="DJ647" s="105"/>
      <c r="DK647" s="105"/>
      <c r="DL647" s="105"/>
      <c r="DM647" s="105"/>
      <c r="DN647" s="105"/>
      <c r="DO647" s="105"/>
      <c r="DP647" s="105"/>
      <c r="DQ647" s="105"/>
      <c r="DR647" s="105"/>
      <c r="DS647" s="105"/>
      <c r="DT647" s="105"/>
      <c r="DU647" s="105"/>
      <c r="DV647" s="105"/>
      <c r="DW647" s="105"/>
      <c r="DX647" s="105"/>
      <c r="DY647" s="105"/>
      <c r="DZ647" s="105"/>
      <c r="EA647" s="105"/>
      <c r="EB647" s="105"/>
      <c r="EC647" s="105"/>
      <c r="ED647" s="105"/>
      <c r="EE647" s="105"/>
      <c r="EF647" s="105"/>
      <c r="EG647" s="105"/>
      <c r="EH647" s="105"/>
      <c r="EI647" s="105"/>
      <c r="EJ647" s="105"/>
      <c r="EK647" s="105"/>
      <c r="EL647" s="105"/>
      <c r="EM647" s="105"/>
      <c r="EN647" s="105"/>
      <c r="EO647" s="105"/>
      <c r="EP647" s="105"/>
      <c r="EQ647" s="105"/>
      <c r="ER647" s="105"/>
      <c r="ES647" s="105"/>
      <c r="ET647" s="105"/>
      <c r="EU647" s="105"/>
      <c r="EV647" s="105"/>
      <c r="EW647" s="105"/>
      <c r="EX647" s="105"/>
      <c r="EY647" s="105"/>
      <c r="EZ647" s="105"/>
      <c r="FA647" s="105"/>
      <c r="FB647" s="105"/>
      <c r="FC647" s="105"/>
      <c r="FD647" s="105"/>
      <c r="FE647" s="105"/>
      <c r="FF647" s="105"/>
      <c r="FG647" s="105"/>
      <c r="FH647" s="105"/>
      <c r="FI647" s="105"/>
      <c r="FJ647" s="105"/>
      <c r="FK647" s="105"/>
      <c r="FL647" s="105"/>
      <c r="FM647" s="105"/>
      <c r="FN647" s="105"/>
      <c r="FO647" s="105"/>
      <c r="FP647" s="105"/>
      <c r="FQ647" s="105"/>
      <c r="FR647" s="105"/>
      <c r="FS647" s="105"/>
      <c r="FT647" s="105"/>
      <c r="FU647" s="105"/>
      <c r="FV647" s="105"/>
      <c r="FW647" s="105"/>
      <c r="FX647" s="105"/>
      <c r="FY647" s="105"/>
      <c r="FZ647" s="105"/>
      <c r="GA647" s="105"/>
      <c r="GB647" s="105"/>
      <c r="GC647" s="105"/>
      <c r="GD647" s="105"/>
      <c r="GE647" s="105"/>
      <c r="GF647" s="105"/>
      <c r="GG647" s="105"/>
      <c r="GH647" s="105"/>
    </row>
    <row r="648" spans="30:190" ht="6.95" customHeight="1" x14ac:dyDescent="0.15">
      <c r="AD648" s="56"/>
      <c r="AE648" s="3"/>
      <c r="AF648" s="3"/>
      <c r="AG648" s="3"/>
      <c r="AH648" s="3"/>
      <c r="AI648" s="3"/>
      <c r="AJ648" s="84"/>
      <c r="AK648" s="200"/>
      <c r="AL648" s="200"/>
      <c r="AM648" s="200"/>
      <c r="AN648" s="200"/>
      <c r="AO648" s="196" t="s">
        <v>42</v>
      </c>
      <c r="AP648" s="196"/>
      <c r="AQ648" s="196"/>
      <c r="AR648" s="196">
        <v>4</v>
      </c>
      <c r="AS648" s="196"/>
      <c r="AT648" s="196" t="s">
        <v>43</v>
      </c>
      <c r="AU648" s="196"/>
      <c r="AV648" s="196"/>
      <c r="AW648" s="84"/>
      <c r="AX648" s="84"/>
      <c r="AY648" s="3"/>
      <c r="AZ648" s="3"/>
      <c r="BA648" s="3"/>
      <c r="BB648" s="3"/>
      <c r="BC648" s="84"/>
      <c r="BD648" s="107"/>
      <c r="BE648" s="107"/>
      <c r="BF648" s="107"/>
      <c r="BG648" s="107"/>
      <c r="BH648" s="196"/>
      <c r="BI648" s="196"/>
      <c r="BJ648" s="196"/>
      <c r="BK648" s="196"/>
      <c r="BL648" s="196"/>
      <c r="BM648" s="196"/>
      <c r="BN648" s="196"/>
      <c r="BO648" s="196"/>
      <c r="BP648" s="99"/>
      <c r="BQ648" s="93"/>
      <c r="BR648" s="93"/>
      <c r="BS648" s="93"/>
      <c r="BT648" s="93"/>
      <c r="BU648" s="93"/>
      <c r="BV648" s="93"/>
      <c r="BW648" s="93"/>
      <c r="BX648" s="93"/>
      <c r="BY648" s="93"/>
      <c r="BZ648" s="93"/>
      <c r="CA648" s="93"/>
      <c r="CB648" s="93"/>
      <c r="CC648" s="93"/>
      <c r="CD648" s="93"/>
      <c r="CE648" s="93"/>
      <c r="CF648" s="93"/>
      <c r="CG648" s="93"/>
      <c r="CH648" s="93"/>
      <c r="CI648" s="93"/>
      <c r="CJ648" s="93"/>
      <c r="CK648" s="93"/>
      <c r="CL648" s="93"/>
      <c r="CM648" s="93"/>
      <c r="CN648" s="93"/>
      <c r="CO648" s="93"/>
      <c r="CP648" s="93"/>
      <c r="CQ648" s="93"/>
      <c r="CR648" s="93"/>
      <c r="CS648" s="93"/>
      <c r="CT648" s="93"/>
      <c r="CU648" s="93"/>
      <c r="CV648" s="93"/>
      <c r="CW648" s="93"/>
      <c r="CX648" s="93"/>
      <c r="CY648" s="93"/>
      <c r="CZ648" s="93"/>
      <c r="DA648" s="93"/>
      <c r="DB648" s="93"/>
      <c r="DC648" s="93"/>
      <c r="DD648" s="93"/>
      <c r="DH648" s="105"/>
      <c r="DI648" s="105"/>
      <c r="DJ648" s="105"/>
      <c r="DK648" s="105"/>
      <c r="DL648" s="105"/>
      <c r="DM648" s="105"/>
      <c r="DN648" s="105"/>
      <c r="DO648" s="105"/>
      <c r="DP648" s="105"/>
      <c r="DQ648" s="105"/>
      <c r="DR648" s="105"/>
      <c r="DS648" s="105"/>
      <c r="DT648" s="105"/>
      <c r="DU648" s="105"/>
      <c r="DV648" s="105"/>
      <c r="DW648" s="105"/>
      <c r="DX648" s="105"/>
      <c r="DY648" s="105"/>
      <c r="DZ648" s="105"/>
      <c r="EA648" s="105"/>
      <c r="EB648" s="105"/>
      <c r="EC648" s="105"/>
      <c r="ED648" s="105"/>
      <c r="EE648" s="105"/>
      <c r="EF648" s="105"/>
      <c r="EG648" s="105"/>
      <c r="EH648" s="105"/>
      <c r="EI648" s="105"/>
      <c r="EJ648" s="105"/>
      <c r="EK648" s="105"/>
      <c r="EL648" s="105"/>
      <c r="EM648" s="105"/>
      <c r="EN648" s="105"/>
      <c r="EO648" s="105"/>
      <c r="EP648" s="105"/>
      <c r="EQ648" s="105"/>
      <c r="ER648" s="105"/>
      <c r="ES648" s="105"/>
      <c r="ET648" s="105"/>
      <c r="EU648" s="105"/>
      <c r="EV648" s="105"/>
      <c r="EW648" s="105"/>
      <c r="EX648" s="105"/>
      <c r="EY648" s="105"/>
      <c r="EZ648" s="105"/>
      <c r="FA648" s="105"/>
      <c r="FB648" s="105"/>
      <c r="FC648" s="105"/>
      <c r="FD648" s="105"/>
      <c r="FE648" s="105"/>
      <c r="FF648" s="105"/>
      <c r="FG648" s="105"/>
      <c r="FH648" s="105"/>
      <c r="FI648" s="105"/>
      <c r="FJ648" s="105"/>
      <c r="FK648" s="105"/>
      <c r="FL648" s="105"/>
      <c r="FM648" s="105"/>
      <c r="FN648" s="105"/>
      <c r="FO648" s="105"/>
      <c r="FP648" s="105"/>
      <c r="FQ648" s="105"/>
      <c r="FR648" s="105"/>
      <c r="FS648" s="105"/>
      <c r="FT648" s="105"/>
      <c r="FU648" s="105"/>
      <c r="FV648" s="105"/>
      <c r="FW648" s="105"/>
      <c r="FX648" s="105"/>
      <c r="FY648" s="105"/>
      <c r="FZ648" s="105"/>
      <c r="GA648" s="105"/>
      <c r="GB648" s="105"/>
      <c r="GC648" s="105"/>
      <c r="GD648" s="105"/>
      <c r="GE648" s="105"/>
      <c r="GF648" s="105"/>
      <c r="GG648" s="105"/>
      <c r="GH648" s="105"/>
    </row>
    <row r="649" spans="30:190" ht="6.95" customHeight="1" x14ac:dyDescent="0.15">
      <c r="AD649" s="52"/>
      <c r="AE649" s="189"/>
      <c r="AF649" s="189"/>
      <c r="AG649" s="189"/>
      <c r="AH649" s="189"/>
      <c r="AI649" s="189"/>
      <c r="AJ649" s="189"/>
      <c r="AK649" s="189"/>
      <c r="AL649" s="88"/>
      <c r="AM649" s="88"/>
      <c r="AN649" s="88"/>
      <c r="AO649" s="196"/>
      <c r="AP649" s="196"/>
      <c r="AQ649" s="196"/>
      <c r="AR649" s="196"/>
      <c r="AS649" s="196"/>
      <c r="AT649" s="196"/>
      <c r="AU649" s="196"/>
      <c r="AV649" s="196"/>
      <c r="AW649" s="88"/>
      <c r="AX649" s="88"/>
      <c r="AY649" s="189"/>
      <c r="AZ649" s="189"/>
      <c r="BA649" s="189"/>
      <c r="BB649" s="189"/>
      <c r="BC649" s="189"/>
      <c r="BD649" s="189"/>
      <c r="BE649" s="88"/>
      <c r="BF649" s="88"/>
      <c r="BG649" s="88"/>
      <c r="BH649" s="196"/>
      <c r="BI649" s="196"/>
      <c r="BJ649" s="196"/>
      <c r="BK649" s="196"/>
      <c r="BL649" s="196"/>
      <c r="BM649" s="196"/>
      <c r="BN649" s="196"/>
      <c r="BO649" s="196"/>
      <c r="BP649" s="99"/>
      <c r="BQ649" s="93"/>
      <c r="BR649" s="93"/>
      <c r="BS649" s="93"/>
      <c r="BT649" s="93"/>
      <c r="BU649" s="93"/>
      <c r="BV649" s="93"/>
      <c r="BW649" s="93"/>
      <c r="BX649" s="93"/>
      <c r="BY649" s="93"/>
      <c r="BZ649" s="93"/>
      <c r="CA649" s="93"/>
      <c r="CB649" s="93"/>
      <c r="CC649" s="93"/>
      <c r="CD649" s="93"/>
      <c r="CE649" s="93"/>
      <c r="CF649" s="93"/>
      <c r="CG649" s="93"/>
      <c r="CH649" s="93"/>
      <c r="CI649" s="93"/>
      <c r="CJ649" s="93"/>
      <c r="CK649" s="93"/>
      <c r="CL649" s="93"/>
      <c r="CM649" s="93"/>
      <c r="CN649" s="93"/>
      <c r="CO649" s="93"/>
      <c r="CP649" s="93"/>
      <c r="CQ649" s="93"/>
      <c r="CR649" s="93"/>
      <c r="CS649" s="93"/>
      <c r="CT649" s="93"/>
      <c r="CU649" s="93"/>
      <c r="CV649" s="93"/>
      <c r="CW649" s="93"/>
      <c r="CX649" s="93"/>
      <c r="CY649" s="93"/>
      <c r="CZ649" s="93"/>
      <c r="DA649" s="93"/>
      <c r="DB649" s="93"/>
      <c r="DC649" s="93"/>
      <c r="DD649" s="93"/>
      <c r="DH649" s="105"/>
      <c r="DI649" s="105"/>
      <c r="DJ649" s="105"/>
      <c r="DK649" s="105"/>
      <c r="DL649" s="105"/>
      <c r="DM649" s="105"/>
      <c r="DN649" s="105"/>
      <c r="DO649" s="105"/>
      <c r="DP649" s="105"/>
      <c r="DQ649" s="105"/>
      <c r="DR649" s="105"/>
      <c r="DS649" s="105"/>
      <c r="DT649" s="105"/>
      <c r="DU649" s="105"/>
      <c r="DV649" s="105"/>
      <c r="DW649" s="105"/>
      <c r="DX649" s="105"/>
      <c r="DY649" s="105"/>
      <c r="DZ649" s="105"/>
      <c r="EA649" s="105"/>
      <c r="EB649" s="105"/>
      <c r="EC649" s="105"/>
      <c r="ED649" s="105"/>
      <c r="EE649" s="105"/>
      <c r="EF649" s="105"/>
      <c r="EG649" s="105"/>
      <c r="EH649" s="105"/>
      <c r="EI649" s="105"/>
      <c r="EJ649" s="105"/>
      <c r="EK649" s="105"/>
      <c r="EL649" s="105"/>
      <c r="EM649" s="105"/>
      <c r="EN649" s="105"/>
      <c r="EO649" s="105"/>
      <c r="EP649" s="105"/>
      <c r="EQ649" s="105"/>
      <c r="ER649" s="105"/>
      <c r="ES649" s="105"/>
      <c r="ET649" s="105"/>
      <c r="EU649" s="105"/>
      <c r="EV649" s="105"/>
      <c r="EW649" s="105"/>
      <c r="EX649" s="105"/>
      <c r="EY649" s="105"/>
      <c r="EZ649" s="105"/>
      <c r="FA649" s="105"/>
      <c r="FB649" s="105"/>
      <c r="FC649" s="105"/>
      <c r="FD649" s="105"/>
      <c r="FE649" s="105"/>
      <c r="FF649" s="105"/>
      <c r="FG649" s="105"/>
      <c r="FH649" s="105"/>
      <c r="FI649" s="105"/>
      <c r="FJ649" s="105"/>
      <c r="FK649" s="105"/>
      <c r="FL649" s="105"/>
      <c r="FM649" s="105"/>
      <c r="FN649" s="105"/>
      <c r="FO649" s="105"/>
      <c r="FP649" s="105"/>
      <c r="FQ649" s="105"/>
      <c r="FR649" s="105"/>
      <c r="FS649" s="105"/>
      <c r="FT649" s="105"/>
      <c r="FU649" s="105"/>
      <c r="FV649" s="105"/>
      <c r="FW649" s="105"/>
      <c r="FX649" s="105"/>
      <c r="FY649" s="105"/>
      <c r="FZ649" s="105"/>
      <c r="GA649" s="105"/>
      <c r="GB649" s="105"/>
      <c r="GC649" s="105"/>
      <c r="GD649" s="105"/>
      <c r="GE649" s="105"/>
      <c r="GF649" s="105"/>
      <c r="GG649" s="105"/>
      <c r="GH649" s="105"/>
    </row>
    <row r="650" spans="30:190" ht="6.95" customHeight="1" x14ac:dyDescent="0.15">
      <c r="AD650" s="83"/>
      <c r="AE650" s="82"/>
      <c r="AF650" s="197" t="s">
        <v>28</v>
      </c>
      <c r="AG650" s="197"/>
      <c r="AH650" s="197"/>
      <c r="AI650" s="197"/>
      <c r="AJ650" s="82"/>
      <c r="AK650" s="82"/>
      <c r="AL650" s="82"/>
      <c r="AM650" s="189"/>
      <c r="AN650" s="189"/>
      <c r="AO650" s="189"/>
      <c r="AP650" s="189"/>
      <c r="AQ650" s="189"/>
      <c r="AR650" s="189"/>
      <c r="AS650" s="189"/>
      <c r="AT650" s="189"/>
      <c r="AU650" s="3"/>
      <c r="AV650" s="82"/>
      <c r="AW650" s="88"/>
      <c r="AX650" s="88"/>
      <c r="AY650" s="197" t="s">
        <v>27</v>
      </c>
      <c r="AZ650" s="197"/>
      <c r="BA650" s="197"/>
      <c r="BB650" s="197"/>
      <c r="BC650" s="82"/>
      <c r="BD650" s="82"/>
      <c r="BE650" s="3"/>
      <c r="BF650" s="3"/>
      <c r="BG650" s="3"/>
      <c r="BH650" s="3"/>
      <c r="BI650" s="198"/>
      <c r="BJ650" s="198"/>
      <c r="BK650" s="198"/>
      <c r="BL650" s="198"/>
      <c r="BM650" s="1"/>
      <c r="BN650" s="1"/>
      <c r="BO650" s="1"/>
      <c r="BP650" s="99"/>
      <c r="BQ650" s="93"/>
      <c r="BR650" s="93"/>
      <c r="BS650" s="93"/>
      <c r="BT650" s="93"/>
      <c r="BU650" s="93"/>
      <c r="BV650" s="93"/>
      <c r="BW650" s="93"/>
      <c r="BX650" s="93"/>
      <c r="BY650" s="93"/>
      <c r="BZ650" s="93"/>
      <c r="CA650" s="93"/>
      <c r="CB650" s="93"/>
      <c r="CC650" s="93"/>
      <c r="CD650" s="93"/>
      <c r="CE650" s="93"/>
      <c r="CF650" s="93"/>
      <c r="CG650" s="93"/>
      <c r="CH650" s="93"/>
      <c r="CI650" s="93"/>
      <c r="CJ650" s="93"/>
      <c r="CK650" s="93"/>
      <c r="CL650" s="93"/>
      <c r="CM650" s="93"/>
      <c r="CN650" s="93"/>
      <c r="CO650" s="93"/>
      <c r="CP650" s="93"/>
      <c r="CQ650" s="93"/>
      <c r="CR650" s="93"/>
      <c r="CS650" s="93"/>
      <c r="CT650" s="93"/>
      <c r="CU650" s="93"/>
      <c r="CV650" s="93"/>
      <c r="CW650" s="93"/>
      <c r="CX650" s="93"/>
      <c r="CY650" s="93"/>
      <c r="CZ650" s="93"/>
      <c r="DA650" s="93"/>
      <c r="DB650" s="93"/>
      <c r="DC650" s="93"/>
      <c r="DD650" s="93"/>
      <c r="DH650" s="105"/>
      <c r="DI650" s="105"/>
      <c r="DJ650" s="105"/>
      <c r="DK650" s="105"/>
      <c r="DL650" s="105"/>
      <c r="DM650" s="105"/>
      <c r="DN650" s="105"/>
      <c r="DO650" s="105"/>
      <c r="DP650" s="105"/>
      <c r="DQ650" s="105"/>
      <c r="DR650" s="105"/>
      <c r="DS650" s="105"/>
      <c r="DT650" s="105"/>
      <c r="DU650" s="105"/>
      <c r="DV650" s="105"/>
      <c r="DW650" s="105"/>
      <c r="DX650" s="105"/>
      <c r="DY650" s="105"/>
      <c r="DZ650" s="105"/>
      <c r="EA650" s="105"/>
      <c r="EB650" s="105"/>
      <c r="EC650" s="105"/>
      <c r="ED650" s="105"/>
      <c r="EE650" s="105"/>
      <c r="EF650" s="105"/>
      <c r="EG650" s="105"/>
      <c r="EH650" s="105"/>
      <c r="EI650" s="105"/>
      <c r="EJ650" s="105"/>
      <c r="EK650" s="105"/>
      <c r="EL650" s="105"/>
      <c r="EM650" s="105"/>
      <c r="EN650" s="105"/>
      <c r="EO650" s="105"/>
      <c r="EP650" s="105"/>
      <c r="EQ650" s="105"/>
      <c r="ER650" s="105"/>
      <c r="ES650" s="105"/>
      <c r="ET650" s="105"/>
      <c r="EU650" s="105"/>
      <c r="EV650" s="105"/>
      <c r="EW650" s="105"/>
      <c r="EX650" s="105"/>
      <c r="EY650" s="105"/>
      <c r="EZ650" s="105"/>
      <c r="FA650" s="105"/>
      <c r="FB650" s="105"/>
      <c r="FC650" s="105"/>
      <c r="FD650" s="105"/>
      <c r="FE650" s="105"/>
      <c r="FF650" s="105"/>
      <c r="FG650" s="105"/>
      <c r="FH650" s="105"/>
      <c r="FI650" s="105"/>
      <c r="FJ650" s="105"/>
      <c r="FK650" s="105"/>
      <c r="FL650" s="105"/>
      <c r="FM650" s="105"/>
      <c r="FN650" s="105"/>
      <c r="FO650" s="105"/>
      <c r="FP650" s="105"/>
      <c r="FQ650" s="105"/>
      <c r="FR650" s="105"/>
      <c r="FS650" s="105"/>
      <c r="FT650" s="105"/>
      <c r="FU650" s="105"/>
      <c r="FV650" s="105"/>
      <c r="FW650" s="105"/>
      <c r="FX650" s="105"/>
      <c r="FY650" s="105"/>
      <c r="FZ650" s="105"/>
      <c r="GA650" s="105"/>
      <c r="GB650" s="105"/>
      <c r="GC650" s="105"/>
      <c r="GD650" s="105"/>
      <c r="GE650" s="105"/>
      <c r="GF650" s="105"/>
      <c r="GG650" s="105"/>
      <c r="GH650" s="105"/>
    </row>
    <row r="651" spans="30:190" ht="6.95" customHeight="1" x14ac:dyDescent="0.15">
      <c r="AD651" s="56"/>
      <c r="AE651" s="3"/>
      <c r="AF651" s="197"/>
      <c r="AG651" s="197"/>
      <c r="AH651" s="197"/>
      <c r="AI651" s="197"/>
      <c r="AJ651" s="82"/>
      <c r="AK651" s="82"/>
      <c r="AL651" s="82"/>
      <c r="AM651" s="189"/>
      <c r="AN651" s="189"/>
      <c r="AO651" s="189"/>
      <c r="AP651" s="189"/>
      <c r="AQ651" s="189"/>
      <c r="AR651" s="189"/>
      <c r="AS651" s="189"/>
      <c r="AT651" s="189"/>
      <c r="AU651" s="3"/>
      <c r="AV651" s="82"/>
      <c r="AW651" s="82"/>
      <c r="AX651" s="3"/>
      <c r="AY651" s="197"/>
      <c r="AZ651" s="197"/>
      <c r="BA651" s="197"/>
      <c r="BB651" s="197"/>
      <c r="BC651" s="82"/>
      <c r="BD651" s="82"/>
      <c r="BE651" s="3"/>
      <c r="BF651" s="3"/>
      <c r="BG651" s="3"/>
      <c r="BH651" s="3"/>
      <c r="BI651" s="198"/>
      <c r="BJ651" s="198"/>
      <c r="BK651" s="198"/>
      <c r="BL651" s="198"/>
      <c r="BM651" s="1"/>
      <c r="BN651" s="1"/>
      <c r="BO651" s="1"/>
      <c r="BP651" s="99"/>
      <c r="BQ651" s="93"/>
      <c r="BR651" s="93"/>
      <c r="BS651" s="93"/>
      <c r="BT651" s="93"/>
      <c r="BU651" s="93"/>
      <c r="BV651" s="93"/>
      <c r="BW651" s="93"/>
      <c r="BX651" s="93"/>
      <c r="BY651" s="93"/>
      <c r="BZ651" s="93"/>
      <c r="CA651" s="93"/>
      <c r="CB651" s="93"/>
      <c r="CC651" s="93"/>
      <c r="CD651" s="93"/>
      <c r="CE651" s="93"/>
      <c r="CF651" s="93"/>
      <c r="CG651" s="93"/>
      <c r="CH651" s="93"/>
      <c r="CI651" s="93"/>
      <c r="CJ651" s="93"/>
      <c r="CK651" s="93"/>
      <c r="CL651" s="93"/>
      <c r="CM651" s="93"/>
      <c r="CN651" s="93"/>
      <c r="CO651" s="93"/>
      <c r="CP651" s="93"/>
      <c r="CQ651" s="93"/>
      <c r="CR651" s="93"/>
      <c r="CS651" s="93"/>
      <c r="CT651" s="93"/>
      <c r="CU651" s="93"/>
      <c r="CV651" s="93"/>
      <c r="CW651" s="93"/>
      <c r="CX651" s="93"/>
      <c r="CY651" s="93"/>
      <c r="CZ651" s="93"/>
      <c r="DA651" s="93"/>
      <c r="DB651" s="93"/>
      <c r="DC651" s="93"/>
      <c r="DD651" s="93"/>
      <c r="DH651" s="105"/>
      <c r="DI651" s="105"/>
      <c r="DJ651" s="105"/>
      <c r="DK651" s="105"/>
      <c r="DL651" s="105"/>
      <c r="DM651" s="105"/>
      <c r="DN651" s="105"/>
      <c r="DO651" s="105"/>
      <c r="DP651" s="105"/>
      <c r="DQ651" s="105"/>
      <c r="DR651" s="105"/>
      <c r="DS651" s="105"/>
      <c r="DT651" s="105"/>
      <c r="DU651" s="105"/>
      <c r="DV651" s="105"/>
      <c r="DW651" s="105"/>
      <c r="DX651" s="105"/>
      <c r="DY651" s="105"/>
      <c r="DZ651" s="105"/>
      <c r="EA651" s="105"/>
      <c r="EB651" s="105"/>
      <c r="EC651" s="105"/>
      <c r="ED651" s="105"/>
      <c r="EE651" s="105"/>
      <c r="EF651" s="105"/>
      <c r="EG651" s="105"/>
      <c r="EH651" s="105"/>
      <c r="EI651" s="105"/>
      <c r="EJ651" s="105"/>
      <c r="EK651" s="105"/>
      <c r="EL651" s="105"/>
      <c r="EM651" s="105"/>
      <c r="EN651" s="105"/>
      <c r="EO651" s="105"/>
      <c r="EP651" s="105"/>
      <c r="EQ651" s="105"/>
      <c r="ER651" s="105"/>
      <c r="ES651" s="105"/>
      <c r="ET651" s="105"/>
      <c r="EU651" s="105"/>
      <c r="EV651" s="105"/>
      <c r="EW651" s="105"/>
      <c r="EX651" s="105"/>
      <c r="EY651" s="105"/>
      <c r="EZ651" s="105"/>
      <c r="FA651" s="105"/>
      <c r="FB651" s="105"/>
      <c r="FC651" s="105"/>
      <c r="FD651" s="105"/>
      <c r="FE651" s="105"/>
      <c r="FF651" s="105"/>
      <c r="FG651" s="105"/>
      <c r="FH651" s="105"/>
      <c r="FI651" s="105"/>
      <c r="FJ651" s="105"/>
      <c r="FK651" s="105"/>
      <c r="FL651" s="105"/>
      <c r="FM651" s="105"/>
      <c r="FN651" s="105"/>
      <c r="FO651" s="105"/>
      <c r="FP651" s="105"/>
      <c r="FQ651" s="105"/>
      <c r="FR651" s="105"/>
      <c r="FS651" s="105"/>
      <c r="FT651" s="105"/>
      <c r="FU651" s="105"/>
      <c r="FV651" s="105"/>
      <c r="FW651" s="105"/>
      <c r="FX651" s="105"/>
      <c r="FY651" s="105"/>
      <c r="FZ651" s="105"/>
      <c r="GA651" s="105"/>
      <c r="GB651" s="105"/>
      <c r="GC651" s="105"/>
      <c r="GD651" s="105"/>
      <c r="GE651" s="105"/>
      <c r="GF651" s="105"/>
      <c r="GG651" s="105"/>
      <c r="GH651" s="105"/>
    </row>
    <row r="652" spans="30:190" ht="6.95" customHeight="1" x14ac:dyDescent="0.15">
      <c r="AD652" s="56"/>
      <c r="AE652" s="3"/>
      <c r="AF652" s="3"/>
      <c r="AG652" s="3"/>
      <c r="AH652" s="3"/>
      <c r="AI652" s="189"/>
      <c r="AJ652" s="189"/>
      <c r="AK652" s="189"/>
      <c r="AL652" s="189"/>
      <c r="AM652" s="189"/>
      <c r="AN652" s="82"/>
      <c r="AO652" s="82"/>
      <c r="AP652" s="82"/>
      <c r="AQ652" s="82"/>
      <c r="AR652" s="82"/>
      <c r="AS652" s="82"/>
      <c r="AT652" s="189"/>
      <c r="AU652" s="3"/>
      <c r="AV652" s="82"/>
      <c r="AW652" s="82"/>
      <c r="AX652" s="3"/>
      <c r="AY652" s="3"/>
      <c r="AZ652" s="189"/>
      <c r="BA652" s="3"/>
      <c r="BB652" s="82"/>
      <c r="BC652" s="82"/>
      <c r="BD652" s="3"/>
      <c r="BE652" s="3"/>
      <c r="BF652" s="3"/>
      <c r="BG652" s="3"/>
      <c r="BH652" s="3"/>
      <c r="BI652" s="3"/>
      <c r="BJ652" s="3"/>
      <c r="BK652" s="3"/>
      <c r="BL652" s="3"/>
      <c r="BM652" s="1"/>
      <c r="BN652" s="1"/>
      <c r="BO652" s="1"/>
      <c r="BP652" s="99"/>
      <c r="BQ652" s="93"/>
      <c r="BR652" s="93"/>
      <c r="BS652" s="93"/>
      <c r="BT652" s="93"/>
      <c r="BU652" s="93"/>
      <c r="BV652" s="93"/>
      <c r="BW652" s="93"/>
      <c r="BX652" s="93"/>
      <c r="BY652" s="93"/>
      <c r="BZ652" s="93"/>
      <c r="CA652" s="93"/>
      <c r="CB652" s="93"/>
      <c r="CC652" s="93"/>
      <c r="CD652" s="93"/>
      <c r="CE652" s="93"/>
      <c r="CF652" s="93"/>
      <c r="CG652" s="93"/>
      <c r="CH652" s="93"/>
      <c r="CI652" s="93"/>
      <c r="CJ652" s="93"/>
      <c r="CK652" s="93"/>
      <c r="CL652" s="93"/>
      <c r="CM652" s="93"/>
      <c r="CN652" s="93"/>
      <c r="CO652" s="93"/>
      <c r="CP652" s="93"/>
      <c r="CQ652" s="93"/>
      <c r="CR652" s="93"/>
      <c r="CS652" s="93"/>
      <c r="CT652" s="93"/>
      <c r="CU652" s="93"/>
      <c r="CV652" s="93"/>
      <c r="CW652" s="93"/>
      <c r="CX652" s="93"/>
      <c r="CY652" s="93"/>
      <c r="CZ652" s="93"/>
      <c r="DA652" s="93"/>
      <c r="DB652" s="93"/>
      <c r="DC652" s="93"/>
      <c r="DD652" s="93"/>
      <c r="DH652" s="105"/>
      <c r="DI652" s="105"/>
      <c r="DJ652" s="105"/>
      <c r="DK652" s="105"/>
      <c r="DL652" s="105"/>
      <c r="DM652" s="105"/>
      <c r="DN652" s="105"/>
      <c r="DO652" s="105"/>
      <c r="DP652" s="105"/>
      <c r="DQ652" s="105"/>
      <c r="DR652" s="105"/>
      <c r="DS652" s="105"/>
      <c r="DT652" s="105"/>
      <c r="DU652" s="105"/>
      <c r="DV652" s="105"/>
      <c r="DW652" s="105"/>
      <c r="DX652" s="105"/>
      <c r="DY652" s="105"/>
      <c r="DZ652" s="105"/>
      <c r="EA652" s="105"/>
      <c r="EB652" s="105"/>
      <c r="EC652" s="105"/>
      <c r="ED652" s="105"/>
      <c r="EE652" s="105"/>
      <c r="EF652" s="105"/>
      <c r="EG652" s="105"/>
      <c r="EH652" s="105"/>
      <c r="EI652" s="105"/>
      <c r="EJ652" s="105"/>
      <c r="EK652" s="105"/>
      <c r="EL652" s="105"/>
      <c r="EM652" s="105"/>
      <c r="EN652" s="105"/>
      <c r="EO652" s="105"/>
      <c r="EP652" s="105"/>
      <c r="EQ652" s="105"/>
      <c r="ER652" s="105"/>
      <c r="ES652" s="105"/>
      <c r="ET652" s="105"/>
      <c r="EU652" s="105"/>
      <c r="EV652" s="105"/>
      <c r="EW652" s="105"/>
      <c r="EX652" s="105"/>
      <c r="EY652" s="105"/>
      <c r="EZ652" s="105"/>
      <c r="FA652" s="105"/>
      <c r="FB652" s="105"/>
      <c r="FC652" s="105"/>
      <c r="FD652" s="105"/>
      <c r="FE652" s="105"/>
      <c r="FF652" s="105"/>
      <c r="FG652" s="105"/>
      <c r="FH652" s="105"/>
      <c r="FI652" s="105"/>
      <c r="FJ652" s="105"/>
      <c r="FK652" s="105"/>
      <c r="FL652" s="105"/>
      <c r="FM652" s="105"/>
      <c r="FN652" s="105"/>
      <c r="FO652" s="105"/>
      <c r="FP652" s="105"/>
      <c r="FQ652" s="105"/>
      <c r="FR652" s="105"/>
      <c r="FS652" s="105"/>
      <c r="FT652" s="105"/>
      <c r="FU652" s="105"/>
      <c r="FV652" s="105"/>
      <c r="FW652" s="105"/>
      <c r="FX652" s="105"/>
      <c r="FY652" s="105"/>
      <c r="FZ652" s="105"/>
      <c r="GA652" s="105"/>
      <c r="GB652" s="105"/>
      <c r="GC652" s="105"/>
      <c r="GD652" s="105"/>
      <c r="GE652" s="105"/>
      <c r="GF652" s="105"/>
      <c r="GG652" s="105"/>
      <c r="GH652" s="105"/>
    </row>
    <row r="653" spans="30:190" ht="6.95" customHeight="1" x14ac:dyDescent="0.15">
      <c r="AD653" s="56"/>
      <c r="AE653" s="3"/>
      <c r="AF653" s="199">
        <f>CHOOSE(SUM((AD629&gt;={700,750,800,850,900,950})*1), 500,550,600,650,750,800)</f>
        <v>550</v>
      </c>
      <c r="AG653" s="199"/>
      <c r="AH653" s="199"/>
      <c r="AI653" s="199"/>
      <c r="AJ653" s="4"/>
      <c r="AK653" s="4"/>
      <c r="AL653" s="4"/>
      <c r="AM653" s="4"/>
      <c r="AN653" s="82"/>
      <c r="AO653" s="82"/>
      <c r="AP653" s="82"/>
      <c r="AQ653" s="82"/>
      <c r="AR653" s="82"/>
      <c r="AS653" s="82"/>
      <c r="AT653" s="4"/>
      <c r="AU653" s="3"/>
      <c r="AV653" s="3"/>
      <c r="AW653" s="82"/>
      <c r="AX653" s="3"/>
      <c r="AY653" s="3"/>
      <c r="AZ653" s="4"/>
      <c r="BA653" s="3"/>
      <c r="BB653" s="3"/>
      <c r="BC653" s="3"/>
      <c r="BD653" s="3"/>
      <c r="BE653" s="3"/>
      <c r="BF653" s="3"/>
      <c r="BG653" s="3"/>
      <c r="BH653" s="197">
        <f>CHOOSE(SUM(($AD$138&gt;={700,750})*1), 700,800)</f>
        <v>800</v>
      </c>
      <c r="BI653" s="197"/>
      <c r="BJ653" s="197"/>
      <c r="BK653" s="197"/>
      <c r="BL653" s="3"/>
      <c r="BM653" s="1"/>
      <c r="BN653" s="1"/>
      <c r="BO653" s="1"/>
      <c r="BP653" s="99"/>
      <c r="BQ653" s="93"/>
      <c r="BR653" s="93"/>
      <c r="BS653" s="93"/>
      <c r="BT653" s="93"/>
      <c r="BU653" s="93"/>
      <c r="BV653" s="93"/>
      <c r="BW653" s="93"/>
      <c r="BX653" s="93"/>
      <c r="BY653" s="93"/>
      <c r="BZ653" s="93"/>
      <c r="CA653" s="93"/>
      <c r="CB653" s="93"/>
      <c r="CC653" s="93"/>
      <c r="CD653" s="93"/>
      <c r="CE653" s="93"/>
      <c r="CF653" s="93"/>
      <c r="CG653" s="93"/>
      <c r="CH653" s="93"/>
      <c r="CI653" s="93"/>
      <c r="CJ653" s="93"/>
      <c r="CK653" s="93"/>
      <c r="CL653" s="93"/>
      <c r="CM653" s="93"/>
      <c r="CN653" s="93"/>
      <c r="CO653" s="93"/>
      <c r="CP653" s="93"/>
      <c r="CQ653" s="93"/>
      <c r="CR653" s="93"/>
      <c r="CS653" s="93"/>
      <c r="CT653" s="93"/>
      <c r="CU653" s="93"/>
      <c r="CV653" s="93"/>
      <c r="CW653" s="93"/>
      <c r="CX653" s="93"/>
      <c r="CY653" s="93"/>
      <c r="CZ653" s="93"/>
      <c r="DA653" s="93"/>
      <c r="DB653" s="93"/>
      <c r="DC653" s="93"/>
      <c r="DD653" s="93"/>
      <c r="DH653" s="105"/>
      <c r="DI653" s="105"/>
      <c r="DJ653" s="105"/>
      <c r="DK653" s="105"/>
      <c r="DL653" s="105"/>
      <c r="DM653" s="105"/>
      <c r="DN653" s="105"/>
      <c r="DO653" s="105"/>
      <c r="DP653" s="105"/>
      <c r="DQ653" s="105"/>
      <c r="DR653" s="105"/>
      <c r="DS653" s="105"/>
      <c r="DT653" s="105"/>
      <c r="DU653" s="105"/>
      <c r="DV653" s="105"/>
      <c r="DW653" s="105"/>
      <c r="DX653" s="105"/>
      <c r="DY653" s="105"/>
      <c r="DZ653" s="105"/>
      <c r="EA653" s="105"/>
      <c r="EB653" s="105"/>
      <c r="EC653" s="105"/>
      <c r="ED653" s="105"/>
      <c r="EE653" s="105"/>
      <c r="EF653" s="105"/>
      <c r="EG653" s="105"/>
      <c r="EH653" s="105"/>
      <c r="EI653" s="105"/>
      <c r="EJ653" s="105"/>
      <c r="EK653" s="105"/>
      <c r="EL653" s="105"/>
      <c r="EM653" s="105"/>
      <c r="EN653" s="105"/>
      <c r="EO653" s="105"/>
      <c r="EP653" s="105"/>
      <c r="EQ653" s="105"/>
      <c r="ER653" s="105"/>
      <c r="ES653" s="105"/>
      <c r="ET653" s="105"/>
      <c r="EU653" s="105"/>
      <c r="EV653" s="105"/>
      <c r="EW653" s="105"/>
      <c r="EX653" s="105"/>
      <c r="EY653" s="105"/>
      <c r="EZ653" s="105"/>
      <c r="FA653" s="105"/>
      <c r="FB653" s="105"/>
      <c r="FC653" s="105"/>
      <c r="FD653" s="105"/>
      <c r="FE653" s="105"/>
      <c r="FF653" s="105"/>
      <c r="FG653" s="105"/>
      <c r="FH653" s="105"/>
      <c r="FI653" s="105"/>
      <c r="FJ653" s="105"/>
      <c r="FK653" s="105"/>
      <c r="FL653" s="105"/>
      <c r="FM653" s="105"/>
      <c r="FN653" s="105"/>
      <c r="FO653" s="105"/>
      <c r="FP653" s="105"/>
      <c r="FQ653" s="105"/>
      <c r="FR653" s="105"/>
      <c r="FS653" s="105"/>
      <c r="FT653" s="105"/>
      <c r="FU653" s="105"/>
      <c r="FV653" s="105"/>
      <c r="FW653" s="105"/>
      <c r="FX653" s="105"/>
      <c r="FY653" s="105"/>
      <c r="FZ653" s="105"/>
      <c r="GA653" s="105"/>
      <c r="GB653" s="105"/>
      <c r="GC653" s="105"/>
      <c r="GD653" s="105"/>
      <c r="GE653" s="105"/>
      <c r="GF653" s="105"/>
      <c r="GG653" s="105"/>
      <c r="GH653" s="105"/>
    </row>
    <row r="654" spans="30:190" ht="6.95" customHeight="1" x14ac:dyDescent="0.15">
      <c r="AD654" s="56"/>
      <c r="AE654" s="3"/>
      <c r="AF654" s="199"/>
      <c r="AG654" s="199"/>
      <c r="AH654" s="199"/>
      <c r="AI654" s="199"/>
      <c r="AJ654" s="4"/>
      <c r="AK654" s="4"/>
      <c r="AL654" s="4"/>
      <c r="AM654" s="4"/>
      <c r="AN654" s="82"/>
      <c r="AO654" s="82"/>
      <c r="AP654" s="82"/>
      <c r="AQ654" s="4"/>
      <c r="AR654" s="4"/>
      <c r="AS654" s="4"/>
      <c r="AT654" s="4"/>
      <c r="AU654" s="4"/>
      <c r="AV654" s="4"/>
      <c r="AW654" s="3"/>
      <c r="AX654" s="3"/>
      <c r="AY654" s="4"/>
      <c r="AZ654" s="4"/>
      <c r="BA654" s="4"/>
      <c r="BB654" s="4"/>
      <c r="BC654" s="4"/>
      <c r="BD654" s="4"/>
      <c r="BE654" s="4"/>
      <c r="BF654" s="4"/>
      <c r="BG654" s="4"/>
      <c r="BH654" s="197"/>
      <c r="BI654" s="197"/>
      <c r="BJ654" s="197"/>
      <c r="BK654" s="197"/>
      <c r="BL654" s="4"/>
      <c r="BM654" s="1"/>
      <c r="BN654" s="1"/>
      <c r="BO654" s="1"/>
      <c r="BP654" s="99"/>
      <c r="BQ654" s="93"/>
      <c r="BR654" s="93"/>
      <c r="BS654" s="93"/>
      <c r="BT654" s="93"/>
      <c r="BU654" s="93"/>
      <c r="BV654" s="93"/>
      <c r="BW654" s="93"/>
      <c r="BX654" s="93"/>
      <c r="BY654" s="93"/>
      <c r="BZ654" s="93"/>
      <c r="CA654" s="93"/>
      <c r="CB654" s="93"/>
      <c r="CC654" s="93"/>
      <c r="CD654" s="93"/>
      <c r="CE654" s="93"/>
      <c r="CF654" s="93"/>
      <c r="CG654" s="93"/>
      <c r="CH654" s="93"/>
      <c r="CI654" s="93"/>
      <c r="CJ654" s="93"/>
      <c r="CK654" s="93"/>
      <c r="CL654" s="93"/>
      <c r="CM654" s="93"/>
      <c r="CN654" s="93"/>
      <c r="CO654" s="93"/>
      <c r="CP654" s="93"/>
      <c r="CQ654" s="93"/>
      <c r="CR654" s="93"/>
      <c r="CS654" s="93"/>
      <c r="CT654" s="93"/>
      <c r="CU654" s="93"/>
      <c r="CV654" s="93"/>
      <c r="CW654" s="93"/>
      <c r="CX654" s="93"/>
      <c r="CY654" s="93"/>
      <c r="CZ654" s="93"/>
      <c r="DA654" s="93"/>
      <c r="DB654" s="93"/>
      <c r="DC654" s="93"/>
      <c r="DD654" s="93"/>
      <c r="DH654" s="105"/>
      <c r="DI654" s="105"/>
      <c r="DJ654" s="105"/>
      <c r="DK654" s="105"/>
      <c r="DL654" s="105"/>
      <c r="DM654" s="105"/>
      <c r="DN654" s="105"/>
      <c r="DO654" s="105"/>
      <c r="DP654" s="105"/>
      <c r="DQ654" s="105"/>
      <c r="DR654" s="105"/>
      <c r="DS654" s="105"/>
      <c r="DT654" s="105"/>
      <c r="DU654" s="105"/>
      <c r="DV654" s="105"/>
      <c r="DW654" s="105"/>
      <c r="DX654" s="105"/>
      <c r="DY654" s="105"/>
      <c r="DZ654" s="105"/>
      <c r="EA654" s="105"/>
      <c r="EB654" s="105"/>
      <c r="EC654" s="105"/>
      <c r="ED654" s="105"/>
      <c r="EE654" s="105"/>
      <c r="EF654" s="105"/>
      <c r="EG654" s="105"/>
      <c r="EH654" s="105"/>
      <c r="EI654" s="105"/>
      <c r="EJ654" s="105"/>
      <c r="EK654" s="105"/>
      <c r="EL654" s="105"/>
      <c r="EM654" s="105"/>
      <c r="EN654" s="105"/>
      <c r="EO654" s="105"/>
      <c r="EP654" s="105"/>
      <c r="EQ654" s="105"/>
      <c r="ER654" s="105"/>
      <c r="ES654" s="105"/>
      <c r="ET654" s="105"/>
      <c r="EU654" s="105"/>
      <c r="EV654" s="105"/>
      <c r="EW654" s="105"/>
      <c r="EX654" s="105"/>
      <c r="EY654" s="105"/>
      <c r="EZ654" s="105"/>
      <c r="FA654" s="105"/>
      <c r="FB654" s="105"/>
      <c r="FC654" s="105"/>
      <c r="FD654" s="105"/>
      <c r="FE654" s="105"/>
      <c r="FF654" s="105"/>
      <c r="FG654" s="105"/>
      <c r="FH654" s="105"/>
      <c r="FI654" s="105"/>
      <c r="FJ654" s="105"/>
      <c r="FK654" s="105"/>
      <c r="FL654" s="105"/>
      <c r="FM654" s="105"/>
      <c r="FN654" s="105"/>
      <c r="FO654" s="105"/>
      <c r="FP654" s="105"/>
      <c r="FQ654" s="105"/>
      <c r="FR654" s="105"/>
      <c r="FS654" s="105"/>
      <c r="FT654" s="105"/>
      <c r="FU654" s="105"/>
      <c r="FV654" s="105"/>
      <c r="FW654" s="105"/>
      <c r="FX654" s="105"/>
      <c r="FY654" s="105"/>
      <c r="FZ654" s="105"/>
      <c r="GA654" s="105"/>
      <c r="GB654" s="105"/>
      <c r="GC654" s="105"/>
      <c r="GD654" s="105"/>
      <c r="GE654" s="105"/>
      <c r="GF654" s="105"/>
      <c r="GG654" s="105"/>
      <c r="GH654" s="105"/>
    </row>
    <row r="655" spans="30:190" ht="6.95" customHeight="1" x14ac:dyDescent="0.15">
      <c r="AD655" s="56"/>
      <c r="AE655" s="3"/>
      <c r="AF655" s="3"/>
      <c r="AG655" s="3"/>
      <c r="AH655" s="3"/>
      <c r="AI655" s="4"/>
      <c r="AJ655" s="4"/>
      <c r="AK655" s="4"/>
      <c r="AL655" s="4"/>
      <c r="AM655" s="88"/>
      <c r="AN655" s="88"/>
      <c r="AO655" s="88"/>
      <c r="AP655" s="88"/>
      <c r="AQ655" s="88"/>
      <c r="AR655" s="88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1"/>
      <c r="BN655" s="1"/>
      <c r="BO655" s="1"/>
      <c r="BP655" s="99"/>
      <c r="BQ655" s="93"/>
      <c r="BR655" s="93"/>
      <c r="BS655" s="93"/>
      <c r="BT655" s="93"/>
      <c r="BU655" s="93"/>
      <c r="BV655" s="93"/>
      <c r="BW655" s="93"/>
      <c r="BX655" s="93"/>
      <c r="BY655" s="93"/>
      <c r="BZ655" s="93"/>
      <c r="CA655" s="93"/>
      <c r="CB655" s="93"/>
      <c r="CC655" s="93"/>
      <c r="CD655" s="93"/>
      <c r="CE655" s="93"/>
      <c r="CF655" s="93"/>
      <c r="CG655" s="93"/>
      <c r="CH655" s="93"/>
      <c r="CI655" s="93"/>
      <c r="CJ655" s="93"/>
      <c r="CK655" s="93"/>
      <c r="CL655" s="93"/>
      <c r="CM655" s="93"/>
      <c r="CN655" s="93"/>
      <c r="CO655" s="93"/>
      <c r="CP655" s="93"/>
      <c r="CQ655" s="93"/>
      <c r="CR655" s="93"/>
      <c r="CS655" s="93"/>
      <c r="CT655" s="93"/>
      <c r="CU655" s="93"/>
      <c r="CV655" s="93"/>
      <c r="CW655" s="93"/>
      <c r="CX655" s="93"/>
      <c r="CY655" s="93"/>
      <c r="CZ655" s="93"/>
      <c r="DA655" s="93"/>
      <c r="DB655" s="93"/>
      <c r="DC655" s="93"/>
      <c r="DD655" s="93"/>
      <c r="DH655" s="105"/>
      <c r="DI655" s="105"/>
      <c r="DJ655" s="105"/>
      <c r="DK655" s="105"/>
      <c r="DL655" s="105"/>
      <c r="DM655" s="105"/>
      <c r="DN655" s="105"/>
      <c r="DO655" s="105"/>
      <c r="DP655" s="105"/>
      <c r="DQ655" s="105"/>
      <c r="DR655" s="105"/>
      <c r="DS655" s="105"/>
      <c r="DT655" s="105"/>
      <c r="DU655" s="105"/>
      <c r="DV655" s="105"/>
      <c r="DW655" s="105"/>
      <c r="DX655" s="105"/>
      <c r="DY655" s="105"/>
      <c r="DZ655" s="105"/>
      <c r="EA655" s="105"/>
      <c r="EB655" s="105"/>
      <c r="EC655" s="105"/>
      <c r="ED655" s="105"/>
      <c r="EE655" s="105"/>
      <c r="EF655" s="105"/>
      <c r="EG655" s="105"/>
      <c r="EH655" s="105"/>
      <c r="EI655" s="105"/>
      <c r="EJ655" s="105"/>
      <c r="EK655" s="105"/>
      <c r="EL655" s="105"/>
      <c r="EM655" s="105"/>
      <c r="EN655" s="105"/>
      <c r="EO655" s="105"/>
      <c r="EP655" s="105"/>
      <c r="EQ655" s="105"/>
      <c r="ER655" s="105"/>
      <c r="ES655" s="105"/>
      <c r="ET655" s="105"/>
      <c r="EU655" s="105"/>
      <c r="EV655" s="105"/>
      <c r="EW655" s="105"/>
      <c r="EX655" s="105"/>
      <c r="EY655" s="105"/>
      <c r="EZ655" s="105"/>
      <c r="FA655" s="105"/>
      <c r="FB655" s="105"/>
      <c r="FC655" s="105"/>
      <c r="FD655" s="105"/>
      <c r="FE655" s="105"/>
      <c r="FF655" s="105"/>
      <c r="FG655" s="105"/>
      <c r="FH655" s="105"/>
      <c r="FI655" s="105"/>
      <c r="FJ655" s="105"/>
      <c r="FK655" s="105"/>
      <c r="FL655" s="105"/>
      <c r="FM655" s="105"/>
      <c r="FN655" s="105"/>
      <c r="FO655" s="105"/>
      <c r="FP655" s="105"/>
      <c r="FQ655" s="105"/>
      <c r="FR655" s="105"/>
      <c r="FS655" s="105"/>
      <c r="FT655" s="105"/>
      <c r="FU655" s="105"/>
      <c r="FV655" s="105"/>
      <c r="FW655" s="105"/>
      <c r="FX655" s="105"/>
      <c r="FY655" s="105"/>
      <c r="FZ655" s="105"/>
      <c r="GA655" s="105"/>
      <c r="GB655" s="105"/>
      <c r="GC655" s="105"/>
      <c r="GD655" s="105"/>
      <c r="GE655" s="105"/>
      <c r="GF655" s="105"/>
      <c r="GG655" s="105"/>
      <c r="GH655" s="105"/>
    </row>
    <row r="656" spans="30:190" ht="6.95" customHeight="1" x14ac:dyDescent="0.15">
      <c r="AD656" s="56"/>
      <c r="AE656" s="3"/>
      <c r="AF656" s="3"/>
      <c r="AG656" s="3"/>
      <c r="AH656" s="3"/>
      <c r="AI656" s="4"/>
      <c r="AJ656" s="4"/>
      <c r="AK656" s="84"/>
      <c r="AL656" s="84"/>
      <c r="AM656" s="88"/>
      <c r="AN656" s="88"/>
      <c r="AO656" s="196" t="s">
        <v>42</v>
      </c>
      <c r="AP656" s="196"/>
      <c r="AQ656" s="196"/>
      <c r="AR656" s="196">
        <v>15</v>
      </c>
      <c r="AS656" s="196"/>
      <c r="AT656" s="196" t="s">
        <v>43</v>
      </c>
      <c r="AU656" s="196"/>
      <c r="AV656" s="196"/>
      <c r="AW656" s="4"/>
      <c r="AX656" s="4"/>
      <c r="AY656" s="4"/>
      <c r="AZ656" s="88"/>
      <c r="BA656" s="4"/>
      <c r="BB656" s="200">
        <f>CHOOSE(SUM(($AD$138&gt;={700,750})*1), 300,200)</f>
        <v>200</v>
      </c>
      <c r="BC656" s="200"/>
      <c r="BD656" s="200"/>
      <c r="BE656" s="200"/>
      <c r="BF656" s="4"/>
      <c r="BG656" s="88"/>
      <c r="BH656" s="196" t="s">
        <v>42</v>
      </c>
      <c r="BI656" s="196"/>
      <c r="BJ656" s="196"/>
      <c r="BK656" s="196">
        <v>4</v>
      </c>
      <c r="BL656" s="196"/>
      <c r="BM656" s="196" t="s">
        <v>43</v>
      </c>
      <c r="BN656" s="196"/>
      <c r="BO656" s="196"/>
      <c r="BP656" s="99"/>
      <c r="BQ656" s="93"/>
      <c r="BR656" s="93"/>
      <c r="BS656" s="93"/>
      <c r="BT656" s="93"/>
      <c r="BU656" s="93"/>
      <c r="BV656" s="93"/>
      <c r="BW656" s="93"/>
      <c r="BX656" s="93"/>
      <c r="BY656" s="93"/>
      <c r="BZ656" s="93"/>
      <c r="CA656" s="93"/>
      <c r="CB656" s="93"/>
      <c r="CC656" s="93"/>
      <c r="CD656" s="93"/>
      <c r="CE656" s="93"/>
      <c r="CF656" s="93"/>
      <c r="CG656" s="93"/>
      <c r="CH656" s="93"/>
      <c r="CI656" s="93"/>
      <c r="CJ656" s="93"/>
      <c r="CK656" s="93"/>
      <c r="CL656" s="93"/>
      <c r="CM656" s="93"/>
      <c r="CN656" s="93"/>
      <c r="CO656" s="93"/>
      <c r="CP656" s="93"/>
      <c r="CQ656" s="93"/>
      <c r="CR656" s="93"/>
      <c r="CS656" s="93"/>
      <c r="CT656" s="93"/>
      <c r="CU656" s="93"/>
      <c r="CV656" s="93"/>
      <c r="CW656" s="93"/>
      <c r="CX656" s="93"/>
      <c r="CY656" s="93"/>
      <c r="CZ656" s="93"/>
      <c r="DA656" s="93"/>
      <c r="DB656" s="93"/>
      <c r="DC656" s="93"/>
      <c r="DD656" s="93"/>
      <c r="DH656" s="105"/>
      <c r="DI656" s="105"/>
      <c r="DJ656" s="105"/>
      <c r="DK656" s="105"/>
      <c r="DL656" s="105"/>
      <c r="DM656" s="105"/>
      <c r="DN656" s="105"/>
      <c r="DO656" s="105"/>
      <c r="DP656" s="105"/>
      <c r="DQ656" s="105"/>
      <c r="DR656" s="105"/>
      <c r="DS656" s="105"/>
      <c r="DT656" s="105"/>
      <c r="DU656" s="105"/>
      <c r="DV656" s="105"/>
      <c r="DW656" s="105"/>
      <c r="DX656" s="105"/>
      <c r="DY656" s="105"/>
      <c r="DZ656" s="105"/>
      <c r="EA656" s="105"/>
      <c r="EB656" s="105"/>
      <c r="EC656" s="105"/>
      <c r="ED656" s="105"/>
      <c r="EE656" s="105"/>
      <c r="EF656" s="105"/>
      <c r="EG656" s="105"/>
      <c r="EH656" s="105"/>
      <c r="EI656" s="105"/>
      <c r="EJ656" s="105"/>
      <c r="EK656" s="105"/>
      <c r="EL656" s="105"/>
      <c r="EM656" s="105"/>
      <c r="EN656" s="105"/>
      <c r="EO656" s="105"/>
      <c r="EP656" s="105"/>
      <c r="EQ656" s="105"/>
      <c r="ER656" s="105"/>
      <c r="ES656" s="105"/>
      <c r="ET656" s="105"/>
      <c r="EU656" s="105"/>
      <c r="EV656" s="105"/>
      <c r="EW656" s="105"/>
      <c r="EX656" s="105"/>
      <c r="EY656" s="105"/>
      <c r="EZ656" s="105"/>
      <c r="FA656" s="105"/>
      <c r="FB656" s="105"/>
      <c r="FC656" s="105"/>
      <c r="FD656" s="105"/>
      <c r="FE656" s="105"/>
      <c r="FF656" s="105"/>
      <c r="FG656" s="105"/>
      <c r="FH656" s="105"/>
      <c r="FI656" s="105"/>
      <c r="FJ656" s="105"/>
      <c r="FK656" s="105"/>
      <c r="FL656" s="105"/>
      <c r="FM656" s="105"/>
      <c r="FN656" s="105"/>
      <c r="FO656" s="105"/>
      <c r="FP656" s="105"/>
      <c r="FQ656" s="105"/>
      <c r="FR656" s="105"/>
      <c r="FS656" s="105"/>
      <c r="FT656" s="105"/>
      <c r="FU656" s="105"/>
      <c r="FV656" s="105"/>
      <c r="FW656" s="105"/>
      <c r="FX656" s="105"/>
      <c r="FY656" s="105"/>
      <c r="FZ656" s="105"/>
      <c r="GA656" s="105"/>
      <c r="GB656" s="105"/>
      <c r="GC656" s="105"/>
      <c r="GD656" s="105"/>
      <c r="GE656" s="105"/>
      <c r="GF656" s="105"/>
      <c r="GG656" s="105"/>
      <c r="GH656" s="105"/>
    </row>
    <row r="657" spans="30:190" ht="6.95" customHeight="1" x14ac:dyDescent="0.15">
      <c r="AD657" s="56"/>
      <c r="AE657" s="3"/>
      <c r="AF657" s="189"/>
      <c r="AG657" s="189"/>
      <c r="AH657" s="189"/>
      <c r="AI657" s="189"/>
      <c r="AJ657" s="189"/>
      <c r="AK657" s="84"/>
      <c r="AL657" s="84"/>
      <c r="AM657" s="88"/>
      <c r="AN657" s="88"/>
      <c r="AO657" s="196"/>
      <c r="AP657" s="196"/>
      <c r="AQ657" s="196"/>
      <c r="AR657" s="196"/>
      <c r="AS657" s="196"/>
      <c r="AT657" s="196"/>
      <c r="AU657" s="196"/>
      <c r="AV657" s="196"/>
      <c r="AW657" s="84"/>
      <c r="AX657" s="84"/>
      <c r="AY657" s="4"/>
      <c r="AZ657" s="88"/>
      <c r="BA657" s="4"/>
      <c r="BB657" s="200"/>
      <c r="BC657" s="200"/>
      <c r="BD657" s="200"/>
      <c r="BE657" s="200"/>
      <c r="BF657" s="4"/>
      <c r="BG657" s="88"/>
      <c r="BH657" s="196"/>
      <c r="BI657" s="196"/>
      <c r="BJ657" s="196"/>
      <c r="BK657" s="196"/>
      <c r="BL657" s="196"/>
      <c r="BM657" s="196"/>
      <c r="BN657" s="196"/>
      <c r="BO657" s="196"/>
      <c r="BP657" s="99"/>
      <c r="BQ657" s="93"/>
      <c r="BR657" s="93"/>
      <c r="BS657" s="93"/>
      <c r="BT657" s="93"/>
      <c r="BU657" s="93"/>
      <c r="BV657" s="93"/>
      <c r="BW657" s="93"/>
      <c r="BX657" s="93"/>
      <c r="BY657" s="93"/>
      <c r="BZ657" s="93"/>
      <c r="CA657" s="93"/>
      <c r="CB657" s="93"/>
      <c r="CC657" s="93"/>
      <c r="CD657" s="93"/>
      <c r="CE657" s="93"/>
      <c r="CF657" s="93"/>
      <c r="CG657" s="93"/>
      <c r="CH657" s="93"/>
      <c r="CI657" s="93"/>
      <c r="CJ657" s="93"/>
      <c r="CK657" s="93"/>
      <c r="CL657" s="93"/>
      <c r="CM657" s="93"/>
      <c r="CN657" s="93"/>
      <c r="CO657" s="93"/>
      <c r="CP657" s="93"/>
      <c r="CQ657" s="93"/>
      <c r="CR657" s="93"/>
      <c r="CS657" s="93"/>
      <c r="CT657" s="93"/>
      <c r="CU657" s="93"/>
      <c r="CV657" s="93"/>
      <c r="CW657" s="93"/>
      <c r="CX657" s="93"/>
      <c r="CY657" s="93"/>
      <c r="CZ657" s="93"/>
      <c r="DA657" s="93"/>
      <c r="DB657" s="93"/>
      <c r="DC657" s="93"/>
      <c r="DD657" s="93"/>
      <c r="DH657" s="105"/>
      <c r="DI657" s="105"/>
      <c r="DJ657" s="105"/>
      <c r="DK657" s="105"/>
      <c r="DL657" s="105"/>
      <c r="DM657" s="105"/>
      <c r="DN657" s="105"/>
      <c r="DO657" s="105"/>
      <c r="DP657" s="105"/>
      <c r="DQ657" s="105"/>
      <c r="DR657" s="105"/>
      <c r="DS657" s="105"/>
      <c r="DT657" s="105"/>
      <c r="DU657" s="105"/>
      <c r="DV657" s="105"/>
      <c r="DW657" s="105"/>
      <c r="DX657" s="105"/>
      <c r="DY657" s="105"/>
      <c r="DZ657" s="105"/>
      <c r="EA657" s="105"/>
      <c r="EB657" s="105"/>
      <c r="EC657" s="105"/>
      <c r="ED657" s="105"/>
      <c r="EE657" s="105"/>
      <c r="EF657" s="105"/>
      <c r="EG657" s="105"/>
      <c r="EH657" s="105"/>
      <c r="EI657" s="105"/>
      <c r="EJ657" s="105"/>
      <c r="EK657" s="105"/>
      <c r="EL657" s="105"/>
      <c r="EM657" s="105"/>
      <c r="EN657" s="105"/>
      <c r="EO657" s="105"/>
      <c r="EP657" s="105"/>
      <c r="EQ657" s="105"/>
      <c r="ER657" s="105"/>
      <c r="ES657" s="105"/>
      <c r="ET657" s="105"/>
      <c r="EU657" s="105"/>
      <c r="EV657" s="105"/>
      <c r="EW657" s="105"/>
      <c r="EX657" s="105"/>
      <c r="EY657" s="105"/>
      <c r="EZ657" s="105"/>
      <c r="FA657" s="105"/>
      <c r="FB657" s="105"/>
      <c r="FC657" s="105"/>
      <c r="FD657" s="105"/>
      <c r="FE657" s="105"/>
      <c r="FF657" s="105"/>
      <c r="FG657" s="105"/>
      <c r="FH657" s="105"/>
      <c r="FI657" s="105"/>
      <c r="FJ657" s="105"/>
      <c r="FK657" s="105"/>
      <c r="FL657" s="105"/>
      <c r="FM657" s="105"/>
      <c r="FN657" s="105"/>
      <c r="FO657" s="105"/>
      <c r="FP657" s="105"/>
      <c r="FQ657" s="105"/>
      <c r="FR657" s="105"/>
      <c r="FS657" s="105"/>
      <c r="FT657" s="105"/>
      <c r="FU657" s="105"/>
      <c r="FV657" s="105"/>
      <c r="FW657" s="105"/>
      <c r="FX657" s="105"/>
      <c r="FY657" s="105"/>
      <c r="FZ657" s="105"/>
      <c r="GA657" s="105"/>
      <c r="GB657" s="105"/>
      <c r="GC657" s="105"/>
      <c r="GD657" s="105"/>
      <c r="GE657" s="105"/>
      <c r="GF657" s="105"/>
      <c r="GG657" s="105"/>
      <c r="GH657" s="105"/>
    </row>
    <row r="658" spans="30:190" ht="6.95" customHeight="1" x14ac:dyDescent="0.15">
      <c r="AD658" s="52"/>
      <c r="AE658" s="189"/>
      <c r="AF658" s="189"/>
      <c r="AG658" s="189"/>
      <c r="AH658" s="189"/>
      <c r="AI658" s="189"/>
      <c r="AJ658" s="189"/>
      <c r="AK658" s="84"/>
      <c r="AL658" s="84"/>
      <c r="AM658" s="88"/>
      <c r="AN658" s="88"/>
      <c r="AO658" s="103"/>
      <c r="AP658" s="103"/>
      <c r="AQ658" s="103"/>
      <c r="AR658" s="103"/>
      <c r="AS658" s="103"/>
      <c r="AT658" s="103"/>
      <c r="AU658" s="103"/>
      <c r="AV658" s="103"/>
      <c r="AW658" s="84"/>
      <c r="AX658" s="84"/>
      <c r="BP658" s="99"/>
      <c r="BQ658" s="93"/>
      <c r="BR658" s="93"/>
      <c r="BS658" s="93"/>
      <c r="BT658" s="93"/>
      <c r="BU658" s="93"/>
      <c r="BV658" s="93"/>
      <c r="BW658" s="93"/>
      <c r="BX658" s="93"/>
      <c r="BY658" s="93"/>
      <c r="BZ658" s="93"/>
      <c r="CA658" s="93"/>
      <c r="CB658" s="93"/>
      <c r="CC658" s="93"/>
      <c r="CD658" s="93"/>
      <c r="CE658" s="93"/>
      <c r="CF658" s="93"/>
      <c r="CG658" s="93"/>
      <c r="CH658" s="93"/>
      <c r="CI658" s="93"/>
      <c r="CJ658" s="93"/>
      <c r="CK658" s="93"/>
      <c r="CL658" s="93"/>
      <c r="CM658" s="93"/>
      <c r="CN658" s="93"/>
      <c r="CO658" s="93"/>
      <c r="CP658" s="93"/>
      <c r="CQ658" s="93"/>
      <c r="CR658" s="93"/>
      <c r="CS658" s="93"/>
      <c r="CT658" s="93"/>
      <c r="CU658" s="93"/>
      <c r="CV658" s="93"/>
      <c r="CW658" s="93"/>
      <c r="CX658" s="93"/>
      <c r="CY658" s="93"/>
      <c r="CZ658" s="93"/>
      <c r="DA658" s="93"/>
      <c r="DB658" s="93"/>
      <c r="DC658" s="93"/>
      <c r="DD658" s="93"/>
      <c r="DH658" s="105"/>
      <c r="DI658" s="105"/>
      <c r="DJ658" s="105"/>
      <c r="DK658" s="105"/>
      <c r="DL658" s="105"/>
      <c r="DM658" s="105"/>
      <c r="DN658" s="105"/>
      <c r="DO658" s="105"/>
      <c r="DP658" s="105"/>
      <c r="DQ658" s="105"/>
      <c r="DR658" s="105"/>
      <c r="DS658" s="105"/>
      <c r="DT658" s="105"/>
      <c r="DU658" s="105"/>
      <c r="DV658" s="105"/>
      <c r="DW658" s="105"/>
      <c r="DX658" s="105"/>
      <c r="DY658" s="105"/>
      <c r="DZ658" s="105"/>
      <c r="EA658" s="105"/>
      <c r="EB658" s="105"/>
      <c r="EC658" s="105"/>
      <c r="ED658" s="105"/>
      <c r="EE658" s="105"/>
      <c r="EF658" s="105"/>
      <c r="EG658" s="105"/>
      <c r="EH658" s="105"/>
      <c r="EI658" s="105"/>
      <c r="EJ658" s="105"/>
      <c r="EK658" s="105"/>
      <c r="EL658" s="105"/>
      <c r="EM658" s="105"/>
      <c r="EN658" s="105"/>
      <c r="EO658" s="105"/>
      <c r="EP658" s="105"/>
      <c r="EQ658" s="105"/>
      <c r="ER658" s="105"/>
      <c r="ES658" s="105"/>
      <c r="ET658" s="105"/>
      <c r="EU658" s="105"/>
      <c r="EV658" s="105"/>
      <c r="EW658" s="105"/>
      <c r="EX658" s="105"/>
      <c r="EY658" s="105"/>
      <c r="EZ658" s="105"/>
      <c r="FA658" s="105"/>
      <c r="FB658" s="105"/>
      <c r="FC658" s="105"/>
      <c r="FD658" s="105"/>
      <c r="FE658" s="105"/>
      <c r="FF658" s="105"/>
      <c r="FG658" s="105"/>
      <c r="FH658" s="105"/>
      <c r="FI658" s="105"/>
      <c r="FJ658" s="105"/>
      <c r="FK658" s="105"/>
      <c r="FL658" s="105"/>
      <c r="FM658" s="105"/>
      <c r="FN658" s="105"/>
      <c r="FO658" s="105"/>
      <c r="FP658" s="105"/>
      <c r="FQ658" s="105"/>
      <c r="FR658" s="105"/>
      <c r="FS658" s="105"/>
      <c r="FT658" s="105"/>
      <c r="FU658" s="105"/>
      <c r="FV658" s="105"/>
      <c r="FW658" s="105"/>
      <c r="FX658" s="105"/>
      <c r="FY658" s="105"/>
      <c r="FZ658" s="105"/>
      <c r="GA658" s="105"/>
      <c r="GB658" s="105"/>
      <c r="GC658" s="105"/>
      <c r="GD658" s="105"/>
      <c r="GE658" s="105"/>
      <c r="GF658" s="105"/>
      <c r="GG658" s="105"/>
      <c r="GH658" s="105"/>
    </row>
    <row r="659" spans="30:190" ht="6.95" customHeight="1" x14ac:dyDescent="0.15">
      <c r="AD659" s="56"/>
      <c r="AE659" s="3"/>
      <c r="AF659" s="3"/>
      <c r="AG659" s="3"/>
      <c r="AH659" s="3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1"/>
      <c r="BI659" s="1"/>
      <c r="BJ659" s="1"/>
      <c r="BK659" s="1"/>
      <c r="BL659" s="1"/>
      <c r="BM659" s="1"/>
      <c r="BN659" s="1"/>
      <c r="BO659" s="1"/>
      <c r="BP659" s="99"/>
      <c r="BQ659" s="93"/>
      <c r="BR659" s="93"/>
      <c r="BS659" s="93"/>
      <c r="BT659" s="93"/>
      <c r="BU659" s="93"/>
      <c r="BV659" s="93"/>
      <c r="BW659" s="93"/>
      <c r="BX659" s="93"/>
      <c r="BY659" s="93"/>
      <c r="BZ659" s="93"/>
      <c r="CA659" s="93"/>
      <c r="CB659" s="93"/>
      <c r="CC659" s="93"/>
      <c r="CD659" s="93"/>
      <c r="CE659" s="93"/>
      <c r="CF659" s="93"/>
      <c r="CG659" s="93"/>
      <c r="CH659" s="93"/>
      <c r="CI659" s="93"/>
      <c r="CJ659" s="93"/>
      <c r="CK659" s="93"/>
      <c r="CL659" s="93"/>
      <c r="CM659" s="93"/>
      <c r="CN659" s="93"/>
      <c r="CO659" s="93"/>
      <c r="CP659" s="93"/>
      <c r="CQ659" s="93"/>
      <c r="CR659" s="93"/>
      <c r="CS659" s="93"/>
      <c r="CT659" s="93"/>
      <c r="CU659" s="93"/>
      <c r="CV659" s="93"/>
      <c r="CW659" s="93"/>
      <c r="CX659" s="93"/>
      <c r="CY659" s="93"/>
      <c r="CZ659" s="93"/>
      <c r="DA659" s="93"/>
      <c r="DB659" s="93"/>
      <c r="DC659" s="93"/>
      <c r="DD659" s="93"/>
      <c r="DH659" s="105"/>
      <c r="DI659" s="105"/>
      <c r="DJ659" s="105"/>
      <c r="DK659" s="105"/>
      <c r="DL659" s="105"/>
      <c r="DM659" s="105"/>
      <c r="DN659" s="105"/>
      <c r="DO659" s="105"/>
      <c r="DP659" s="105"/>
      <c r="DQ659" s="105"/>
      <c r="DR659" s="105"/>
      <c r="DS659" s="105"/>
      <c r="DT659" s="105"/>
      <c r="DU659" s="105"/>
      <c r="DV659" s="105"/>
      <c r="DW659" s="105"/>
      <c r="DX659" s="105"/>
      <c r="DY659" s="105"/>
      <c r="DZ659" s="105"/>
      <c r="EA659" s="105"/>
      <c r="EB659" s="105"/>
      <c r="EC659" s="105"/>
      <c r="ED659" s="105"/>
      <c r="EE659" s="105"/>
      <c r="EF659" s="105"/>
      <c r="EG659" s="105"/>
      <c r="EH659" s="105"/>
      <c r="EI659" s="105"/>
      <c r="EJ659" s="105"/>
      <c r="EK659" s="105"/>
      <c r="EL659" s="105"/>
      <c r="EM659" s="105"/>
      <c r="EN659" s="105"/>
      <c r="EO659" s="105"/>
      <c r="EP659" s="105"/>
      <c r="EQ659" s="105"/>
      <c r="ER659" s="105"/>
      <c r="ES659" s="105"/>
      <c r="ET659" s="105"/>
      <c r="EU659" s="105"/>
      <c r="EV659" s="105"/>
      <c r="EW659" s="105"/>
      <c r="EX659" s="105"/>
      <c r="EY659" s="105"/>
      <c r="EZ659" s="105"/>
      <c r="FA659" s="105"/>
      <c r="FB659" s="105"/>
      <c r="FC659" s="105"/>
      <c r="FD659" s="105"/>
      <c r="FE659" s="105"/>
      <c r="FF659" s="105"/>
      <c r="FG659" s="105"/>
      <c r="FH659" s="105"/>
      <c r="FI659" s="105"/>
      <c r="FJ659" s="105"/>
      <c r="FK659" s="105"/>
      <c r="FL659" s="105"/>
      <c r="FM659" s="105"/>
      <c r="FN659" s="105"/>
      <c r="FO659" s="105"/>
      <c r="FP659" s="105"/>
      <c r="FQ659" s="105"/>
      <c r="FR659" s="105"/>
      <c r="FS659" s="105"/>
      <c r="FT659" s="105"/>
      <c r="FU659" s="105"/>
      <c r="FV659" s="105"/>
      <c r="FW659" s="105"/>
      <c r="FX659" s="105"/>
      <c r="FY659" s="105"/>
      <c r="FZ659" s="105"/>
      <c r="GA659" s="105"/>
      <c r="GB659" s="105"/>
      <c r="GC659" s="105"/>
      <c r="GD659" s="105"/>
      <c r="GE659" s="105"/>
      <c r="GF659" s="105"/>
      <c r="GG659" s="105"/>
      <c r="GH659" s="105"/>
    </row>
    <row r="660" spans="30:190" ht="6.95" customHeight="1" x14ac:dyDescent="0.15">
      <c r="AD660" s="56"/>
      <c r="AE660" s="3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3"/>
      <c r="AQ660" s="103"/>
      <c r="AR660" s="103"/>
      <c r="AS660" s="103"/>
      <c r="AT660" s="103"/>
      <c r="AU660" s="103"/>
      <c r="AV660" s="103"/>
      <c r="AW660" s="103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1"/>
      <c r="BI660" s="1"/>
      <c r="BJ660" s="1"/>
      <c r="BK660" s="1"/>
      <c r="BL660" s="1"/>
      <c r="BM660" s="1"/>
      <c r="BN660" s="1"/>
      <c r="BO660" s="1"/>
      <c r="BP660" s="99"/>
      <c r="BQ660" s="93"/>
      <c r="BR660" s="93"/>
      <c r="BS660" s="93"/>
      <c r="BT660" s="93"/>
      <c r="BU660" s="93"/>
      <c r="BV660" s="93"/>
      <c r="BW660" s="93"/>
      <c r="BX660" s="93"/>
      <c r="BY660" s="93"/>
      <c r="BZ660" s="93"/>
      <c r="CA660" s="93"/>
      <c r="CB660" s="93"/>
      <c r="CC660" s="93"/>
      <c r="CD660" s="93"/>
      <c r="CE660" s="93"/>
      <c r="CF660" s="93"/>
      <c r="CG660" s="93"/>
      <c r="CH660" s="93"/>
      <c r="CI660" s="93"/>
      <c r="CJ660" s="93"/>
      <c r="CK660" s="93"/>
      <c r="CL660" s="93"/>
      <c r="CM660" s="93"/>
      <c r="CN660" s="93"/>
      <c r="CO660" s="93"/>
      <c r="CP660" s="93"/>
      <c r="CQ660" s="52"/>
      <c r="CR660" s="189"/>
      <c r="CS660" s="189"/>
      <c r="CT660" s="189"/>
      <c r="CU660" s="189"/>
      <c r="CV660" s="189"/>
      <c r="CW660" s="189"/>
      <c r="CX660" s="84"/>
      <c r="CY660" s="84"/>
      <c r="CZ660" s="88"/>
      <c r="DA660" s="88"/>
      <c r="DB660" s="103"/>
      <c r="DC660" s="103"/>
      <c r="DD660" s="103"/>
      <c r="DE660" s="103"/>
      <c r="DF660" s="103"/>
      <c r="DG660" s="103"/>
      <c r="DH660" s="103"/>
      <c r="DI660" s="103"/>
      <c r="DJ660" s="84"/>
      <c r="DK660" s="84"/>
      <c r="DL660" s="4"/>
      <c r="DM660" s="4"/>
      <c r="DN660" s="4"/>
      <c r="DO660" s="4"/>
      <c r="DP660" s="4"/>
      <c r="DQ660" s="4"/>
      <c r="DR660" s="4"/>
      <c r="DS660" s="4"/>
      <c r="DT660" s="4"/>
      <c r="DU660" s="1"/>
      <c r="DV660" s="1"/>
      <c r="DW660" s="1"/>
      <c r="DX660" s="1"/>
      <c r="DY660" s="1"/>
      <c r="DZ660" s="1"/>
      <c r="EA660" s="1"/>
      <c r="EB660" s="1"/>
      <c r="EC660" s="99"/>
      <c r="ED660" s="105"/>
      <c r="EE660" s="105"/>
      <c r="EF660" s="105"/>
      <c r="EG660" s="105"/>
      <c r="EH660" s="105"/>
      <c r="EI660" s="105"/>
      <c r="EJ660" s="105"/>
      <c r="EK660" s="105"/>
      <c r="EL660" s="105"/>
      <c r="EM660" s="105"/>
      <c r="EN660" s="105"/>
      <c r="EO660" s="105"/>
      <c r="EP660" s="105"/>
      <c r="EQ660" s="105"/>
      <c r="ER660" s="105"/>
      <c r="ES660" s="105"/>
      <c r="ET660" s="105"/>
      <c r="EU660" s="105"/>
      <c r="EV660" s="105"/>
      <c r="EW660" s="105"/>
      <c r="EX660" s="105"/>
      <c r="EY660" s="105"/>
      <c r="EZ660" s="105"/>
      <c r="FA660" s="105"/>
      <c r="FB660" s="105"/>
      <c r="FC660" s="105"/>
      <c r="FD660" s="105"/>
      <c r="FE660" s="105"/>
      <c r="FF660" s="105"/>
      <c r="FG660" s="105"/>
      <c r="FH660" s="105"/>
      <c r="FI660" s="105"/>
      <c r="FJ660" s="105"/>
      <c r="FK660" s="105"/>
      <c r="FL660" s="105"/>
      <c r="FM660" s="105"/>
      <c r="FN660" s="105"/>
      <c r="FO660" s="105"/>
      <c r="FP660" s="105"/>
      <c r="FQ660" s="105"/>
      <c r="FR660" s="105"/>
      <c r="FS660" s="105"/>
      <c r="FT660" s="105"/>
      <c r="FU660" s="105"/>
      <c r="FV660" s="105"/>
      <c r="FW660" s="105"/>
      <c r="FX660" s="105"/>
      <c r="FY660" s="105"/>
      <c r="FZ660" s="105"/>
      <c r="GA660" s="105"/>
      <c r="GB660" s="105"/>
      <c r="GC660" s="105"/>
      <c r="GD660" s="105"/>
      <c r="GE660" s="105"/>
      <c r="GF660" s="105"/>
      <c r="GG660" s="105"/>
      <c r="GH660" s="105"/>
    </row>
    <row r="661" spans="30:190" ht="6.95" customHeight="1" x14ac:dyDescent="0.15">
      <c r="AD661" s="56"/>
      <c r="AE661" s="3"/>
      <c r="AF661" s="200" t="s">
        <v>26</v>
      </c>
      <c r="AG661" s="200"/>
      <c r="AH661" s="200"/>
      <c r="AI661" s="200"/>
      <c r="AJ661" s="106"/>
      <c r="AK661" s="106"/>
      <c r="AL661" s="106"/>
      <c r="AM661" s="106"/>
      <c r="AN661" s="106"/>
      <c r="AO661" s="106"/>
      <c r="AP661" s="103"/>
      <c r="AQ661" s="103"/>
      <c r="AR661" s="103"/>
      <c r="AS661" s="103"/>
      <c r="AT661" s="103"/>
      <c r="AU661" s="103"/>
      <c r="AV661" s="103"/>
      <c r="AW661" s="103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1"/>
      <c r="BI661" s="1"/>
      <c r="BJ661" s="1"/>
      <c r="BK661" s="1"/>
      <c r="BL661" s="1"/>
      <c r="BM661" s="1"/>
      <c r="BN661" s="1"/>
      <c r="BO661" s="1"/>
      <c r="BP661" s="99"/>
      <c r="CQ661" s="56"/>
      <c r="CR661" s="3"/>
      <c r="CS661" s="189"/>
      <c r="CT661" s="189"/>
      <c r="CU661" s="189"/>
      <c r="CV661" s="189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1"/>
      <c r="DV661" s="1"/>
      <c r="DW661" s="1"/>
      <c r="DX661" s="1"/>
      <c r="DY661" s="1"/>
      <c r="DZ661" s="1"/>
      <c r="EA661" s="1"/>
      <c r="EB661" s="1"/>
      <c r="EC661" s="99"/>
      <c r="ED661" s="105"/>
      <c r="EE661" s="105"/>
      <c r="EF661" s="105"/>
      <c r="EG661" s="105"/>
      <c r="EH661" s="105"/>
      <c r="EI661" s="105"/>
      <c r="EJ661" s="105"/>
      <c r="EK661" s="105"/>
      <c r="EL661" s="105"/>
      <c r="EM661" s="105"/>
      <c r="EN661" s="105"/>
      <c r="EO661" s="105"/>
      <c r="EP661" s="105"/>
      <c r="EQ661" s="105"/>
      <c r="ER661" s="105"/>
      <c r="ES661" s="105"/>
      <c r="ET661" s="105"/>
      <c r="EU661" s="105"/>
      <c r="EV661" s="105"/>
      <c r="EW661" s="105"/>
      <c r="EX661" s="105"/>
      <c r="EY661" s="105"/>
      <c r="EZ661" s="105"/>
      <c r="FA661" s="105"/>
      <c r="FB661" s="105"/>
      <c r="FC661" s="105"/>
      <c r="FD661" s="105"/>
      <c r="FE661" s="105"/>
      <c r="FF661" s="105"/>
      <c r="FG661" s="105"/>
      <c r="FH661" s="105"/>
      <c r="FI661" s="105"/>
      <c r="FJ661" s="105"/>
      <c r="FK661" s="105"/>
      <c r="FL661" s="105"/>
      <c r="FM661" s="105"/>
      <c r="FN661" s="105"/>
      <c r="FO661" s="105"/>
      <c r="FP661" s="105"/>
      <c r="FQ661" s="105"/>
      <c r="FR661" s="105"/>
      <c r="FS661" s="105"/>
      <c r="FT661" s="105"/>
      <c r="FU661" s="105"/>
      <c r="FV661" s="105"/>
      <c r="FW661" s="105"/>
      <c r="FX661" s="105"/>
      <c r="FY661" s="105"/>
      <c r="FZ661" s="105"/>
      <c r="GA661" s="105"/>
      <c r="GB661" s="105"/>
      <c r="GC661" s="105"/>
      <c r="GD661" s="105"/>
      <c r="GE661" s="105"/>
      <c r="GF661" s="105"/>
      <c r="GG661" s="105"/>
      <c r="GH661" s="105"/>
    </row>
    <row r="662" spans="30:190" ht="6.95" customHeight="1" x14ac:dyDescent="0.15">
      <c r="AD662" s="56"/>
      <c r="AE662" s="3"/>
      <c r="AF662" s="200"/>
      <c r="AG662" s="200"/>
      <c r="AH662" s="200"/>
      <c r="AI662" s="200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1"/>
      <c r="BI662" s="1"/>
      <c r="BJ662" s="199">
        <f>CHOOSE(SUM((AD629&gt;={700,750,800,850,900,950})*1), 140,190,240,290,340,390)</f>
        <v>190</v>
      </c>
      <c r="BK662" s="199"/>
      <c r="BL662" s="199"/>
      <c r="BM662" s="199"/>
      <c r="BN662" s="1"/>
      <c r="BO662" s="1"/>
      <c r="BP662" s="99"/>
      <c r="BQ662" s="93"/>
      <c r="BR662" s="93"/>
      <c r="BS662" s="93"/>
      <c r="BT662" s="93"/>
      <c r="BU662" s="93"/>
      <c r="BV662" s="93"/>
      <c r="BW662" s="93"/>
      <c r="BX662" s="93"/>
      <c r="BY662" s="93"/>
      <c r="BZ662" s="93"/>
      <c r="CA662" s="93"/>
      <c r="CB662" s="93"/>
      <c r="CC662" s="93"/>
      <c r="CD662" s="93"/>
      <c r="CE662" s="93"/>
      <c r="CF662" s="93"/>
      <c r="CG662" s="93"/>
      <c r="CH662" s="93"/>
      <c r="CI662" s="93"/>
      <c r="CJ662" s="93"/>
      <c r="CK662" s="93"/>
      <c r="CL662" s="93"/>
      <c r="CM662" s="93"/>
      <c r="CN662" s="93"/>
      <c r="CO662" s="93"/>
      <c r="CP662" s="93"/>
      <c r="CQ662" s="56"/>
      <c r="CR662" s="3"/>
      <c r="CS662" s="189"/>
      <c r="CT662" s="189"/>
      <c r="CU662" s="189"/>
      <c r="CV662" s="189"/>
      <c r="CW662" s="106"/>
      <c r="CX662" s="106"/>
      <c r="CY662" s="106"/>
      <c r="CZ662" s="106"/>
      <c r="DA662" s="106"/>
      <c r="DB662" s="106"/>
      <c r="DC662" s="103"/>
      <c r="DD662" s="103"/>
      <c r="DE662" s="103"/>
      <c r="DF662" s="103"/>
      <c r="DG662" s="103"/>
      <c r="DH662" s="103"/>
      <c r="DI662" s="103"/>
      <c r="DJ662" s="103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1"/>
      <c r="DV662" s="1"/>
      <c r="DW662" s="1"/>
      <c r="DX662" s="1"/>
      <c r="DY662" s="1"/>
      <c r="DZ662" s="1"/>
      <c r="EA662" s="1"/>
      <c r="EB662" s="1"/>
      <c r="EC662" s="147"/>
      <c r="ED662" s="105"/>
      <c r="EE662" s="105"/>
      <c r="EF662" s="105"/>
      <c r="EG662" s="105"/>
      <c r="EH662" s="105"/>
      <c r="EI662" s="105"/>
      <c r="EJ662" s="105"/>
      <c r="EK662" s="105"/>
      <c r="EL662" s="105"/>
      <c r="EM662" s="105"/>
      <c r="EN662" s="105"/>
      <c r="EO662" s="105"/>
      <c r="EP662" s="105"/>
      <c r="EQ662" s="105"/>
      <c r="ER662" s="105"/>
      <c r="ES662" s="105"/>
      <c r="ET662" s="105"/>
      <c r="EU662" s="105"/>
      <c r="EV662" s="105"/>
      <c r="EW662" s="105"/>
      <c r="EX662" s="105"/>
      <c r="EY662" s="105"/>
      <c r="EZ662" s="105"/>
      <c r="FA662" s="105"/>
      <c r="FB662" s="105"/>
      <c r="FC662" s="105"/>
      <c r="FD662" s="105"/>
      <c r="FE662" s="105"/>
      <c r="FF662" s="105"/>
      <c r="FG662" s="105"/>
      <c r="FH662" s="105"/>
      <c r="FI662" s="105"/>
      <c r="FJ662" s="105"/>
      <c r="FK662" s="105"/>
      <c r="FL662" s="105"/>
      <c r="FM662" s="105"/>
      <c r="FN662" s="105"/>
      <c r="FO662" s="105"/>
      <c r="FP662" s="105"/>
      <c r="FQ662" s="105"/>
      <c r="FR662" s="105"/>
      <c r="FS662" s="105"/>
      <c r="FT662" s="105"/>
      <c r="FU662" s="105"/>
      <c r="FV662" s="105"/>
      <c r="FW662" s="105"/>
      <c r="FX662" s="105"/>
      <c r="FY662" s="105"/>
      <c r="FZ662" s="105"/>
      <c r="GA662" s="105"/>
      <c r="GB662" s="105"/>
      <c r="GC662" s="105"/>
      <c r="GD662" s="105"/>
      <c r="GE662" s="105"/>
      <c r="GF662" s="105"/>
      <c r="GG662" s="105"/>
      <c r="GH662" s="105"/>
    </row>
    <row r="663" spans="30:190" ht="6.95" customHeight="1" x14ac:dyDescent="0.15">
      <c r="AD663" s="56"/>
      <c r="AE663" s="3"/>
      <c r="AF663" s="106"/>
      <c r="AG663" s="106"/>
      <c r="AH663" s="106"/>
      <c r="AI663" s="106"/>
      <c r="AJ663" s="104"/>
      <c r="AK663" s="105"/>
      <c r="AL663" s="105"/>
      <c r="AM663" s="105"/>
      <c r="AN663" s="105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1"/>
      <c r="BI663" s="1"/>
      <c r="BJ663" s="199"/>
      <c r="BK663" s="199"/>
      <c r="BL663" s="199"/>
      <c r="BM663" s="199"/>
      <c r="BN663" s="1"/>
      <c r="BO663" s="1"/>
      <c r="BP663" s="99"/>
      <c r="BQ663" s="93"/>
      <c r="BR663" s="93"/>
      <c r="BS663" s="93"/>
      <c r="BT663" s="93"/>
      <c r="BU663" s="93"/>
      <c r="BV663" s="93"/>
      <c r="BW663" s="93"/>
      <c r="BX663" s="93"/>
      <c r="BY663" s="93"/>
      <c r="BZ663" s="93"/>
      <c r="CA663" s="93"/>
      <c r="CB663" s="93"/>
      <c r="CC663" s="93"/>
      <c r="CD663" s="93"/>
      <c r="CE663" s="93"/>
      <c r="CF663" s="93"/>
      <c r="CG663" s="93"/>
      <c r="CH663" s="93"/>
      <c r="CI663" s="93"/>
      <c r="CJ663" s="93"/>
      <c r="CK663" s="93"/>
      <c r="CL663" s="93"/>
      <c r="CM663" s="93"/>
      <c r="CN663" s="93"/>
      <c r="CO663" s="93"/>
      <c r="CP663" s="93"/>
      <c r="CQ663" s="56"/>
      <c r="CR663" s="3"/>
      <c r="CS663" s="189"/>
      <c r="CT663" s="189"/>
      <c r="CU663" s="189"/>
      <c r="CV663" s="189"/>
      <c r="CW663" s="106"/>
      <c r="CX663" s="106"/>
      <c r="CY663" s="106"/>
      <c r="CZ663" s="106"/>
      <c r="DA663" s="106"/>
      <c r="DB663" s="106"/>
      <c r="DC663" s="103"/>
      <c r="DD663" s="103"/>
      <c r="DE663" s="103"/>
      <c r="DF663" s="103"/>
      <c r="DG663" s="103"/>
      <c r="DH663" s="103"/>
      <c r="DI663" s="103"/>
      <c r="DJ663" s="103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1"/>
      <c r="DV663" s="1"/>
      <c r="DW663" s="1"/>
      <c r="DX663" s="1"/>
      <c r="DY663" s="1"/>
      <c r="DZ663" s="1"/>
      <c r="EA663" s="1"/>
      <c r="EB663" s="1"/>
      <c r="EC663" s="147"/>
      <c r="ED663" s="105"/>
      <c r="EE663" s="105"/>
      <c r="EF663" s="105"/>
      <c r="EG663" s="105"/>
      <c r="EH663" s="105"/>
      <c r="EI663" s="105"/>
      <c r="EJ663" s="105"/>
      <c r="EK663" s="105"/>
      <c r="EL663" s="105"/>
      <c r="EM663" s="105"/>
      <c r="EN663" s="105"/>
      <c r="EO663" s="105"/>
      <c r="EP663" s="105"/>
      <c r="EQ663" s="105"/>
      <c r="ER663" s="105"/>
      <c r="ES663" s="105"/>
      <c r="ET663" s="105"/>
      <c r="EU663" s="105"/>
      <c r="EV663" s="105"/>
      <c r="EW663" s="105"/>
      <c r="EX663" s="105"/>
      <c r="EY663" s="105"/>
      <c r="EZ663" s="105"/>
      <c r="FA663" s="105"/>
      <c r="FB663" s="105"/>
      <c r="FC663" s="105"/>
      <c r="FD663" s="105"/>
      <c r="FE663" s="105"/>
      <c r="FF663" s="105"/>
      <c r="FG663" s="105"/>
      <c r="FH663" s="105"/>
      <c r="FI663" s="105"/>
      <c r="FJ663" s="105"/>
      <c r="FK663" s="105"/>
      <c r="FL663" s="105"/>
      <c r="FM663" s="105"/>
      <c r="FN663" s="105"/>
      <c r="FO663" s="105"/>
      <c r="FP663" s="105"/>
      <c r="FQ663" s="105"/>
      <c r="FR663" s="105"/>
      <c r="FS663" s="105"/>
      <c r="FT663" s="105"/>
      <c r="FU663" s="105"/>
      <c r="FV663" s="105"/>
      <c r="FW663" s="105"/>
      <c r="FX663" s="105"/>
      <c r="FY663" s="105"/>
      <c r="FZ663" s="105"/>
      <c r="GA663" s="105"/>
      <c r="GB663" s="105"/>
      <c r="GC663" s="105"/>
      <c r="GD663" s="105"/>
      <c r="GE663" s="105"/>
      <c r="GF663" s="105"/>
      <c r="GG663" s="105"/>
      <c r="GH663" s="105"/>
    </row>
    <row r="664" spans="30:190" ht="6.95" customHeight="1" x14ac:dyDescent="0.15">
      <c r="AD664" s="56"/>
      <c r="AE664" s="3"/>
      <c r="AF664" s="197" t="str">
        <f>AF661</f>
        <v>D16</v>
      </c>
      <c r="AG664" s="197"/>
      <c r="AH664" s="197"/>
      <c r="AI664" s="197"/>
      <c r="AJ664" s="104"/>
      <c r="AK664" s="105"/>
      <c r="AL664" s="105"/>
      <c r="AM664" s="105"/>
      <c r="AN664" s="105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1"/>
      <c r="BI664" s="1"/>
      <c r="BJ664" s="96"/>
      <c r="BK664" s="96"/>
      <c r="BL664" s="96"/>
      <c r="BM664" s="96"/>
      <c r="BN664" s="110"/>
      <c r="BO664" s="1"/>
      <c r="BP664" s="99"/>
      <c r="BQ664" s="93"/>
      <c r="BR664" s="93"/>
      <c r="BS664" s="93"/>
      <c r="BT664" s="93"/>
      <c r="BU664" s="93"/>
      <c r="BV664" s="93"/>
      <c r="BW664" s="93"/>
      <c r="BX664" s="93"/>
      <c r="BY664" s="93"/>
      <c r="BZ664" s="93"/>
      <c r="CA664" s="93"/>
      <c r="CB664" s="93"/>
      <c r="CC664" s="93"/>
      <c r="CD664" s="93"/>
      <c r="CE664" s="93"/>
      <c r="CF664" s="93"/>
      <c r="CG664" s="93"/>
      <c r="CH664" s="93"/>
      <c r="CI664" s="93"/>
      <c r="CJ664" s="93"/>
      <c r="CK664" s="93"/>
      <c r="CL664" s="93"/>
      <c r="CM664" s="93"/>
      <c r="CN664" s="93"/>
      <c r="CO664" s="93"/>
      <c r="CP664" s="93"/>
      <c r="CQ664" s="56"/>
      <c r="CR664" s="3"/>
      <c r="CS664" s="193" t="s">
        <v>44</v>
      </c>
      <c r="CT664" s="193"/>
      <c r="CU664" s="193"/>
      <c r="CV664" s="193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1"/>
      <c r="DV664" s="1"/>
      <c r="DW664" s="199" t="e">
        <f>CHOOSE(SUM((CQ631&gt;={700,750,800,850,900,950})*1), 140,190,240,290,340,390)</f>
        <v>#VALUE!</v>
      </c>
      <c r="DX664" s="199"/>
      <c r="DY664" s="199"/>
      <c r="DZ664" s="199"/>
      <c r="EA664" s="1"/>
      <c r="EB664" s="1"/>
      <c r="EC664" s="147"/>
      <c r="ED664" s="105"/>
      <c r="EE664" s="105"/>
      <c r="EF664" s="105"/>
      <c r="EG664" s="105"/>
      <c r="EH664" s="105"/>
      <c r="EI664" s="105"/>
      <c r="EJ664" s="105"/>
      <c r="EK664" s="105"/>
      <c r="EL664" s="105"/>
      <c r="EM664" s="105"/>
      <c r="EN664" s="105"/>
      <c r="EO664" s="105"/>
      <c r="EP664" s="105"/>
      <c r="EQ664" s="105"/>
      <c r="ER664" s="105"/>
      <c r="ES664" s="105"/>
      <c r="ET664" s="105"/>
      <c r="EU664" s="105"/>
      <c r="EV664" s="105"/>
      <c r="EW664" s="105"/>
      <c r="EX664" s="105"/>
      <c r="EY664" s="105"/>
      <c r="EZ664" s="105"/>
      <c r="FA664" s="105"/>
      <c r="FB664" s="105"/>
      <c r="FC664" s="105"/>
      <c r="FD664" s="105"/>
      <c r="FE664" s="105"/>
      <c r="FF664" s="105"/>
      <c r="FG664" s="105"/>
      <c r="FH664" s="105"/>
      <c r="FI664" s="105"/>
      <c r="FJ664" s="105"/>
      <c r="FK664" s="105"/>
      <c r="FL664" s="105"/>
      <c r="FM664" s="105"/>
      <c r="FN664" s="105"/>
      <c r="FO664" s="105"/>
      <c r="FP664" s="105"/>
      <c r="FQ664" s="105"/>
      <c r="FR664" s="105"/>
      <c r="FS664" s="105"/>
      <c r="FT664" s="105"/>
      <c r="FU664" s="105"/>
      <c r="FV664" s="105"/>
      <c r="FW664" s="105"/>
      <c r="FX664" s="105"/>
      <c r="FY664" s="105"/>
      <c r="FZ664" s="105"/>
      <c r="GA664" s="105"/>
      <c r="GB664" s="105"/>
      <c r="GC664" s="105"/>
      <c r="GD664" s="105"/>
      <c r="GE664" s="105"/>
      <c r="GF664" s="105"/>
      <c r="GG664" s="105"/>
      <c r="GH664" s="105"/>
    </row>
    <row r="665" spans="30:190" ht="6.95" customHeight="1" x14ac:dyDescent="0.15">
      <c r="AD665" s="56"/>
      <c r="AE665" s="3"/>
      <c r="AF665" s="197"/>
      <c r="AG665" s="197"/>
      <c r="AH665" s="197"/>
      <c r="AI665" s="197"/>
      <c r="AJ665" s="4"/>
      <c r="AK665" s="4"/>
      <c r="AL665" s="105"/>
      <c r="AM665" s="105"/>
      <c r="AN665" s="105"/>
      <c r="AO665" s="105"/>
      <c r="AP665" s="105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1"/>
      <c r="BI665" s="1"/>
      <c r="BJ665" s="1"/>
      <c r="BK665" s="1"/>
      <c r="BL665" s="110"/>
      <c r="BM665" s="110"/>
      <c r="BN665" s="110"/>
      <c r="BO665" s="1"/>
      <c r="BP665" s="99"/>
      <c r="BQ665" s="93"/>
      <c r="BR665" s="93"/>
      <c r="BS665" s="93"/>
      <c r="BT665" s="93"/>
      <c r="BU665" s="93"/>
      <c r="BV665" s="93"/>
      <c r="BW665" s="93"/>
      <c r="BX665" s="93"/>
      <c r="BY665" s="93"/>
      <c r="BZ665" s="93"/>
      <c r="CA665" s="93"/>
      <c r="CB665" s="93"/>
      <c r="CC665" s="93"/>
      <c r="CD665" s="93"/>
      <c r="CE665" s="93"/>
      <c r="CF665" s="93"/>
      <c r="CG665" s="93"/>
      <c r="CH665" s="93"/>
      <c r="CI665" s="93"/>
      <c r="CJ665" s="93"/>
      <c r="CK665" s="93"/>
      <c r="CL665" s="93"/>
      <c r="CM665" s="93"/>
      <c r="CN665" s="93"/>
      <c r="CO665" s="93"/>
      <c r="CP665" s="93"/>
      <c r="CQ665" s="56"/>
      <c r="CR665" s="3"/>
      <c r="CS665" s="193"/>
      <c r="CT665" s="193"/>
      <c r="CU665" s="193"/>
      <c r="CV665" s="193"/>
      <c r="CW665" s="104"/>
      <c r="CX665" s="105"/>
      <c r="CY665" s="105"/>
      <c r="CZ665" s="105"/>
      <c r="DA665" s="105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1"/>
      <c r="DV665" s="1"/>
      <c r="DW665" s="199"/>
      <c r="DX665" s="199"/>
      <c r="DY665" s="199"/>
      <c r="DZ665" s="199"/>
      <c r="EA665" s="1"/>
      <c r="EB665" s="1"/>
      <c r="EC665" s="147"/>
      <c r="ED665" s="105"/>
      <c r="EE665" s="105"/>
      <c r="EF665" s="105"/>
      <c r="EG665" s="105"/>
      <c r="EH665" s="105"/>
      <c r="EI665" s="105"/>
      <c r="EJ665" s="105"/>
      <c r="EK665" s="105"/>
      <c r="EL665" s="105"/>
      <c r="EM665" s="105"/>
      <c r="EN665" s="105"/>
      <c r="EO665" s="105"/>
      <c r="EP665" s="105"/>
      <c r="EQ665" s="105"/>
      <c r="ER665" s="105"/>
      <c r="ES665" s="105"/>
      <c r="ET665" s="105"/>
      <c r="EU665" s="105"/>
      <c r="EV665" s="105"/>
      <c r="EW665" s="105"/>
      <c r="EX665" s="105"/>
      <c r="EY665" s="105"/>
      <c r="EZ665" s="105"/>
      <c r="FA665" s="105"/>
      <c r="FB665" s="105"/>
      <c r="FC665" s="105"/>
      <c r="FD665" s="105"/>
      <c r="FE665" s="105"/>
      <c r="FF665" s="105"/>
      <c r="FG665" s="105"/>
      <c r="FH665" s="105"/>
      <c r="FI665" s="105"/>
      <c r="FJ665" s="105"/>
      <c r="FK665" s="105"/>
      <c r="FL665" s="105"/>
      <c r="FM665" s="105"/>
      <c r="FN665" s="105"/>
      <c r="FO665" s="105"/>
      <c r="FP665" s="105"/>
      <c r="FQ665" s="105"/>
      <c r="FR665" s="105"/>
      <c r="FS665" s="105"/>
      <c r="FT665" s="105"/>
      <c r="FU665" s="105"/>
      <c r="FV665" s="105"/>
      <c r="FW665" s="105"/>
      <c r="FX665" s="105"/>
      <c r="FY665" s="105"/>
      <c r="FZ665" s="105"/>
      <c r="GA665" s="105"/>
      <c r="GB665" s="105"/>
      <c r="GC665" s="105"/>
      <c r="GD665" s="105"/>
      <c r="GE665" s="105"/>
      <c r="GF665" s="105"/>
      <c r="GG665" s="105"/>
      <c r="GH665" s="105"/>
    </row>
    <row r="666" spans="30:190" ht="6.95" customHeight="1" x14ac:dyDescent="0.15">
      <c r="AD666" s="56"/>
      <c r="AE666" s="3"/>
      <c r="AF666" s="106"/>
      <c r="AG666" s="106"/>
      <c r="AH666" s="106"/>
      <c r="AI666" s="106"/>
      <c r="AJ666" s="4"/>
      <c r="AK666" s="4"/>
      <c r="AL666" s="105"/>
      <c r="AM666" s="105"/>
      <c r="AN666" s="105"/>
      <c r="AO666" s="105"/>
      <c r="AP666" s="105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196" t="s">
        <v>42</v>
      </c>
      <c r="BI666" s="196"/>
      <c r="BJ666" s="196"/>
      <c r="BK666" s="196">
        <v>2</v>
      </c>
      <c r="BL666" s="196"/>
      <c r="BM666" s="196" t="s">
        <v>43</v>
      </c>
      <c r="BN666" s="196"/>
      <c r="BO666" s="196"/>
      <c r="BP666" s="99"/>
      <c r="BQ666" s="93"/>
      <c r="BR666" s="93"/>
      <c r="BS666" s="93"/>
      <c r="BT666" s="93"/>
      <c r="BU666" s="93"/>
      <c r="BV666" s="93"/>
      <c r="BW666" s="93"/>
      <c r="BX666" s="93"/>
      <c r="BY666" s="93"/>
      <c r="BZ666" s="93"/>
      <c r="CA666" s="93"/>
      <c r="CB666" s="93"/>
      <c r="CC666" s="93"/>
      <c r="CD666" s="93"/>
      <c r="CE666" s="93"/>
      <c r="CF666" s="93"/>
      <c r="CG666" s="93"/>
      <c r="CH666" s="93"/>
      <c r="CI666" s="93"/>
      <c r="CJ666" s="93"/>
      <c r="CK666" s="93"/>
      <c r="CL666" s="93"/>
      <c r="CM666" s="93"/>
      <c r="CN666" s="93"/>
      <c r="CO666" s="93"/>
      <c r="CP666" s="93"/>
      <c r="CQ666" s="56"/>
      <c r="CR666" s="3"/>
      <c r="CS666" s="189"/>
      <c r="CT666" s="189"/>
      <c r="CU666" s="189"/>
      <c r="CV666" s="189"/>
      <c r="CW666" s="104"/>
      <c r="CX666" s="105"/>
      <c r="CY666" s="105"/>
      <c r="CZ666" s="105"/>
      <c r="DA666" s="105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1"/>
      <c r="DV666" s="1"/>
      <c r="DW666" s="96"/>
      <c r="DX666" s="96"/>
      <c r="DY666" s="96"/>
      <c r="DZ666" s="96"/>
      <c r="EA666" s="110"/>
      <c r="EB666" s="1"/>
      <c r="EC666" s="147"/>
      <c r="ED666" s="105"/>
      <c r="EE666" s="105"/>
      <c r="EF666" s="105"/>
      <c r="EG666" s="105"/>
      <c r="EH666" s="105"/>
      <c r="EI666" s="105"/>
      <c r="EJ666" s="105"/>
      <c r="EK666" s="105"/>
      <c r="EL666" s="105"/>
      <c r="EM666" s="105"/>
      <c r="EN666" s="105"/>
      <c r="EO666" s="105"/>
      <c r="EP666" s="105"/>
      <c r="EQ666" s="105"/>
      <c r="ER666" s="105"/>
      <c r="ES666" s="105"/>
      <c r="ET666" s="105"/>
      <c r="EU666" s="105"/>
      <c r="EV666" s="105"/>
      <c r="EW666" s="105"/>
      <c r="EX666" s="105"/>
      <c r="EY666" s="105"/>
      <c r="EZ666" s="105"/>
      <c r="FA666" s="105"/>
      <c r="FB666" s="105"/>
      <c r="FC666" s="105"/>
      <c r="FD666" s="105"/>
      <c r="FE666" s="105"/>
      <c r="FF666" s="105"/>
      <c r="FG666" s="105"/>
      <c r="FH666" s="105"/>
      <c r="FI666" s="105"/>
      <c r="FJ666" s="105"/>
      <c r="FK666" s="105"/>
      <c r="FL666" s="105"/>
      <c r="FM666" s="105"/>
      <c r="FN666" s="105"/>
      <c r="FO666" s="105"/>
      <c r="FP666" s="105"/>
      <c r="FQ666" s="105"/>
      <c r="FR666" s="105"/>
      <c r="FS666" s="105"/>
      <c r="FT666" s="105"/>
      <c r="FU666" s="105"/>
      <c r="FV666" s="105"/>
      <c r="FW666" s="105"/>
      <c r="FX666" s="105"/>
      <c r="FY666" s="105"/>
      <c r="FZ666" s="105"/>
      <c r="GA666" s="105"/>
      <c r="GB666" s="105"/>
      <c r="GC666" s="105"/>
      <c r="GD666" s="105"/>
      <c r="GE666" s="105"/>
      <c r="GF666" s="105"/>
      <c r="GG666" s="105"/>
      <c r="GH666" s="105"/>
    </row>
    <row r="667" spans="30:190" ht="6.95" customHeight="1" x14ac:dyDescent="0.15">
      <c r="AD667" s="56"/>
      <c r="AE667" s="3"/>
      <c r="AF667" s="3"/>
      <c r="AG667" s="3"/>
      <c r="AH667" s="105"/>
      <c r="AI667" s="105"/>
      <c r="AJ667" s="105"/>
      <c r="AK667" s="105"/>
      <c r="AL667" s="4"/>
      <c r="AM667" s="4"/>
      <c r="AN667" s="4"/>
      <c r="AO667" s="103"/>
      <c r="AP667" s="103"/>
      <c r="AQ667" s="103"/>
      <c r="AR667" s="103"/>
      <c r="AS667" s="103"/>
      <c r="AT667" s="103"/>
      <c r="AU667" s="103"/>
      <c r="AV667" s="103"/>
      <c r="AW667" s="103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196"/>
      <c r="BI667" s="196"/>
      <c r="BJ667" s="196"/>
      <c r="BK667" s="196"/>
      <c r="BL667" s="196"/>
      <c r="BM667" s="196"/>
      <c r="BN667" s="196"/>
      <c r="BO667" s="196"/>
      <c r="BP667" s="99"/>
      <c r="BQ667" s="93"/>
      <c r="BR667" s="93"/>
      <c r="BS667" s="93"/>
      <c r="BT667" s="93"/>
      <c r="BU667" s="93"/>
      <c r="BV667" s="93"/>
      <c r="BW667" s="93"/>
      <c r="BX667" s="93"/>
      <c r="BY667" s="93"/>
      <c r="BZ667" s="93"/>
      <c r="CA667" s="93"/>
      <c r="CB667" s="93"/>
      <c r="CC667" s="93"/>
      <c r="CD667" s="93"/>
      <c r="CE667" s="93"/>
      <c r="CF667" s="93"/>
      <c r="CG667" s="93"/>
      <c r="CH667" s="93"/>
      <c r="CI667" s="93"/>
      <c r="CJ667" s="93"/>
      <c r="CK667" s="93"/>
      <c r="CL667" s="93"/>
      <c r="CM667" s="93"/>
      <c r="CN667" s="93"/>
      <c r="CO667" s="93"/>
      <c r="CP667" s="93"/>
      <c r="CQ667" s="56"/>
      <c r="CR667" s="3"/>
      <c r="CS667" s="189"/>
      <c r="CT667" s="189"/>
      <c r="CU667" s="189"/>
      <c r="CV667" s="189"/>
      <c r="CW667" s="4"/>
      <c r="CX667" s="4"/>
      <c r="CY667" s="105"/>
      <c r="CZ667" s="105"/>
      <c r="DA667" s="105"/>
      <c r="DB667" s="105"/>
      <c r="DC667" s="105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1"/>
      <c r="DV667" s="1"/>
      <c r="DW667" s="1"/>
      <c r="DX667" s="1"/>
      <c r="DY667" s="110"/>
      <c r="DZ667" s="110"/>
      <c r="EA667" s="110"/>
      <c r="EB667" s="1"/>
      <c r="EC667" s="147"/>
      <c r="ED667" s="105"/>
      <c r="EE667" s="105"/>
      <c r="EF667" s="105"/>
      <c r="EG667" s="105"/>
      <c r="EH667" s="105"/>
      <c r="EI667" s="105"/>
      <c r="EJ667" s="105"/>
      <c r="EK667" s="105"/>
      <c r="EL667" s="105"/>
      <c r="EM667" s="105"/>
      <c r="EN667" s="105"/>
      <c r="EO667" s="105"/>
      <c r="EP667" s="105"/>
      <c r="EQ667" s="105"/>
      <c r="ER667" s="105"/>
      <c r="ES667" s="105"/>
      <c r="ET667" s="105"/>
      <c r="EU667" s="105"/>
      <c r="EV667" s="105"/>
      <c r="EW667" s="105"/>
      <c r="EX667" s="105"/>
      <c r="EY667" s="105"/>
      <c r="EZ667" s="105"/>
      <c r="FA667" s="105"/>
      <c r="FB667" s="105"/>
      <c r="FC667" s="105"/>
      <c r="FD667" s="105"/>
      <c r="FE667" s="105"/>
      <c r="FF667" s="105"/>
      <c r="FG667" s="105"/>
      <c r="FH667" s="105"/>
      <c r="FI667" s="105"/>
      <c r="FJ667" s="105"/>
      <c r="FK667" s="105"/>
      <c r="FL667" s="105"/>
      <c r="FM667" s="105"/>
      <c r="FN667" s="105"/>
      <c r="FO667" s="105"/>
      <c r="FP667" s="105"/>
      <c r="FQ667" s="105"/>
      <c r="FR667" s="105"/>
      <c r="FS667" s="105"/>
      <c r="FT667" s="105"/>
      <c r="FU667" s="105"/>
      <c r="FV667" s="105"/>
      <c r="FW667" s="105"/>
      <c r="FX667" s="105"/>
      <c r="FY667" s="105"/>
      <c r="FZ667" s="105"/>
      <c r="GA667" s="105"/>
      <c r="GB667" s="105"/>
      <c r="GC667" s="105"/>
      <c r="GD667" s="105"/>
      <c r="GE667" s="105"/>
      <c r="GF667" s="105"/>
      <c r="GG667" s="105"/>
      <c r="GH667" s="105"/>
    </row>
    <row r="668" spans="30:190" ht="6.95" customHeight="1" x14ac:dyDescent="0.15">
      <c r="AD668" s="56"/>
      <c r="AE668" s="3"/>
      <c r="AF668" s="198"/>
      <c r="AG668" s="198"/>
      <c r="AH668" s="198"/>
      <c r="AI668" s="198"/>
      <c r="AJ668" s="105"/>
      <c r="AK668" s="105"/>
      <c r="AL668" s="218"/>
      <c r="AM668" s="218"/>
      <c r="AN668" s="218"/>
      <c r="AO668" s="218"/>
      <c r="AP668" s="218"/>
      <c r="AQ668" s="218"/>
      <c r="AR668" s="218"/>
      <c r="AS668" s="103"/>
      <c r="AT668" s="196"/>
      <c r="AU668" s="196"/>
      <c r="AV668" s="196"/>
      <c r="AW668" s="196"/>
      <c r="AX668" s="196"/>
      <c r="AY668" s="196"/>
      <c r="AZ668" s="196"/>
      <c r="BA668" s="196"/>
      <c r="BB668" s="4"/>
      <c r="BC668" s="4"/>
      <c r="BD668" s="4"/>
      <c r="BE668" s="4"/>
      <c r="BF668" s="4"/>
      <c r="BG668" s="4"/>
      <c r="BH668" s="103"/>
      <c r="BI668" s="103"/>
      <c r="BJ668" s="103"/>
      <c r="BK668" s="103"/>
      <c r="BL668" s="103"/>
      <c r="BM668" s="103"/>
      <c r="BN668" s="103"/>
      <c r="BO668" s="103"/>
      <c r="BP668" s="99"/>
      <c r="BQ668" s="93"/>
      <c r="BR668" s="93"/>
      <c r="BS668" s="93"/>
      <c r="BT668" s="93"/>
      <c r="BU668" s="93"/>
      <c r="BV668" s="93"/>
      <c r="BW668" s="93"/>
      <c r="BX668" s="93"/>
      <c r="BY668" s="93"/>
      <c r="BZ668" s="93"/>
      <c r="CA668" s="93"/>
      <c r="CB668" s="93"/>
      <c r="CC668" s="93"/>
      <c r="CD668" s="93"/>
      <c r="CE668" s="93"/>
      <c r="CF668" s="93"/>
      <c r="CG668" s="93"/>
      <c r="CH668" s="93"/>
      <c r="CI668" s="93"/>
      <c r="CJ668" s="93"/>
      <c r="CK668" s="93"/>
      <c r="CL668" s="93"/>
      <c r="CM668" s="93"/>
      <c r="CN668" s="93"/>
      <c r="CO668" s="93"/>
      <c r="CP668" s="93"/>
      <c r="CQ668" s="56"/>
      <c r="CR668" s="3"/>
      <c r="CS668" s="193" t="s">
        <v>44</v>
      </c>
      <c r="CT668" s="193"/>
      <c r="CU668" s="193"/>
      <c r="CV668" s="193"/>
      <c r="CW668" s="4"/>
      <c r="CX668" s="4"/>
      <c r="CY668" s="105"/>
      <c r="CZ668" s="105"/>
      <c r="DA668" s="105"/>
      <c r="DB668" s="105"/>
      <c r="DC668" s="105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196" t="s">
        <v>42</v>
      </c>
      <c r="DV668" s="196"/>
      <c r="DW668" s="196"/>
      <c r="DX668" s="196">
        <v>1</v>
      </c>
      <c r="DY668" s="196"/>
      <c r="DZ668" s="196" t="s">
        <v>43</v>
      </c>
      <c r="EA668" s="196"/>
      <c r="EB668" s="196"/>
      <c r="EC668" s="147"/>
      <c r="ED668" s="105"/>
      <c r="EE668" s="105"/>
      <c r="EF668" s="105"/>
      <c r="EG668" s="105"/>
      <c r="EH668" s="105"/>
      <c r="EI668" s="105"/>
      <c r="EJ668" s="105"/>
      <c r="EK668" s="105"/>
      <c r="EL668" s="105"/>
      <c r="EM668" s="105"/>
      <c r="EN668" s="105"/>
      <c r="EO668" s="105"/>
      <c r="EP668" s="105"/>
      <c r="EQ668" s="105"/>
      <c r="ER668" s="105"/>
      <c r="ES668" s="105"/>
      <c r="ET668" s="105"/>
      <c r="EU668" s="105"/>
      <c r="EV668" s="105"/>
      <c r="EW668" s="105"/>
      <c r="EX668" s="105"/>
      <c r="EY668" s="105"/>
      <c r="EZ668" s="105"/>
      <c r="FA668" s="105"/>
      <c r="FB668" s="105"/>
      <c r="FC668" s="105"/>
      <c r="FD668" s="105"/>
      <c r="FE668" s="105"/>
      <c r="FF668" s="105"/>
      <c r="FG668" s="105"/>
      <c r="FH668" s="105"/>
      <c r="FI668" s="105"/>
      <c r="FJ668" s="105"/>
      <c r="FK668" s="105"/>
      <c r="FL668" s="105"/>
      <c r="FM668" s="105"/>
      <c r="FN668" s="105"/>
      <c r="FO668" s="105"/>
      <c r="FP668" s="105"/>
      <c r="FQ668" s="105"/>
      <c r="FR668" s="105"/>
      <c r="FS668" s="105"/>
      <c r="FT668" s="105"/>
      <c r="FU668" s="105"/>
      <c r="FV668" s="105"/>
      <c r="FW668" s="105"/>
      <c r="FX668" s="105"/>
      <c r="FY668" s="105"/>
      <c r="FZ668" s="105"/>
      <c r="GA668" s="105"/>
      <c r="GB668" s="105"/>
      <c r="GC668" s="105"/>
      <c r="GD668" s="105"/>
      <c r="GE668" s="105"/>
      <c r="GF668" s="105"/>
      <c r="GG668" s="105"/>
      <c r="GH668" s="105"/>
    </row>
    <row r="669" spans="30:190" ht="6.95" customHeight="1" x14ac:dyDescent="0.15">
      <c r="AD669" s="56"/>
      <c r="AE669" s="3"/>
      <c r="AF669" s="198"/>
      <c r="AG669" s="198"/>
      <c r="AH669" s="198"/>
      <c r="AI669" s="198"/>
      <c r="AJ669" s="4"/>
      <c r="AK669" s="4"/>
      <c r="AL669" s="218"/>
      <c r="AM669" s="218"/>
      <c r="AN669" s="218"/>
      <c r="AO669" s="218"/>
      <c r="AP669" s="218"/>
      <c r="AQ669" s="218"/>
      <c r="AR669" s="218"/>
      <c r="AS669" s="103"/>
      <c r="AT669" s="196"/>
      <c r="AU669" s="196"/>
      <c r="AV669" s="196"/>
      <c r="AW669" s="196"/>
      <c r="AX669" s="196"/>
      <c r="AY669" s="196"/>
      <c r="AZ669" s="196"/>
      <c r="BA669" s="196"/>
      <c r="BB669" s="4"/>
      <c r="BC669" s="4"/>
      <c r="BD669" s="4"/>
      <c r="BE669" s="4"/>
      <c r="BF669" s="4"/>
      <c r="BG669" s="4"/>
      <c r="BH669" s="1"/>
      <c r="BI669" s="1"/>
      <c r="BJ669" s="1"/>
      <c r="BK669" s="1"/>
      <c r="BL669" s="1"/>
      <c r="BM669" s="1"/>
      <c r="BN669" s="1"/>
      <c r="BO669" s="1"/>
      <c r="BP669" s="99"/>
      <c r="BQ669" s="93"/>
      <c r="BR669" s="93"/>
      <c r="BS669" s="93"/>
      <c r="BT669" s="93"/>
      <c r="BU669" s="93"/>
      <c r="BV669" s="93"/>
      <c r="BW669" s="93"/>
      <c r="BX669" s="93"/>
      <c r="BY669" s="93"/>
      <c r="BZ669" s="93"/>
      <c r="CA669" s="93"/>
      <c r="CB669" s="93"/>
      <c r="CC669" s="93"/>
      <c r="CD669" s="93"/>
      <c r="CE669" s="93"/>
      <c r="CF669" s="93"/>
      <c r="CG669" s="93"/>
      <c r="CH669" s="93"/>
      <c r="CI669" s="93"/>
      <c r="CJ669" s="93"/>
      <c r="CK669" s="93"/>
      <c r="CL669" s="93"/>
      <c r="CM669" s="93"/>
      <c r="CN669" s="93"/>
      <c r="CO669" s="93"/>
      <c r="CP669" s="93"/>
      <c r="CQ669" s="56"/>
      <c r="CR669" s="3"/>
      <c r="CS669" s="193"/>
      <c r="CT669" s="193"/>
      <c r="CU669" s="193"/>
      <c r="CV669" s="193"/>
      <c r="CW669" s="105"/>
      <c r="CX669" s="105"/>
      <c r="CY669" s="4"/>
      <c r="CZ669" s="4"/>
      <c r="DA669" s="4"/>
      <c r="DB669" s="103"/>
      <c r="DC669" s="103"/>
      <c r="DD669" s="103"/>
      <c r="DE669" s="103"/>
      <c r="DF669" s="103"/>
      <c r="DG669" s="103"/>
      <c r="DH669" s="103"/>
      <c r="DI669" s="103"/>
      <c r="DJ669" s="103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196"/>
      <c r="DV669" s="196"/>
      <c r="DW669" s="196"/>
      <c r="DX669" s="196"/>
      <c r="DY669" s="196"/>
      <c r="DZ669" s="196"/>
      <c r="EA669" s="196"/>
      <c r="EB669" s="196"/>
      <c r="EC669" s="147"/>
      <c r="ED669" s="105"/>
      <c r="EE669" s="105"/>
      <c r="EF669" s="105"/>
      <c r="EG669" s="105"/>
      <c r="EH669" s="105"/>
      <c r="EI669" s="105"/>
      <c r="EJ669" s="105"/>
      <c r="EK669" s="105"/>
      <c r="EL669" s="105"/>
      <c r="EM669" s="105"/>
      <c r="EN669" s="105"/>
      <c r="EO669" s="105"/>
      <c r="EP669" s="105"/>
      <c r="EQ669" s="105"/>
      <c r="ER669" s="105"/>
      <c r="ES669" s="105"/>
      <c r="ET669" s="105"/>
      <c r="EU669" s="105"/>
      <c r="EV669" s="105"/>
      <c r="EW669" s="105"/>
      <c r="EX669" s="105"/>
      <c r="EY669" s="105"/>
      <c r="EZ669" s="105"/>
      <c r="FA669" s="105"/>
      <c r="FB669" s="105"/>
      <c r="FC669" s="105"/>
      <c r="FD669" s="105"/>
      <c r="FE669" s="105"/>
      <c r="FF669" s="105"/>
      <c r="FG669" s="105"/>
      <c r="FH669" s="105"/>
      <c r="FI669" s="105"/>
      <c r="FJ669" s="105"/>
      <c r="FK669" s="105"/>
      <c r="FL669" s="105"/>
      <c r="FM669" s="105"/>
      <c r="FN669" s="105"/>
      <c r="FO669" s="105"/>
      <c r="FP669" s="105"/>
      <c r="FQ669" s="105"/>
      <c r="FR669" s="105"/>
      <c r="FS669" s="105"/>
      <c r="FT669" s="105"/>
      <c r="FU669" s="105"/>
      <c r="FV669" s="105"/>
      <c r="FW669" s="105"/>
      <c r="FX669" s="105"/>
      <c r="FY669" s="105"/>
      <c r="FZ669" s="105"/>
      <c r="GA669" s="105"/>
      <c r="GB669" s="105"/>
      <c r="GC669" s="105"/>
      <c r="GD669" s="105"/>
      <c r="GE669" s="105"/>
      <c r="GF669" s="105"/>
      <c r="GG669" s="105"/>
      <c r="GH669" s="105"/>
    </row>
    <row r="670" spans="30:190" ht="6.95" customHeight="1" x14ac:dyDescent="0.15">
      <c r="AD670" s="56"/>
      <c r="AE670" s="3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3"/>
      <c r="AT670" s="103"/>
      <c r="AU670" s="103"/>
      <c r="AV670" s="103"/>
      <c r="AW670" s="103"/>
      <c r="AX670" s="103"/>
      <c r="AY670" s="103"/>
      <c r="AZ670" s="103"/>
      <c r="BA670" s="103"/>
      <c r="BB670" s="4"/>
      <c r="BC670" s="4"/>
      <c r="BD670" s="4"/>
      <c r="BE670" s="4"/>
      <c r="BF670" s="4"/>
      <c r="BG670" s="4"/>
      <c r="BH670" s="1"/>
      <c r="BI670" s="1"/>
      <c r="BJ670" s="1"/>
      <c r="BK670" s="1"/>
      <c r="BL670" s="1"/>
      <c r="BM670" s="1"/>
      <c r="BN670" s="1"/>
      <c r="BO670" s="1"/>
      <c r="BP670" s="99"/>
      <c r="BQ670" s="93"/>
      <c r="BR670" s="93"/>
      <c r="BS670" s="93"/>
      <c r="BT670" s="93"/>
      <c r="BU670" s="93"/>
      <c r="BV670" s="93"/>
      <c r="BW670" s="93"/>
      <c r="BX670" s="93"/>
      <c r="BY670" s="93"/>
      <c r="BZ670" s="93"/>
      <c r="CA670" s="93"/>
      <c r="CB670" s="93"/>
      <c r="CC670" s="93"/>
      <c r="CD670" s="93"/>
      <c r="CE670" s="93"/>
      <c r="CF670" s="93"/>
      <c r="CG670" s="93"/>
      <c r="CH670" s="93"/>
      <c r="CI670" s="93"/>
      <c r="CJ670" s="93"/>
      <c r="CK670" s="93"/>
      <c r="CL670" s="93"/>
      <c r="CM670" s="93"/>
      <c r="CN670" s="93"/>
      <c r="CO670" s="93"/>
      <c r="CP670" s="93"/>
      <c r="CQ670" s="56"/>
      <c r="CR670" s="3"/>
      <c r="CS670" s="193" t="s">
        <v>26</v>
      </c>
      <c r="CT670" s="193"/>
      <c r="CU670" s="193"/>
      <c r="CV670" s="193"/>
      <c r="CW670" s="4"/>
      <c r="CX670" s="193" t="s">
        <v>59</v>
      </c>
      <c r="CY670" s="193"/>
      <c r="CZ670" s="193"/>
      <c r="DA670" s="193"/>
      <c r="DB670" s="193"/>
      <c r="DC670" s="193"/>
      <c r="DD670" s="193"/>
      <c r="DE670" s="193"/>
      <c r="DF670" s="103"/>
      <c r="DG670" s="196" t="s">
        <v>42</v>
      </c>
      <c r="DH670" s="196"/>
      <c r="DI670" s="196"/>
      <c r="DJ670" s="196"/>
      <c r="DK670" s="196"/>
      <c r="DL670" s="196" t="s">
        <v>43</v>
      </c>
      <c r="DM670" s="196"/>
      <c r="DN670" s="196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147"/>
      <c r="ED670" s="105"/>
      <c r="EE670" s="105"/>
      <c r="EF670" s="105"/>
      <c r="EG670" s="105"/>
      <c r="EH670" s="105"/>
      <c r="EI670" s="105"/>
      <c r="EJ670" s="105"/>
      <c r="EK670" s="105"/>
      <c r="EL670" s="105"/>
      <c r="EM670" s="105"/>
      <c r="EN670" s="105"/>
      <c r="EO670" s="105"/>
      <c r="EP670" s="105"/>
      <c r="EQ670" s="105"/>
      <c r="ER670" s="105"/>
      <c r="ES670" s="105"/>
      <c r="ET670" s="105"/>
      <c r="EU670" s="105"/>
      <c r="EV670" s="105"/>
      <c r="EW670" s="105"/>
      <c r="EX670" s="105"/>
      <c r="EY670" s="105"/>
      <c r="EZ670" s="105"/>
      <c r="FA670" s="105"/>
      <c r="FB670" s="105"/>
      <c r="FC670" s="105"/>
      <c r="FD670" s="105"/>
      <c r="FE670" s="105"/>
      <c r="FF670" s="105"/>
      <c r="FG670" s="105"/>
      <c r="FH670" s="105"/>
      <c r="FI670" s="105"/>
      <c r="FJ670" s="105"/>
      <c r="FK670" s="105"/>
      <c r="FL670" s="105"/>
      <c r="FM670" s="105"/>
      <c r="FN670" s="105"/>
      <c r="FO670" s="105"/>
      <c r="FP670" s="105"/>
      <c r="FQ670" s="105"/>
      <c r="FR670" s="105"/>
      <c r="FS670" s="105"/>
      <c r="FT670" s="105"/>
      <c r="FU670" s="105"/>
      <c r="FV670" s="105"/>
      <c r="FW670" s="105"/>
      <c r="FX670" s="105"/>
      <c r="FY670" s="105"/>
      <c r="FZ670" s="105"/>
      <c r="GA670" s="105"/>
      <c r="GB670" s="105"/>
      <c r="GC670" s="105"/>
      <c r="GD670" s="105"/>
      <c r="GE670" s="105"/>
      <c r="GF670" s="105"/>
      <c r="GG670" s="105"/>
      <c r="GH670" s="105"/>
    </row>
    <row r="671" spans="30:190" ht="6.95" customHeight="1" x14ac:dyDescent="0.15">
      <c r="AD671" s="56"/>
      <c r="AE671" s="3"/>
      <c r="AF671" s="193"/>
      <c r="AG671" s="193"/>
      <c r="AH671" s="193"/>
      <c r="AI671" s="193"/>
      <c r="AJ671" s="2"/>
      <c r="AK671" s="2"/>
      <c r="AL671" s="2"/>
      <c r="AM671" s="105"/>
      <c r="AN671" s="105"/>
      <c r="AO671" s="105"/>
      <c r="AP671" s="105"/>
      <c r="AQ671" s="105"/>
      <c r="AR671" s="105"/>
      <c r="AS671" s="103"/>
      <c r="AT671" s="103"/>
      <c r="AU671" s="103"/>
      <c r="AV671" s="103"/>
      <c r="AW671" s="103"/>
      <c r="AX671" s="103"/>
      <c r="AY671" s="103"/>
      <c r="AZ671" s="103"/>
      <c r="BA671" s="103"/>
      <c r="BB671" s="4"/>
      <c r="BC671" s="4"/>
      <c r="BD671" s="4"/>
      <c r="BE671" s="4"/>
      <c r="BF671" s="4"/>
      <c r="BG671" s="4"/>
      <c r="BH671" s="103"/>
      <c r="BI671" s="103"/>
      <c r="BJ671" s="103"/>
      <c r="BK671" s="103"/>
      <c r="BL671" s="103"/>
      <c r="BM671" s="103"/>
      <c r="BN671" s="103"/>
      <c r="BO671" s="103"/>
      <c r="BP671" s="99"/>
      <c r="BQ671" s="93"/>
      <c r="BR671" s="93"/>
      <c r="BS671" s="93"/>
      <c r="BT671" s="93"/>
      <c r="BU671" s="93"/>
      <c r="BV671" s="93"/>
      <c r="BW671" s="93"/>
      <c r="BX671" s="93"/>
      <c r="BY671" s="93"/>
      <c r="BZ671" s="93"/>
      <c r="CA671" s="93"/>
      <c r="CB671" s="93"/>
      <c r="CC671" s="93"/>
      <c r="CD671" s="93"/>
      <c r="CE671" s="93"/>
      <c r="CF671" s="93"/>
      <c r="CG671" s="93"/>
      <c r="CH671" s="93"/>
      <c r="CI671" s="93"/>
      <c r="CJ671" s="93"/>
      <c r="CK671" s="93"/>
      <c r="CL671" s="93"/>
      <c r="CM671" s="93"/>
      <c r="CN671" s="93"/>
      <c r="CO671" s="93"/>
      <c r="CP671" s="93"/>
      <c r="CQ671" s="56"/>
      <c r="CR671" s="3"/>
      <c r="CS671" s="193"/>
      <c r="CT671" s="193"/>
      <c r="CU671" s="193"/>
      <c r="CV671" s="193"/>
      <c r="CW671" s="4"/>
      <c r="CX671" s="193"/>
      <c r="CY671" s="193"/>
      <c r="CZ671" s="193"/>
      <c r="DA671" s="193"/>
      <c r="DB671" s="193"/>
      <c r="DC671" s="193"/>
      <c r="DD671" s="193"/>
      <c r="DE671" s="193"/>
      <c r="DF671" s="103"/>
      <c r="DG671" s="196"/>
      <c r="DH671" s="196"/>
      <c r="DI671" s="196"/>
      <c r="DJ671" s="196"/>
      <c r="DK671" s="196"/>
      <c r="DL671" s="196"/>
      <c r="DM671" s="196"/>
      <c r="DN671" s="196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147"/>
      <c r="ED671" s="105"/>
      <c r="EE671" s="105"/>
      <c r="EF671" s="105"/>
      <c r="EG671" s="105"/>
      <c r="EH671" s="105"/>
      <c r="EI671" s="105"/>
      <c r="EJ671" s="105"/>
      <c r="EK671" s="105"/>
      <c r="EL671" s="105"/>
      <c r="EM671" s="105"/>
      <c r="EN671" s="105"/>
      <c r="EO671" s="105"/>
      <c r="EP671" s="105"/>
      <c r="EQ671" s="105"/>
      <c r="ER671" s="105"/>
      <c r="ES671" s="105"/>
      <c r="ET671" s="105"/>
      <c r="EU671" s="105"/>
      <c r="EV671" s="105"/>
      <c r="EW671" s="105"/>
      <c r="EX671" s="105"/>
      <c r="EY671" s="105"/>
      <c r="EZ671" s="105"/>
      <c r="FA671" s="105"/>
      <c r="FB671" s="105"/>
      <c r="FC671" s="105"/>
      <c r="FD671" s="105"/>
      <c r="FE671" s="105"/>
      <c r="FF671" s="105"/>
      <c r="FG671" s="105"/>
      <c r="FH671" s="105"/>
      <c r="FI671" s="105"/>
      <c r="FJ671" s="105"/>
      <c r="FK671" s="105"/>
      <c r="FL671" s="105"/>
      <c r="FM671" s="105"/>
      <c r="FN671" s="105"/>
      <c r="FO671" s="105"/>
      <c r="FP671" s="105"/>
      <c r="FQ671" s="105"/>
      <c r="FR671" s="105"/>
      <c r="FS671" s="105"/>
      <c r="FT671" s="105"/>
      <c r="FU671" s="105"/>
      <c r="FV671" s="105"/>
      <c r="FW671" s="105"/>
      <c r="FX671" s="105"/>
      <c r="FY671" s="105"/>
      <c r="FZ671" s="105"/>
      <c r="GA671" s="105"/>
      <c r="GB671" s="105"/>
      <c r="GC671" s="105"/>
      <c r="GD671" s="105"/>
      <c r="GE671" s="105"/>
      <c r="GF671" s="105"/>
      <c r="GG671" s="105"/>
      <c r="GH671" s="105"/>
    </row>
    <row r="672" spans="30:190" ht="6.95" customHeight="1" x14ac:dyDescent="0.15">
      <c r="AD672" s="56"/>
      <c r="AE672" s="3"/>
      <c r="AF672" s="193"/>
      <c r="AG672" s="193"/>
      <c r="AH672" s="193"/>
      <c r="AI672" s="193"/>
      <c r="AJ672" s="194"/>
      <c r="AK672" s="194"/>
      <c r="AL672" s="19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103"/>
      <c r="BI672" s="103"/>
      <c r="BJ672" s="103"/>
      <c r="BK672" s="103"/>
      <c r="BL672" s="103"/>
      <c r="BM672" s="103"/>
      <c r="BN672" s="103"/>
      <c r="BO672" s="103"/>
      <c r="BP672" s="99"/>
      <c r="BQ672" s="93"/>
      <c r="BR672" s="93"/>
      <c r="BS672" s="93"/>
      <c r="BT672" s="93"/>
      <c r="BU672" s="93"/>
      <c r="BV672" s="93"/>
      <c r="BW672" s="93"/>
      <c r="BX672" s="93"/>
      <c r="BY672" s="93"/>
      <c r="BZ672" s="93"/>
      <c r="CA672" s="93"/>
      <c r="CB672" s="93"/>
      <c r="CC672" s="93"/>
      <c r="CD672" s="93"/>
      <c r="CE672" s="93"/>
      <c r="CF672" s="93"/>
      <c r="CG672" s="93"/>
      <c r="CH672" s="93"/>
      <c r="CI672" s="93"/>
      <c r="CJ672" s="93"/>
      <c r="CK672" s="93"/>
      <c r="CL672" s="93"/>
      <c r="CM672" s="93"/>
      <c r="CN672" s="93"/>
      <c r="CO672" s="93"/>
      <c r="CP672" s="93"/>
      <c r="CQ672" s="56"/>
      <c r="CR672" s="3"/>
      <c r="CS672" s="105"/>
      <c r="CT672" s="105"/>
      <c r="CU672" s="105"/>
      <c r="CV672" s="105"/>
      <c r="CW672" s="4"/>
      <c r="CX672" s="105"/>
      <c r="CY672" s="105"/>
      <c r="CZ672" s="105"/>
      <c r="DA672" s="105"/>
      <c r="DB672" s="105"/>
      <c r="DC672" s="105"/>
      <c r="DD672" s="105"/>
      <c r="DE672" s="105"/>
      <c r="DF672" s="103"/>
      <c r="DG672" s="103"/>
      <c r="DH672" s="103"/>
      <c r="DI672" s="103"/>
      <c r="DJ672" s="103"/>
      <c r="DK672" s="103"/>
      <c r="DL672" s="103"/>
      <c r="DM672" s="103"/>
      <c r="DN672" s="10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147"/>
      <c r="ED672" s="105"/>
      <c r="EE672" s="105"/>
      <c r="EF672" s="105"/>
      <c r="EG672" s="105"/>
      <c r="EH672" s="105"/>
      <c r="EI672" s="105"/>
      <c r="EJ672" s="105"/>
      <c r="EK672" s="105"/>
      <c r="EL672" s="105"/>
      <c r="EM672" s="105"/>
      <c r="EN672" s="105"/>
      <c r="EO672" s="105"/>
      <c r="EP672" s="105"/>
      <c r="EQ672" s="105"/>
      <c r="ER672" s="105"/>
      <c r="ES672" s="105"/>
      <c r="ET672" s="105"/>
      <c r="EU672" s="105"/>
      <c r="EV672" s="105"/>
      <c r="EW672" s="105"/>
      <c r="EX672" s="105"/>
      <c r="EY672" s="105"/>
      <c r="EZ672" s="105"/>
      <c r="FA672" s="105"/>
      <c r="FB672" s="105"/>
      <c r="FC672" s="105"/>
      <c r="FD672" s="105"/>
      <c r="FE672" s="105"/>
      <c r="FF672" s="105"/>
      <c r="FG672" s="105"/>
      <c r="FH672" s="105"/>
      <c r="FI672" s="105"/>
      <c r="FJ672" s="105"/>
      <c r="FK672" s="105"/>
      <c r="FL672" s="105"/>
      <c r="FM672" s="105"/>
      <c r="FN672" s="105"/>
      <c r="FO672" s="105"/>
      <c r="FP672" s="105"/>
      <c r="FQ672" s="105"/>
      <c r="FR672" s="105"/>
      <c r="FS672" s="105"/>
      <c r="FT672" s="105"/>
      <c r="FU672" s="105"/>
      <c r="FV672" s="105"/>
      <c r="FW672" s="105"/>
      <c r="FX672" s="105"/>
      <c r="FY672" s="105"/>
      <c r="FZ672" s="105"/>
      <c r="GA672" s="105"/>
      <c r="GB672" s="105"/>
      <c r="GC672" s="105"/>
      <c r="GD672" s="105"/>
      <c r="GE672" s="105"/>
      <c r="GF672" s="105"/>
      <c r="GG672" s="105"/>
      <c r="GH672" s="105"/>
    </row>
    <row r="673" spans="30:190" ht="6.95" customHeight="1" x14ac:dyDescent="0.15">
      <c r="AD673" s="56"/>
      <c r="AE673" s="3"/>
      <c r="AF673" s="3"/>
      <c r="AG673" s="3"/>
      <c r="AH673" s="3"/>
      <c r="AI673" s="4"/>
      <c r="AJ673" s="194"/>
      <c r="AK673" s="194"/>
      <c r="AL673" s="19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195"/>
      <c r="BC673" s="195"/>
      <c r="BD673" s="195"/>
      <c r="BE673" s="4"/>
      <c r="BF673" s="4"/>
      <c r="BG673" s="88"/>
      <c r="BH673" s="103"/>
      <c r="BI673" s="103"/>
      <c r="BJ673" s="103"/>
      <c r="BK673" s="103"/>
      <c r="BL673" s="103"/>
      <c r="BM673" s="103"/>
      <c r="BN673" s="103"/>
      <c r="BO673" s="103"/>
      <c r="BP673" s="99"/>
      <c r="BQ673" s="93"/>
      <c r="BR673" s="93"/>
      <c r="BS673" s="93"/>
      <c r="BT673" s="93"/>
      <c r="BU673" s="93"/>
      <c r="BV673" s="93"/>
      <c r="BW673" s="93"/>
      <c r="BX673" s="93"/>
      <c r="BY673" s="93"/>
      <c r="BZ673" s="93"/>
      <c r="CA673" s="93"/>
      <c r="CB673" s="93"/>
      <c r="CC673" s="93"/>
      <c r="CD673" s="93"/>
      <c r="CE673" s="93"/>
      <c r="CF673" s="93"/>
      <c r="CG673" s="93"/>
      <c r="CH673" s="93"/>
      <c r="CI673" s="93"/>
      <c r="CJ673" s="93"/>
      <c r="CK673" s="93"/>
      <c r="CL673" s="93"/>
      <c r="CM673" s="93"/>
      <c r="CN673" s="93"/>
      <c r="CO673" s="93"/>
      <c r="CP673" s="93"/>
      <c r="CQ673" s="56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147"/>
      <c r="ED673" s="105"/>
      <c r="EE673" s="105"/>
      <c r="EF673" s="105"/>
      <c r="EG673" s="105"/>
      <c r="EH673" s="105"/>
      <c r="EI673" s="105"/>
      <c r="EJ673" s="105"/>
      <c r="EK673" s="105"/>
      <c r="EL673" s="105"/>
      <c r="EM673" s="105"/>
      <c r="EN673" s="105"/>
      <c r="EO673" s="105"/>
      <c r="EP673" s="105"/>
      <c r="EQ673" s="105"/>
      <c r="ER673" s="105"/>
      <c r="ES673" s="105"/>
      <c r="ET673" s="105"/>
      <c r="EU673" s="105"/>
      <c r="EV673" s="105"/>
      <c r="EW673" s="105"/>
      <c r="EX673" s="105"/>
      <c r="EY673" s="105"/>
      <c r="EZ673" s="105"/>
      <c r="FA673" s="105"/>
      <c r="FB673" s="105"/>
      <c r="FC673" s="105"/>
      <c r="FD673" s="105"/>
      <c r="FE673" s="105"/>
      <c r="FF673" s="105"/>
      <c r="FG673" s="105"/>
      <c r="FH673" s="105"/>
      <c r="FI673" s="105"/>
      <c r="FJ673" s="105"/>
      <c r="FK673" s="105"/>
      <c r="FL673" s="105"/>
      <c r="FM673" s="105"/>
      <c r="FN673" s="105"/>
      <c r="FO673" s="105"/>
      <c r="FP673" s="105"/>
      <c r="FQ673" s="105"/>
      <c r="FR673" s="105"/>
      <c r="FS673" s="105"/>
      <c r="FT673" s="105"/>
      <c r="FU673" s="105"/>
      <c r="FV673" s="105"/>
      <c r="FW673" s="105"/>
      <c r="FX673" s="105"/>
      <c r="FY673" s="105"/>
      <c r="FZ673" s="105"/>
      <c r="GA673" s="105"/>
      <c r="GB673" s="105"/>
      <c r="GC673" s="105"/>
      <c r="GD673" s="105"/>
      <c r="GE673" s="105"/>
      <c r="GF673" s="105"/>
      <c r="GG673" s="105"/>
      <c r="GH673" s="105"/>
    </row>
    <row r="674" spans="30:190" ht="6.95" customHeight="1" x14ac:dyDescent="0.15">
      <c r="AD674" s="115"/>
      <c r="AE674" s="116"/>
      <c r="AF674" s="105"/>
      <c r="AG674" s="105"/>
      <c r="AH674" s="105"/>
      <c r="AI674" s="105"/>
      <c r="AJ674" s="194"/>
      <c r="AK674" s="194"/>
      <c r="AL674" s="194"/>
      <c r="AM674" s="2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195"/>
      <c r="BC674" s="195"/>
      <c r="BD674" s="195"/>
      <c r="BE674" s="4"/>
      <c r="BF674" s="4"/>
      <c r="BG674" s="88"/>
      <c r="BH674" s="103"/>
      <c r="BI674" s="103"/>
      <c r="BJ674" s="103"/>
      <c r="BK674" s="103"/>
      <c r="BL674" s="103"/>
      <c r="BM674" s="103"/>
      <c r="BN674" s="103"/>
      <c r="BO674" s="103"/>
      <c r="BP674" s="99"/>
      <c r="BQ674" s="93"/>
      <c r="BR674" s="93"/>
      <c r="BS674" s="93"/>
      <c r="BT674" s="93"/>
      <c r="BU674" s="93"/>
      <c r="BV674" s="93"/>
      <c r="BW674" s="93"/>
      <c r="BX674" s="93"/>
      <c r="BY674" s="93"/>
      <c r="BZ674" s="93"/>
      <c r="CA674" s="93"/>
      <c r="CB674" s="93"/>
      <c r="CC674" s="93"/>
      <c r="CD674" s="93"/>
      <c r="CE674" s="93"/>
      <c r="CF674" s="93"/>
      <c r="CG674" s="93"/>
      <c r="CH674" s="93"/>
      <c r="CI674" s="93"/>
      <c r="CJ674" s="93"/>
      <c r="CK674" s="93"/>
      <c r="CL674" s="93"/>
      <c r="CM674" s="93"/>
      <c r="CN674" s="93"/>
      <c r="CO674" s="93"/>
      <c r="CP674" s="93"/>
      <c r="CQ674" s="56"/>
      <c r="CR674" s="3"/>
      <c r="CS674" s="193" t="s">
        <v>28</v>
      </c>
      <c r="CT674" s="193"/>
      <c r="CU674" s="193"/>
      <c r="CV674" s="193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1"/>
      <c r="DV674" s="1"/>
      <c r="DW674" s="1"/>
      <c r="DX674" s="1"/>
      <c r="DY674" s="1"/>
      <c r="DZ674" s="1"/>
      <c r="EA674" s="1"/>
      <c r="EB674" s="1"/>
      <c r="EC674" s="99"/>
      <c r="ED674" s="105"/>
      <c r="EE674" s="105"/>
      <c r="EF674" s="105"/>
      <c r="EG674" s="105"/>
      <c r="EH674" s="105"/>
      <c r="EI674" s="105"/>
      <c r="EJ674" s="105"/>
      <c r="EK674" s="105"/>
      <c r="EL674" s="105"/>
      <c r="EM674" s="105"/>
      <c r="EN674" s="105"/>
      <c r="EO674" s="105"/>
      <c r="EP674" s="105"/>
      <c r="EQ674" s="105"/>
      <c r="ER674" s="105"/>
      <c r="ES674" s="105"/>
      <c r="ET674" s="105"/>
      <c r="EU674" s="105"/>
      <c r="EV674" s="105"/>
      <c r="EW674" s="105"/>
      <c r="EX674" s="105"/>
      <c r="EY674" s="105"/>
      <c r="EZ674" s="105"/>
      <c r="FA674" s="105"/>
      <c r="FB674" s="105"/>
      <c r="FC674" s="105"/>
      <c r="FD674" s="105"/>
      <c r="FE674" s="105"/>
      <c r="FF674" s="105"/>
      <c r="FG674" s="105"/>
      <c r="FH674" s="105"/>
      <c r="FI674" s="105"/>
      <c r="FJ674" s="105"/>
      <c r="FK674" s="105"/>
      <c r="FL674" s="105"/>
      <c r="FM674" s="105"/>
      <c r="FN674" s="105"/>
      <c r="FO674" s="105"/>
      <c r="FP674" s="105"/>
      <c r="FQ674" s="105"/>
      <c r="FR674" s="105"/>
      <c r="FS674" s="105"/>
      <c r="FT674" s="105"/>
      <c r="FU674" s="105"/>
      <c r="FV674" s="105"/>
      <c r="FW674" s="105"/>
      <c r="FX674" s="105"/>
      <c r="FY674" s="105"/>
      <c r="FZ674" s="105"/>
      <c r="GA674" s="105"/>
      <c r="GB674" s="105"/>
      <c r="GC674" s="105"/>
      <c r="GD674" s="105"/>
      <c r="GE674" s="105"/>
      <c r="GF674" s="105"/>
      <c r="GG674" s="105"/>
      <c r="GH674" s="105"/>
    </row>
    <row r="675" spans="30:190" ht="6.95" customHeight="1" x14ac:dyDescent="0.15">
      <c r="AD675" s="115"/>
      <c r="AE675" s="116"/>
      <c r="AF675" s="105"/>
      <c r="AG675" s="105"/>
      <c r="AH675" s="105"/>
      <c r="AI675" s="105"/>
      <c r="AJ675" s="194"/>
      <c r="AK675" s="194"/>
      <c r="AL675" s="194"/>
      <c r="AM675" s="2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111"/>
      <c r="BC675" s="111"/>
      <c r="BD675" s="111"/>
      <c r="BE675" s="88"/>
      <c r="BF675" s="88"/>
      <c r="BG675" s="4"/>
      <c r="BH675" s="196"/>
      <c r="BI675" s="196"/>
      <c r="BJ675" s="196"/>
      <c r="BK675" s="196"/>
      <c r="BL675" s="196"/>
      <c r="BM675" s="196"/>
      <c r="BN675" s="196"/>
      <c r="BO675" s="196"/>
      <c r="BP675" s="99"/>
      <c r="BQ675" s="93"/>
      <c r="BR675" s="93"/>
      <c r="BS675" s="93"/>
      <c r="BT675" s="93"/>
      <c r="BU675" s="93"/>
      <c r="BV675" s="93"/>
      <c r="BW675" s="93"/>
      <c r="BX675" s="93"/>
      <c r="BY675" s="93"/>
      <c r="BZ675" s="93"/>
      <c r="CA675" s="93"/>
      <c r="CB675" s="93"/>
      <c r="CC675" s="93"/>
      <c r="CD675" s="93"/>
      <c r="CE675" s="93"/>
      <c r="CF675" s="93"/>
      <c r="CG675" s="93"/>
      <c r="CH675" s="93"/>
      <c r="CI675" s="93"/>
      <c r="CJ675" s="93"/>
      <c r="CK675" s="93"/>
      <c r="CL675" s="93"/>
      <c r="CM675" s="93"/>
      <c r="CN675" s="93"/>
      <c r="CO675" s="93"/>
      <c r="CP675" s="93"/>
      <c r="CQ675" s="56"/>
      <c r="CR675" s="3"/>
      <c r="CS675" s="193"/>
      <c r="CT675" s="193"/>
      <c r="CU675" s="193"/>
      <c r="CV675" s="193"/>
      <c r="CW675" s="189"/>
      <c r="CX675" s="189"/>
      <c r="CY675" s="189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1"/>
      <c r="DV675" s="1"/>
      <c r="DW675" s="1"/>
      <c r="DX675" s="1"/>
      <c r="DY675" s="1"/>
      <c r="DZ675" s="1"/>
      <c r="EA675" s="1"/>
      <c r="EB675" s="1"/>
      <c r="EC675" s="99"/>
      <c r="ED675" s="105"/>
      <c r="EE675" s="105"/>
      <c r="EF675" s="105"/>
      <c r="EG675" s="105"/>
      <c r="EH675" s="105"/>
      <c r="EI675" s="105"/>
      <c r="EJ675" s="105"/>
      <c r="EK675" s="105"/>
      <c r="EL675" s="105"/>
      <c r="EM675" s="105"/>
      <c r="EN675" s="105"/>
      <c r="EO675" s="105"/>
      <c r="EP675" s="105"/>
      <c r="EQ675" s="105"/>
      <c r="ER675" s="105"/>
      <c r="ES675" s="105"/>
      <c r="ET675" s="105"/>
      <c r="EU675" s="105"/>
      <c r="EV675" s="105"/>
      <c r="EW675" s="105"/>
      <c r="EX675" s="105"/>
      <c r="EY675" s="105"/>
      <c r="EZ675" s="105"/>
      <c r="FA675" s="105"/>
      <c r="FB675" s="105"/>
      <c r="FC675" s="105"/>
      <c r="FD675" s="105"/>
      <c r="FE675" s="105"/>
      <c r="FF675" s="105"/>
      <c r="FG675" s="105"/>
      <c r="FH675" s="105"/>
      <c r="FI675" s="105"/>
      <c r="FJ675" s="105"/>
      <c r="FK675" s="105"/>
      <c r="FL675" s="105"/>
      <c r="FM675" s="105"/>
      <c r="FN675" s="105"/>
      <c r="FO675" s="105"/>
      <c r="FP675" s="105"/>
      <c r="FQ675" s="105"/>
      <c r="FR675" s="105"/>
      <c r="FS675" s="105"/>
      <c r="FT675" s="105"/>
      <c r="FU675" s="105"/>
      <c r="FV675" s="105"/>
      <c r="FW675" s="105"/>
      <c r="FX675" s="105"/>
      <c r="FY675" s="105"/>
      <c r="FZ675" s="105"/>
      <c r="GA675" s="105"/>
      <c r="GB675" s="105"/>
      <c r="GC675" s="105"/>
      <c r="GD675" s="105"/>
      <c r="GE675" s="105"/>
      <c r="GF675" s="105"/>
      <c r="GG675" s="105"/>
      <c r="GH675" s="105"/>
    </row>
    <row r="676" spans="30:190" ht="6.95" customHeight="1" x14ac:dyDescent="0.15">
      <c r="AD676" s="115"/>
      <c r="AE676" s="116"/>
      <c r="AF676" s="193"/>
      <c r="AG676" s="193"/>
      <c r="AH676" s="193"/>
      <c r="AI676" s="193"/>
      <c r="AJ676" s="105"/>
      <c r="AK676" s="105"/>
      <c r="AL676" s="105"/>
      <c r="AM676" s="105"/>
      <c r="AN676" s="105"/>
      <c r="AO676" s="105"/>
      <c r="AP676" s="105"/>
      <c r="AQ676" s="105"/>
      <c r="AR676" s="88"/>
      <c r="AS676" s="103"/>
      <c r="AT676" s="103"/>
      <c r="AU676" s="103"/>
      <c r="AV676" s="103"/>
      <c r="AW676" s="103"/>
      <c r="AX676" s="103"/>
      <c r="AY676" s="103"/>
      <c r="AZ676" s="103"/>
      <c r="BA676" s="4"/>
      <c r="BB676" s="111"/>
      <c r="BC676" s="111"/>
      <c r="BD676" s="111"/>
      <c r="BE676" s="88"/>
      <c r="BF676" s="88"/>
      <c r="BG676" s="88"/>
      <c r="BH676" s="196"/>
      <c r="BI676" s="196"/>
      <c r="BJ676" s="196"/>
      <c r="BK676" s="196"/>
      <c r="BL676" s="196"/>
      <c r="BM676" s="196"/>
      <c r="BN676" s="196"/>
      <c r="BO676" s="196"/>
      <c r="BP676" s="99"/>
      <c r="BQ676" s="93"/>
      <c r="BR676" s="93"/>
      <c r="BS676" s="93"/>
      <c r="BT676" s="93"/>
      <c r="BU676" s="93"/>
      <c r="BV676" s="93"/>
      <c r="BW676" s="93"/>
      <c r="BX676" s="93"/>
      <c r="BY676" s="93"/>
      <c r="BZ676" s="93"/>
      <c r="CA676" s="93"/>
      <c r="CB676" s="93"/>
      <c r="CC676" s="93"/>
      <c r="CD676" s="93"/>
      <c r="CE676" s="93"/>
      <c r="CF676" s="93"/>
      <c r="CG676" s="93"/>
      <c r="CH676" s="93"/>
      <c r="CI676" s="93"/>
      <c r="CJ676" s="93"/>
      <c r="CK676" s="93"/>
      <c r="CL676" s="93"/>
      <c r="CM676" s="93"/>
      <c r="CN676" s="93"/>
      <c r="CO676" s="93"/>
      <c r="CP676" s="93"/>
      <c r="CQ676" s="56"/>
      <c r="CR676" s="3"/>
      <c r="CS676" s="3"/>
      <c r="CT676" s="3"/>
      <c r="CU676" s="3"/>
      <c r="CV676" s="4"/>
      <c r="CW676" s="194" t="e">
        <f>CHOOSE(SUM((CQ631&gt;={700,750,800,850,900,950})*1), 205,255,305,355,405,455)</f>
        <v>#VALUE!</v>
      </c>
      <c r="CX676" s="194"/>
      <c r="CY676" s="194"/>
      <c r="CZ676" s="189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190"/>
      <c r="DP676" s="190"/>
      <c r="DQ676" s="190"/>
      <c r="DR676" s="4"/>
      <c r="DS676" s="4"/>
      <c r="DT676" s="4"/>
      <c r="DU676" s="1"/>
      <c r="DV676" s="1"/>
      <c r="DW676" s="1"/>
      <c r="DX676" s="1"/>
      <c r="DY676" s="1"/>
      <c r="DZ676" s="1"/>
      <c r="EA676" s="1"/>
      <c r="EB676" s="1"/>
      <c r="EC676" s="99"/>
      <c r="ED676" s="105"/>
      <c r="EE676" s="105"/>
      <c r="EF676" s="105"/>
      <c r="EG676" s="105"/>
      <c r="EH676" s="105"/>
      <c r="EI676" s="105"/>
      <c r="EJ676" s="105"/>
      <c r="EK676" s="105"/>
      <c r="EL676" s="105"/>
      <c r="EM676" s="105"/>
      <c r="EN676" s="105"/>
      <c r="EO676" s="105"/>
      <c r="EP676" s="105"/>
      <c r="EQ676" s="105"/>
      <c r="ER676" s="105"/>
      <c r="ES676" s="105"/>
      <c r="ET676" s="105"/>
      <c r="EU676" s="105"/>
      <c r="EV676" s="105"/>
      <c r="EW676" s="105"/>
      <c r="EX676" s="105"/>
      <c r="EY676" s="105"/>
      <c r="EZ676" s="105"/>
      <c r="FA676" s="105"/>
      <c r="FB676" s="105"/>
      <c r="FC676" s="105"/>
      <c r="FD676" s="105"/>
      <c r="FE676" s="105"/>
      <c r="FF676" s="105"/>
      <c r="FG676" s="105"/>
      <c r="FH676" s="105"/>
      <c r="FI676" s="105"/>
      <c r="FJ676" s="105"/>
      <c r="FK676" s="105"/>
      <c r="FL676" s="105"/>
      <c r="FM676" s="105"/>
      <c r="FN676" s="105"/>
      <c r="FO676" s="105"/>
      <c r="FP676" s="105"/>
      <c r="FQ676" s="105"/>
      <c r="FR676" s="105"/>
      <c r="FS676" s="105"/>
      <c r="FT676" s="105"/>
      <c r="FU676" s="105"/>
      <c r="FV676" s="105"/>
      <c r="FW676" s="105"/>
      <c r="FX676" s="105"/>
      <c r="FY676" s="105"/>
      <c r="FZ676" s="105"/>
      <c r="GA676" s="105"/>
      <c r="GB676" s="105"/>
      <c r="GC676" s="105"/>
      <c r="GD676" s="105"/>
      <c r="GE676" s="105"/>
      <c r="GF676" s="105"/>
      <c r="GG676" s="105"/>
      <c r="GH676" s="105"/>
    </row>
    <row r="677" spans="30:190" ht="6.95" customHeight="1" x14ac:dyDescent="0.15">
      <c r="AD677" s="115"/>
      <c r="AE677" s="116"/>
      <c r="AF677" s="193"/>
      <c r="AG677" s="193"/>
      <c r="AH677" s="193"/>
      <c r="AI677" s="193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1"/>
      <c r="BI677" s="1"/>
      <c r="BJ677" s="1"/>
      <c r="BK677" s="1"/>
      <c r="BL677" s="1"/>
      <c r="BM677" s="1"/>
      <c r="BN677" s="1"/>
      <c r="BO677" s="1"/>
      <c r="BP677" s="99"/>
      <c r="BQ677" s="93"/>
      <c r="BR677" s="93"/>
      <c r="BS677" s="93"/>
      <c r="BT677" s="93"/>
      <c r="BU677" s="93"/>
      <c r="BV677" s="93"/>
      <c r="BW677" s="93"/>
      <c r="BX677" s="93"/>
      <c r="BY677" s="93"/>
      <c r="BZ677" s="93"/>
      <c r="CA677" s="93"/>
      <c r="CB677" s="93"/>
      <c r="CC677" s="93"/>
      <c r="CD677" s="93"/>
      <c r="CE677" s="93"/>
      <c r="CF677" s="93"/>
      <c r="CG677" s="93"/>
      <c r="CH677" s="93"/>
      <c r="CI677" s="93"/>
      <c r="CJ677" s="93"/>
      <c r="CK677" s="93"/>
      <c r="CL677" s="93"/>
      <c r="CM677" s="93"/>
      <c r="CN677" s="93"/>
      <c r="CO677" s="93"/>
      <c r="CP677" s="93"/>
      <c r="CQ677" s="56"/>
      <c r="CR677" s="3"/>
      <c r="CS677" s="3"/>
      <c r="CT677" s="3"/>
      <c r="CU677" s="3"/>
      <c r="CV677" s="4"/>
      <c r="CW677" s="194"/>
      <c r="CX677" s="194"/>
      <c r="CY677" s="194"/>
      <c r="CZ677" s="189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195" t="e">
        <f>CHOOSE(SUM((CQ631&gt;={700,750,800,850,900,950})*1), 290,360,430,500,570,640)</f>
        <v>#VALUE!</v>
      </c>
      <c r="DP677" s="195"/>
      <c r="DQ677" s="195"/>
      <c r="DR677" s="88"/>
      <c r="DS677" s="88"/>
      <c r="DT677" s="88"/>
      <c r="DU677" s="196" t="s">
        <v>42</v>
      </c>
      <c r="DV677" s="196"/>
      <c r="DW677" s="196"/>
      <c r="DX677" s="196">
        <v>2</v>
      </c>
      <c r="DY677" s="196"/>
      <c r="DZ677" s="196" t="s">
        <v>43</v>
      </c>
      <c r="EA677" s="196"/>
      <c r="EB677" s="196"/>
      <c r="EC677" s="99"/>
      <c r="ED677" s="105"/>
      <c r="EE677" s="105"/>
      <c r="EF677" s="105"/>
      <c r="EG677" s="105"/>
      <c r="EH677" s="105"/>
      <c r="EI677" s="105"/>
      <c r="EJ677" s="105"/>
      <c r="EK677" s="105"/>
      <c r="EL677" s="105"/>
      <c r="EM677" s="105"/>
      <c r="EN677" s="105"/>
      <c r="EO677" s="105"/>
      <c r="EP677" s="105"/>
      <c r="EQ677" s="105"/>
      <c r="ER677" s="105"/>
      <c r="ES677" s="105"/>
      <c r="ET677" s="105"/>
      <c r="EU677" s="105"/>
      <c r="EV677" s="105"/>
      <c r="EW677" s="105"/>
      <c r="EX677" s="105"/>
      <c r="EY677" s="105"/>
      <c r="EZ677" s="105"/>
      <c r="FA677" s="105"/>
      <c r="FB677" s="105"/>
      <c r="FC677" s="105"/>
      <c r="FD677" s="105"/>
      <c r="FE677" s="105"/>
      <c r="FF677" s="105"/>
      <c r="FG677" s="105"/>
      <c r="FH677" s="105"/>
      <c r="FI677" s="105"/>
      <c r="FJ677" s="105"/>
      <c r="FK677" s="105"/>
      <c r="FL677" s="105"/>
      <c r="FM677" s="105"/>
      <c r="FN677" s="105"/>
      <c r="FO677" s="105"/>
      <c r="FP677" s="105"/>
      <c r="FQ677" s="105"/>
      <c r="FR677" s="105"/>
      <c r="FS677" s="105"/>
      <c r="FT677" s="105"/>
      <c r="FU677" s="105"/>
      <c r="FV677" s="105"/>
      <c r="FW677" s="105"/>
      <c r="FX677" s="105"/>
      <c r="FY677" s="105"/>
      <c r="FZ677" s="105"/>
      <c r="GA677" s="105"/>
      <c r="GB677" s="105"/>
      <c r="GC677" s="105"/>
      <c r="GD677" s="105"/>
      <c r="GE677" s="105"/>
      <c r="GF677" s="105"/>
      <c r="GG677" s="105"/>
      <c r="GH677" s="105"/>
    </row>
    <row r="678" spans="30:190" ht="6.95" customHeight="1" x14ac:dyDescent="0.15">
      <c r="AD678" s="148"/>
      <c r="AE678" s="90"/>
      <c r="AF678" s="105"/>
      <c r="AG678" s="105"/>
      <c r="AH678" s="105"/>
      <c r="AI678" s="105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149"/>
      <c r="BQ678" s="93"/>
      <c r="BR678" s="93"/>
      <c r="BS678" s="93"/>
      <c r="BT678" s="93"/>
      <c r="BU678" s="93"/>
      <c r="BV678" s="93"/>
      <c r="BW678" s="93"/>
      <c r="BX678" s="93"/>
      <c r="BY678" s="93"/>
      <c r="BZ678" s="93"/>
      <c r="CA678" s="93"/>
      <c r="CB678" s="93"/>
      <c r="CC678" s="93"/>
      <c r="CD678" s="93"/>
      <c r="CE678" s="93"/>
      <c r="CF678" s="93"/>
      <c r="CG678" s="93"/>
      <c r="CH678" s="93"/>
      <c r="CI678" s="93"/>
      <c r="CJ678" s="93"/>
      <c r="CK678" s="93"/>
      <c r="CL678" s="93"/>
      <c r="CM678" s="93"/>
      <c r="CN678" s="93"/>
      <c r="CO678" s="93"/>
      <c r="CP678" s="93"/>
      <c r="CQ678" s="115"/>
      <c r="CR678" s="116"/>
      <c r="CS678" s="3"/>
      <c r="CT678" s="3"/>
      <c r="CU678" s="3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195"/>
      <c r="DP678" s="195"/>
      <c r="DQ678" s="195"/>
      <c r="DR678" s="88"/>
      <c r="DS678" s="88"/>
      <c r="DT678" s="88"/>
      <c r="DU678" s="196"/>
      <c r="DV678" s="196"/>
      <c r="DW678" s="196"/>
      <c r="DX678" s="196"/>
      <c r="DY678" s="196"/>
      <c r="DZ678" s="196"/>
      <c r="EA678" s="196"/>
      <c r="EB678" s="196"/>
      <c r="EC678" s="99"/>
      <c r="ED678" s="105"/>
      <c r="EE678" s="105"/>
      <c r="EF678" s="105"/>
      <c r="EG678" s="105"/>
      <c r="EH678" s="105"/>
      <c r="EI678" s="105"/>
      <c r="EJ678" s="105"/>
      <c r="EK678" s="105"/>
      <c r="EL678" s="105"/>
      <c r="EM678" s="105"/>
      <c r="EN678" s="105"/>
      <c r="EO678" s="105"/>
      <c r="EP678" s="105"/>
      <c r="EQ678" s="105"/>
      <c r="ER678" s="105"/>
      <c r="ES678" s="105"/>
      <c r="ET678" s="105"/>
      <c r="EU678" s="105"/>
      <c r="EV678" s="105"/>
      <c r="EW678" s="105"/>
      <c r="EX678" s="105"/>
      <c r="EY678" s="105"/>
      <c r="EZ678" s="105"/>
      <c r="FA678" s="105"/>
      <c r="FB678" s="105"/>
      <c r="FC678" s="105"/>
      <c r="FD678" s="105"/>
      <c r="FE678" s="105"/>
      <c r="FF678" s="105"/>
      <c r="FG678" s="105"/>
      <c r="FH678" s="105"/>
      <c r="FI678" s="105"/>
      <c r="FJ678" s="105"/>
      <c r="FK678" s="105"/>
      <c r="FL678" s="105"/>
      <c r="FM678" s="105"/>
      <c r="FN678" s="105"/>
      <c r="FO678" s="105"/>
      <c r="FP678" s="105"/>
      <c r="FQ678" s="105"/>
      <c r="FR678" s="105"/>
      <c r="FS678" s="105"/>
      <c r="FT678" s="105"/>
      <c r="FU678" s="105"/>
      <c r="FV678" s="105"/>
      <c r="FW678" s="105"/>
      <c r="FX678" s="105"/>
      <c r="FY678" s="105"/>
      <c r="FZ678" s="105"/>
      <c r="GA678" s="105"/>
      <c r="GB678" s="105"/>
      <c r="GC678" s="105"/>
      <c r="GD678" s="105"/>
      <c r="GE678" s="105"/>
      <c r="GF678" s="105"/>
      <c r="GG678" s="105"/>
      <c r="GH678" s="105"/>
    </row>
    <row r="679" spans="30:190" ht="6.95" customHeight="1" thickBot="1" x14ac:dyDescent="0.2">
      <c r="AD679" s="148"/>
      <c r="AE679" s="90"/>
      <c r="AF679" s="105"/>
      <c r="AG679" s="105"/>
      <c r="AH679" s="105"/>
      <c r="AI679" s="105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  <c r="BI679" s="90"/>
      <c r="BJ679" s="90"/>
      <c r="BK679" s="90"/>
      <c r="BL679" s="90"/>
      <c r="BM679" s="90"/>
      <c r="BN679" s="90"/>
      <c r="BO679" s="90"/>
      <c r="BP679" s="149"/>
      <c r="BQ679" s="93"/>
      <c r="BR679" s="93"/>
      <c r="BS679" s="93"/>
      <c r="BT679" s="93"/>
      <c r="BU679" s="93"/>
      <c r="BV679" s="93"/>
      <c r="BW679" s="93"/>
      <c r="BX679" s="93"/>
      <c r="BY679" s="93"/>
      <c r="BZ679" s="93"/>
      <c r="CA679" s="93"/>
      <c r="CB679" s="93"/>
      <c r="CC679" s="93"/>
      <c r="CD679" s="93"/>
      <c r="CE679" s="93"/>
      <c r="CF679" s="93"/>
      <c r="CG679" s="93"/>
      <c r="CH679" s="93"/>
      <c r="CI679" s="93"/>
      <c r="CJ679" s="93"/>
      <c r="CK679" s="93"/>
      <c r="CL679" s="93"/>
      <c r="CM679" s="93"/>
      <c r="CN679" s="93"/>
      <c r="CO679" s="93"/>
      <c r="CP679" s="93"/>
      <c r="CQ679" s="114"/>
      <c r="CR679" s="117"/>
      <c r="CS679" s="51"/>
      <c r="CT679" s="51"/>
      <c r="CU679" s="51"/>
      <c r="CV679" s="55"/>
      <c r="CW679" s="55"/>
      <c r="CX679" s="55"/>
      <c r="CY679" s="55"/>
      <c r="CZ679" s="55"/>
      <c r="DA679" s="55"/>
      <c r="DB679" s="55"/>
      <c r="DC679" s="55"/>
      <c r="DD679" s="55"/>
      <c r="DE679" s="55"/>
      <c r="DF679" s="55"/>
      <c r="DG679" s="55"/>
      <c r="DH679" s="55"/>
      <c r="DI679" s="55"/>
      <c r="DJ679" s="55"/>
      <c r="DK679" s="55"/>
      <c r="DL679" s="55"/>
      <c r="DM679" s="55"/>
      <c r="DN679" s="55"/>
      <c r="DO679" s="55"/>
      <c r="DP679" s="55"/>
      <c r="DQ679" s="55"/>
      <c r="DR679" s="55"/>
      <c r="DS679" s="55"/>
      <c r="DT679" s="55"/>
      <c r="DU679" s="100"/>
      <c r="DV679" s="100"/>
      <c r="DW679" s="100"/>
      <c r="DX679" s="100"/>
      <c r="DY679" s="100"/>
      <c r="DZ679" s="100"/>
      <c r="EA679" s="100"/>
      <c r="EB679" s="100"/>
      <c r="EC679" s="101"/>
      <c r="ED679" s="105"/>
      <c r="EE679" s="105"/>
      <c r="EF679" s="105"/>
      <c r="EG679" s="105"/>
      <c r="EH679" s="105"/>
      <c r="EI679" s="105"/>
      <c r="EJ679" s="105"/>
      <c r="EK679" s="105"/>
      <c r="EL679" s="105"/>
      <c r="EM679" s="105"/>
      <c r="EN679" s="105"/>
      <c r="EO679" s="105"/>
      <c r="EP679" s="105"/>
      <c r="EQ679" s="105"/>
      <c r="ER679" s="105"/>
      <c r="ES679" s="105"/>
      <c r="ET679" s="105"/>
      <c r="EU679" s="105"/>
      <c r="EV679" s="105"/>
      <c r="EW679" s="105"/>
      <c r="EX679" s="105"/>
      <c r="EY679" s="105"/>
      <c r="EZ679" s="105"/>
      <c r="FA679" s="105"/>
      <c r="FB679" s="105"/>
      <c r="FC679" s="105"/>
      <c r="FD679" s="105"/>
      <c r="FE679" s="105"/>
      <c r="FF679" s="105"/>
      <c r="FG679" s="105"/>
      <c r="FH679" s="105"/>
      <c r="FI679" s="105"/>
      <c r="FJ679" s="105"/>
      <c r="FK679" s="105"/>
      <c r="FL679" s="105"/>
      <c r="FM679" s="105"/>
      <c r="FN679" s="105"/>
      <c r="FO679" s="105"/>
      <c r="FP679" s="105"/>
      <c r="FQ679" s="105"/>
      <c r="FR679" s="105"/>
      <c r="FS679" s="105"/>
      <c r="FT679" s="105"/>
      <c r="FU679" s="105"/>
      <c r="FV679" s="105"/>
      <c r="FW679" s="105"/>
      <c r="FX679" s="105"/>
      <c r="FY679" s="105"/>
      <c r="FZ679" s="105"/>
      <c r="GA679" s="105"/>
      <c r="GB679" s="105"/>
      <c r="GC679" s="105"/>
      <c r="GD679" s="105"/>
      <c r="GE679" s="105"/>
      <c r="GF679" s="105"/>
      <c r="GG679" s="105"/>
      <c r="GH679" s="105"/>
    </row>
    <row r="680" spans="30:190" ht="6.95" customHeight="1" x14ac:dyDescent="0.15">
      <c r="AD680" s="148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196"/>
      <c r="BI680" s="196"/>
      <c r="BJ680" s="196"/>
      <c r="BK680" s="196"/>
      <c r="BL680" s="196"/>
      <c r="BM680" s="196"/>
      <c r="BN680" s="196"/>
      <c r="BO680" s="196"/>
      <c r="BP680" s="149"/>
      <c r="BQ680" s="93"/>
      <c r="BR680" s="93"/>
      <c r="BS680" s="93"/>
      <c r="BT680" s="93"/>
      <c r="BU680" s="93"/>
      <c r="BV680" s="93"/>
      <c r="BW680" s="93"/>
      <c r="BX680" s="93"/>
      <c r="BY680" s="93"/>
      <c r="BZ680" s="93"/>
      <c r="CA680" s="93"/>
      <c r="CB680" s="93"/>
      <c r="CC680" s="93"/>
      <c r="CD680" s="93"/>
      <c r="CE680" s="93"/>
      <c r="CF680" s="93"/>
      <c r="CG680" s="93"/>
      <c r="CH680" s="93"/>
      <c r="CI680" s="93"/>
      <c r="CJ680" s="93"/>
      <c r="CK680" s="93"/>
      <c r="CL680" s="93"/>
      <c r="CM680" s="93"/>
      <c r="CN680" s="93"/>
      <c r="CO680" s="93"/>
      <c r="CP680" s="93"/>
      <c r="CQ680" s="93"/>
      <c r="CR680" s="93"/>
      <c r="CS680" s="93"/>
      <c r="CT680" s="93"/>
      <c r="CU680" s="93"/>
      <c r="CV680" s="93"/>
      <c r="CW680" s="93"/>
      <c r="CX680" s="93"/>
      <c r="CY680" s="93"/>
      <c r="CZ680" s="93"/>
      <c r="DA680" s="93"/>
      <c r="DB680" s="93"/>
      <c r="DC680" s="93"/>
      <c r="DD680" s="93"/>
      <c r="DH680" s="105"/>
      <c r="DI680" s="105"/>
      <c r="DJ680" s="105"/>
      <c r="DK680" s="105"/>
      <c r="DL680" s="105"/>
      <c r="DM680" s="105"/>
      <c r="DN680" s="105"/>
      <c r="DO680" s="105"/>
      <c r="DP680" s="105"/>
      <c r="DQ680" s="105"/>
      <c r="DR680" s="105"/>
      <c r="DS680" s="105"/>
      <c r="DT680" s="105"/>
      <c r="DU680" s="105"/>
      <c r="DV680" s="105"/>
      <c r="DW680" s="105"/>
      <c r="DX680" s="105"/>
      <c r="DY680" s="105"/>
      <c r="DZ680" s="105"/>
      <c r="EA680" s="105"/>
      <c r="EB680" s="105"/>
      <c r="EC680" s="105"/>
      <c r="ED680" s="105"/>
      <c r="EE680" s="105"/>
      <c r="EF680" s="105"/>
      <c r="EG680" s="105"/>
      <c r="EH680" s="105"/>
      <c r="EI680" s="105"/>
      <c r="EJ680" s="105"/>
      <c r="EK680" s="105"/>
      <c r="EL680" s="105"/>
      <c r="EM680" s="105"/>
      <c r="EN680" s="105"/>
      <c r="EO680" s="105"/>
      <c r="EP680" s="105"/>
      <c r="EQ680" s="105"/>
      <c r="ER680" s="105"/>
      <c r="ES680" s="105"/>
      <c r="ET680" s="105"/>
      <c r="EU680" s="105"/>
      <c r="EV680" s="105"/>
      <c r="EW680" s="105"/>
      <c r="EX680" s="105"/>
      <c r="EY680" s="105"/>
      <c r="EZ680" s="105"/>
      <c r="FA680" s="105"/>
      <c r="FB680" s="105"/>
      <c r="FC680" s="105"/>
      <c r="FD680" s="105"/>
      <c r="FE680" s="105"/>
      <c r="FF680" s="105"/>
      <c r="FG680" s="105"/>
      <c r="FH680" s="105"/>
      <c r="FI680" s="105"/>
      <c r="FJ680" s="105"/>
      <c r="FK680" s="105"/>
      <c r="FL680" s="105"/>
      <c r="FM680" s="105"/>
      <c r="FN680" s="105"/>
      <c r="FO680" s="105"/>
      <c r="FP680" s="105"/>
      <c r="FQ680" s="105"/>
      <c r="FR680" s="105"/>
      <c r="FS680" s="105"/>
      <c r="FT680" s="105"/>
      <c r="FU680" s="105"/>
      <c r="FV680" s="105"/>
      <c r="FW680" s="105"/>
      <c r="FX680" s="105"/>
      <c r="FY680" s="105"/>
      <c r="FZ680" s="105"/>
      <c r="GA680" s="105"/>
      <c r="GB680" s="105"/>
      <c r="GC680" s="105"/>
      <c r="GD680" s="105"/>
      <c r="GE680" s="105"/>
      <c r="GF680" s="105"/>
      <c r="GG680" s="105"/>
      <c r="GH680" s="105"/>
    </row>
    <row r="681" spans="30:190" ht="6.95" customHeight="1" x14ac:dyDescent="0.15">
      <c r="AD681" s="148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196"/>
      <c r="BI681" s="196"/>
      <c r="BJ681" s="196"/>
      <c r="BK681" s="196"/>
      <c r="BL681" s="196"/>
      <c r="BM681" s="196"/>
      <c r="BN681" s="196"/>
      <c r="BO681" s="196"/>
      <c r="BP681" s="149"/>
      <c r="BQ681" s="93"/>
      <c r="BR681" s="93"/>
      <c r="BS681" s="93"/>
      <c r="BT681" s="93"/>
      <c r="BU681" s="93"/>
      <c r="BV681" s="93"/>
      <c r="BW681" s="93"/>
      <c r="BX681" s="93"/>
      <c r="BY681" s="93"/>
      <c r="BZ681" s="93"/>
      <c r="CA681" s="93"/>
      <c r="CB681" s="93"/>
      <c r="CC681" s="93"/>
      <c r="CD681" s="93"/>
      <c r="CE681" s="93"/>
      <c r="CF681" s="93"/>
      <c r="CG681" s="93"/>
      <c r="CH681" s="93"/>
      <c r="CI681" s="93"/>
      <c r="CJ681" s="93"/>
      <c r="CK681" s="93"/>
      <c r="CL681" s="93"/>
      <c r="CM681" s="93"/>
      <c r="CN681" s="93"/>
      <c r="CO681" s="93"/>
      <c r="CP681" s="93"/>
      <c r="CQ681" s="93"/>
      <c r="CR681" s="93"/>
      <c r="CS681" s="93"/>
      <c r="CT681" s="93"/>
      <c r="CU681" s="93"/>
      <c r="CV681" s="93"/>
      <c r="CW681" s="93"/>
      <c r="CX681" s="93"/>
      <c r="CY681" s="93"/>
      <c r="CZ681" s="93"/>
      <c r="DA681" s="93"/>
      <c r="DB681" s="93"/>
      <c r="DC681" s="93"/>
      <c r="DD681" s="93"/>
      <c r="DH681" s="105"/>
      <c r="DI681" s="105"/>
      <c r="DJ681" s="105"/>
      <c r="DK681" s="105"/>
      <c r="DL681" s="105"/>
      <c r="DM681" s="105"/>
      <c r="DN681" s="105"/>
      <c r="DO681" s="105"/>
      <c r="DP681" s="105"/>
      <c r="DQ681" s="105"/>
      <c r="DR681" s="105"/>
      <c r="DS681" s="105"/>
      <c r="DT681" s="105"/>
      <c r="DU681" s="105"/>
      <c r="DV681" s="105"/>
      <c r="DW681" s="105"/>
      <c r="DX681" s="105"/>
      <c r="DY681" s="105"/>
      <c r="DZ681" s="105"/>
      <c r="EA681" s="105"/>
      <c r="EB681" s="105"/>
      <c r="EC681" s="105"/>
      <c r="ED681" s="105"/>
      <c r="EE681" s="105"/>
      <c r="EF681" s="105"/>
      <c r="EG681" s="105"/>
      <c r="EH681" s="105"/>
      <c r="EI681" s="105"/>
      <c r="EJ681" s="105"/>
      <c r="EK681" s="105"/>
      <c r="EL681" s="105"/>
      <c r="EM681" s="105"/>
      <c r="EN681" s="105"/>
      <c r="EO681" s="105"/>
      <c r="EP681" s="105"/>
      <c r="EQ681" s="105"/>
      <c r="ER681" s="105"/>
      <c r="ES681" s="105"/>
      <c r="ET681" s="105"/>
      <c r="EU681" s="105"/>
      <c r="EV681" s="105"/>
      <c r="EW681" s="105"/>
      <c r="EX681" s="105"/>
      <c r="EY681" s="105"/>
      <c r="EZ681" s="105"/>
      <c r="FA681" s="105"/>
      <c r="FB681" s="105"/>
      <c r="FC681" s="105"/>
      <c r="FD681" s="105"/>
      <c r="FE681" s="105"/>
      <c r="FF681" s="105"/>
      <c r="FG681" s="105"/>
      <c r="FH681" s="105"/>
      <c r="FI681" s="105"/>
      <c r="FJ681" s="105"/>
      <c r="FK681" s="105"/>
      <c r="FL681" s="105"/>
      <c r="FM681" s="105"/>
      <c r="FN681" s="105"/>
      <c r="FO681" s="105"/>
      <c r="FP681" s="105"/>
      <c r="FQ681" s="105"/>
      <c r="FR681" s="105"/>
      <c r="FS681" s="105"/>
      <c r="FT681" s="105"/>
      <c r="FU681" s="105"/>
      <c r="FV681" s="105"/>
      <c r="FW681" s="105"/>
      <c r="FX681" s="105"/>
      <c r="FY681" s="105"/>
      <c r="FZ681" s="105"/>
      <c r="GA681" s="105"/>
      <c r="GB681" s="105"/>
      <c r="GC681" s="105"/>
      <c r="GD681" s="105"/>
      <c r="GE681" s="105"/>
      <c r="GF681" s="105"/>
      <c r="GG681" s="105"/>
      <c r="GH681" s="105"/>
    </row>
    <row r="682" spans="30:190" ht="6.95" customHeight="1" x14ac:dyDescent="0.15">
      <c r="AD682" s="148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103"/>
      <c r="BI682" s="103"/>
      <c r="BJ682" s="103"/>
      <c r="BK682" s="103"/>
      <c r="BL682" s="103"/>
      <c r="BM682" s="103"/>
      <c r="BN682" s="103"/>
      <c r="BO682" s="103"/>
      <c r="BP682" s="149"/>
      <c r="BQ682" s="93"/>
      <c r="BR682" s="93"/>
      <c r="BS682" s="93"/>
      <c r="BT682" s="93"/>
      <c r="BU682" s="93"/>
      <c r="BV682" s="93"/>
      <c r="BW682" s="93"/>
      <c r="BX682" s="93"/>
      <c r="BY682" s="93"/>
      <c r="BZ682" s="93"/>
      <c r="CA682" s="93"/>
      <c r="CB682" s="93"/>
      <c r="CC682" s="93"/>
      <c r="CD682" s="93"/>
      <c r="CE682" s="93"/>
      <c r="CF682" s="93"/>
      <c r="CG682" s="93"/>
      <c r="CH682" s="93"/>
      <c r="CI682" s="93"/>
      <c r="CJ682" s="93"/>
      <c r="CK682" s="93"/>
      <c r="CL682" s="93"/>
      <c r="CM682" s="93"/>
      <c r="CN682" s="93"/>
      <c r="CO682" s="93"/>
      <c r="CP682" s="93"/>
      <c r="CQ682" s="93"/>
      <c r="CR682" s="93"/>
      <c r="CS682" s="93"/>
      <c r="CT682" s="93"/>
      <c r="CU682" s="93"/>
      <c r="CV682" s="93"/>
      <c r="CW682" s="93"/>
      <c r="CX682" s="93"/>
      <c r="CY682" s="93"/>
      <c r="CZ682" s="93"/>
      <c r="DA682" s="93"/>
      <c r="DB682" s="93"/>
      <c r="DC682" s="93"/>
      <c r="DD682" s="93"/>
      <c r="DH682" s="105"/>
      <c r="DI682" s="105"/>
      <c r="DJ682" s="105"/>
      <c r="DK682" s="105"/>
      <c r="DL682" s="105"/>
      <c r="DM682" s="105"/>
      <c r="DN682" s="105"/>
      <c r="DO682" s="105"/>
      <c r="DP682" s="105"/>
      <c r="DQ682" s="105"/>
      <c r="DR682" s="105"/>
      <c r="DS682" s="105"/>
      <c r="DT682" s="105"/>
      <c r="DU682" s="105"/>
      <c r="DV682" s="105"/>
      <c r="DW682" s="105"/>
      <c r="DX682" s="105"/>
      <c r="DY682" s="105"/>
      <c r="DZ682" s="105"/>
      <c r="EA682" s="105"/>
      <c r="EB682" s="105"/>
      <c r="EC682" s="105"/>
      <c r="ED682" s="105"/>
      <c r="EE682" s="105"/>
      <c r="EF682" s="105"/>
      <c r="EG682" s="105"/>
      <c r="EH682" s="105"/>
      <c r="EI682" s="105"/>
      <c r="EJ682" s="105"/>
      <c r="EK682" s="105"/>
      <c r="EL682" s="105"/>
      <c r="EM682" s="105"/>
      <c r="EN682" s="105"/>
      <c r="EO682" s="105"/>
      <c r="EP682" s="105"/>
      <c r="EQ682" s="105"/>
      <c r="ER682" s="105"/>
      <c r="ES682" s="105"/>
      <c r="ET682" s="105"/>
      <c r="EU682" s="105"/>
      <c r="EV682" s="105"/>
      <c r="EW682" s="105"/>
      <c r="EX682" s="105"/>
      <c r="EY682" s="105"/>
      <c r="EZ682" s="105"/>
      <c r="FA682" s="105"/>
      <c r="FB682" s="105"/>
      <c r="FC682" s="105"/>
      <c r="FD682" s="105"/>
      <c r="FE682" s="105"/>
      <c r="FF682" s="105"/>
      <c r="FG682" s="105"/>
      <c r="FH682" s="105"/>
      <c r="FI682" s="105"/>
      <c r="FJ682" s="105"/>
      <c r="FK682" s="105"/>
      <c r="FL682" s="105"/>
      <c r="FM682" s="105"/>
      <c r="FN682" s="105"/>
      <c r="FO682" s="105"/>
      <c r="FP682" s="105"/>
      <c r="FQ682" s="105"/>
      <c r="FR682" s="105"/>
      <c r="FS682" s="105"/>
      <c r="FT682" s="105"/>
      <c r="FU682" s="105"/>
      <c r="FV682" s="105"/>
      <c r="FW682" s="105"/>
      <c r="FX682" s="105"/>
      <c r="FY682" s="105"/>
      <c r="FZ682" s="105"/>
      <c r="GA682" s="105"/>
      <c r="GB682" s="105"/>
      <c r="GC682" s="105"/>
      <c r="GD682" s="105"/>
      <c r="GE682" s="105"/>
      <c r="GF682" s="105"/>
      <c r="GG682" s="105"/>
      <c r="GH682" s="105"/>
    </row>
    <row r="683" spans="30:190" ht="6.95" customHeight="1" thickBot="1" x14ac:dyDescent="0.2">
      <c r="AD683" s="148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103"/>
      <c r="BI683" s="103"/>
      <c r="BJ683" s="103"/>
      <c r="BK683" s="103"/>
      <c r="BL683" s="103"/>
      <c r="BM683" s="103"/>
      <c r="BN683" s="103"/>
      <c r="BO683" s="103"/>
      <c r="BP683" s="149"/>
      <c r="BQ683" s="93"/>
      <c r="BR683" s="93"/>
      <c r="BS683" s="93"/>
      <c r="BT683" s="93"/>
      <c r="BU683" s="93"/>
      <c r="BV683" s="93"/>
      <c r="BW683" s="93"/>
      <c r="BX683" s="93"/>
      <c r="BY683" s="93"/>
      <c r="BZ683" s="93"/>
      <c r="CA683" s="93"/>
      <c r="CB683" s="93"/>
      <c r="CC683" s="93"/>
      <c r="CD683" s="93"/>
      <c r="CE683" s="93"/>
      <c r="CF683" s="93"/>
      <c r="CG683" s="93"/>
      <c r="CH683" s="93"/>
      <c r="CI683" s="93"/>
      <c r="CJ683" s="93"/>
      <c r="CK683" s="93"/>
      <c r="CL683" s="93"/>
      <c r="CM683" s="93"/>
      <c r="CN683" s="93"/>
      <c r="CO683" s="93"/>
      <c r="CP683" s="93"/>
      <c r="CQ683" s="93"/>
      <c r="CR683" s="93"/>
      <c r="CS683" s="93"/>
      <c r="CT683" s="93"/>
      <c r="CU683" s="93"/>
      <c r="CV683" s="93"/>
      <c r="CW683" s="93"/>
      <c r="CX683" s="93"/>
      <c r="CY683" s="93"/>
      <c r="CZ683" s="93"/>
      <c r="DA683" s="93"/>
      <c r="DB683" s="93"/>
      <c r="DC683" s="93"/>
      <c r="DD683" s="93"/>
      <c r="DH683" s="105"/>
      <c r="DI683" s="105"/>
      <c r="DJ683" s="105"/>
      <c r="DK683" s="105"/>
      <c r="DL683" s="105"/>
      <c r="DM683" s="105"/>
      <c r="DN683" s="105"/>
      <c r="DO683" s="105"/>
      <c r="DP683" s="105"/>
      <c r="DQ683" s="105"/>
      <c r="DR683" s="105"/>
      <c r="DS683" s="105"/>
      <c r="DT683" s="105"/>
      <c r="DU683" s="105"/>
      <c r="DV683" s="105"/>
      <c r="DW683" s="105"/>
      <c r="DX683" s="105"/>
      <c r="DY683" s="105"/>
      <c r="DZ683" s="105"/>
      <c r="EA683" s="105"/>
      <c r="EB683" s="105"/>
      <c r="EC683" s="105"/>
      <c r="ED683" s="105"/>
      <c r="EE683" s="105"/>
      <c r="EF683" s="105"/>
      <c r="EG683" s="105"/>
      <c r="EH683" s="105"/>
      <c r="EI683" s="105"/>
      <c r="EJ683" s="105"/>
      <c r="EK683" s="105"/>
      <c r="EL683" s="105"/>
      <c r="EM683" s="105"/>
      <c r="EN683" s="105"/>
      <c r="EO683" s="105"/>
      <c r="EP683" s="105"/>
      <c r="EQ683" s="105"/>
      <c r="ER683" s="105"/>
      <c r="ES683" s="105"/>
      <c r="ET683" s="105"/>
      <c r="EU683" s="105"/>
      <c r="EV683" s="105"/>
      <c r="EW683" s="105"/>
      <c r="EX683" s="105"/>
      <c r="EY683" s="105"/>
      <c r="EZ683" s="105"/>
      <c r="FA683" s="105"/>
      <c r="FB683" s="105"/>
      <c r="FC683" s="105"/>
      <c r="FD683" s="105"/>
      <c r="FE683" s="105"/>
      <c r="FF683" s="105"/>
      <c r="FG683" s="105"/>
      <c r="FH683" s="105"/>
      <c r="FI683" s="105"/>
      <c r="FJ683" s="105"/>
      <c r="FK683" s="105"/>
      <c r="FL683" s="105"/>
      <c r="FM683" s="105"/>
      <c r="FN683" s="105"/>
      <c r="FO683" s="105"/>
      <c r="FP683" s="105"/>
      <c r="FQ683" s="105"/>
      <c r="FR683" s="105"/>
      <c r="FS683" s="105"/>
      <c r="FT683" s="105"/>
      <c r="FU683" s="105"/>
      <c r="FV683" s="105"/>
      <c r="FW683" s="105"/>
      <c r="FX683" s="105"/>
      <c r="FY683" s="105"/>
      <c r="FZ683" s="105"/>
      <c r="GA683" s="105"/>
      <c r="GB683" s="105"/>
      <c r="GC683" s="105"/>
      <c r="GD683" s="105"/>
      <c r="GE683" s="105"/>
      <c r="GF683" s="105"/>
      <c r="GG683" s="105"/>
      <c r="GH683" s="105"/>
    </row>
    <row r="684" spans="30:190" ht="6.95" customHeight="1" x14ac:dyDescent="0.15">
      <c r="AD684" s="170"/>
      <c r="AE684" s="170"/>
      <c r="AF684" s="170"/>
      <c r="AG684" s="170"/>
      <c r="AH684" s="170"/>
      <c r="AI684" s="170"/>
      <c r="AJ684" s="170"/>
      <c r="AK684" s="170"/>
      <c r="AL684" s="170"/>
      <c r="AM684" s="170"/>
      <c r="AN684" s="170"/>
      <c r="AO684" s="170"/>
      <c r="AP684" s="170"/>
      <c r="AQ684" s="170"/>
      <c r="AR684" s="170"/>
      <c r="AS684" s="170"/>
      <c r="AT684" s="170"/>
      <c r="AU684" s="170"/>
      <c r="AV684" s="170"/>
      <c r="AW684" s="170"/>
      <c r="AX684" s="170"/>
      <c r="AY684" s="170"/>
      <c r="AZ684" s="170"/>
      <c r="BA684" s="170"/>
      <c r="BB684" s="170"/>
      <c r="BC684" s="170"/>
      <c r="BD684" s="170"/>
      <c r="BE684" s="170"/>
      <c r="BF684" s="170"/>
      <c r="BG684" s="170"/>
      <c r="BH684" s="170"/>
      <c r="BI684" s="170"/>
      <c r="BJ684" s="170"/>
      <c r="BK684" s="170"/>
      <c r="BL684" s="170"/>
      <c r="BM684" s="170"/>
      <c r="BN684" s="170"/>
      <c r="BO684" s="170"/>
      <c r="BP684" s="170"/>
      <c r="BQ684" s="93"/>
      <c r="BR684" s="93"/>
      <c r="BS684" s="93"/>
      <c r="BT684" s="93"/>
      <c r="BU684" s="93"/>
      <c r="BV684" s="93"/>
      <c r="BW684" s="93"/>
      <c r="BX684" s="93"/>
      <c r="BY684" s="93"/>
      <c r="BZ684" s="93"/>
      <c r="CA684" s="93"/>
      <c r="CB684" s="93"/>
      <c r="CC684" s="93"/>
      <c r="CD684" s="93"/>
      <c r="CE684" s="93"/>
      <c r="CF684" s="93"/>
      <c r="CG684" s="93"/>
      <c r="CH684" s="93"/>
      <c r="CI684" s="93"/>
      <c r="CJ684" s="93"/>
      <c r="CK684" s="93"/>
      <c r="CL684" s="93"/>
      <c r="CM684" s="93"/>
      <c r="CN684" s="93"/>
      <c r="CO684" s="93"/>
      <c r="CP684" s="93"/>
      <c r="CQ684" s="93"/>
      <c r="CR684" s="93"/>
      <c r="CS684" s="93"/>
      <c r="CT684" s="93"/>
      <c r="CU684" s="93"/>
      <c r="CV684" s="93"/>
      <c r="CW684" s="93"/>
      <c r="CX684" s="93"/>
      <c r="CY684" s="93"/>
      <c r="CZ684" s="93"/>
      <c r="DA684" s="93"/>
      <c r="DB684" s="93"/>
      <c r="DC684" s="93"/>
      <c r="DD684" s="93"/>
      <c r="DH684" s="105"/>
      <c r="DI684" s="105"/>
      <c r="DJ684" s="105"/>
      <c r="DK684" s="105"/>
      <c r="DL684" s="105"/>
      <c r="DM684" s="105"/>
      <c r="DN684" s="105"/>
      <c r="DO684" s="105"/>
      <c r="DP684" s="105"/>
      <c r="DQ684" s="105"/>
      <c r="DR684" s="105"/>
      <c r="DS684" s="105"/>
      <c r="DT684" s="105"/>
      <c r="DU684" s="105"/>
      <c r="DV684" s="105"/>
      <c r="DW684" s="105"/>
      <c r="DX684" s="105"/>
      <c r="DY684" s="105"/>
      <c r="DZ684" s="105"/>
      <c r="EA684" s="105"/>
      <c r="EB684" s="105"/>
      <c r="EC684" s="105"/>
      <c r="ED684" s="105"/>
      <c r="EE684" s="105"/>
      <c r="EF684" s="105"/>
      <c r="EG684" s="105"/>
      <c r="EH684" s="105"/>
      <c r="EI684" s="105"/>
      <c r="EJ684" s="105"/>
      <c r="EK684" s="105"/>
      <c r="EL684" s="105"/>
      <c r="EM684" s="105"/>
      <c r="EN684" s="105"/>
      <c r="EO684" s="105"/>
      <c r="EP684" s="105"/>
      <c r="EQ684" s="105"/>
      <c r="ER684" s="105"/>
      <c r="ES684" s="105"/>
      <c r="ET684" s="105"/>
      <c r="EU684" s="105"/>
      <c r="EV684" s="105"/>
      <c r="EW684" s="105"/>
      <c r="EX684" s="105"/>
      <c r="EY684" s="105"/>
      <c r="EZ684" s="105"/>
      <c r="FA684" s="105"/>
      <c r="FB684" s="105"/>
      <c r="FC684" s="105"/>
      <c r="FD684" s="105"/>
      <c r="FE684" s="105"/>
      <c r="FF684" s="105"/>
      <c r="FG684" s="105"/>
      <c r="FH684" s="105"/>
      <c r="FI684" s="105"/>
      <c r="FJ684" s="105"/>
      <c r="FK684" s="105"/>
      <c r="FL684" s="105"/>
      <c r="FM684" s="105"/>
      <c r="FN684" s="105"/>
      <c r="FO684" s="105"/>
      <c r="FP684" s="105"/>
      <c r="FQ684" s="105"/>
      <c r="FR684" s="105"/>
      <c r="FS684" s="105"/>
      <c r="FT684" s="105"/>
      <c r="FU684" s="105"/>
      <c r="FV684" s="105"/>
      <c r="FW684" s="105"/>
      <c r="FX684" s="105"/>
      <c r="FY684" s="105"/>
      <c r="FZ684" s="105"/>
      <c r="GA684" s="105"/>
      <c r="GB684" s="105"/>
      <c r="GC684" s="105"/>
      <c r="GD684" s="105"/>
      <c r="GE684" s="105"/>
      <c r="GF684" s="105"/>
      <c r="GG684" s="105"/>
      <c r="GH684" s="105"/>
    </row>
    <row r="685" spans="30:190" ht="6.95" customHeight="1" thickBot="1" x14ac:dyDescent="0.2">
      <c r="AD685" s="216">
        <v>750</v>
      </c>
      <c r="AE685" s="216"/>
      <c r="AF685" s="216"/>
      <c r="BQ685" s="93"/>
      <c r="BR685" s="216">
        <v>750</v>
      </c>
      <c r="BS685" s="216"/>
      <c r="BT685" s="216"/>
      <c r="DH685" s="105"/>
      <c r="DI685" s="105"/>
      <c r="DJ685" s="105"/>
      <c r="DK685" s="105"/>
      <c r="DL685" s="105"/>
      <c r="DM685" s="105"/>
      <c r="DN685" s="105"/>
      <c r="DO685" s="105"/>
      <c r="DP685" s="105"/>
      <c r="DQ685" s="105"/>
      <c r="DR685" s="105"/>
      <c r="DS685" s="105"/>
      <c r="DT685" s="105"/>
      <c r="DU685" s="105"/>
      <c r="DV685" s="105"/>
      <c r="DW685" s="105"/>
      <c r="DX685" s="105"/>
      <c r="DY685" s="105"/>
      <c r="DZ685" s="105"/>
      <c r="EA685" s="105"/>
      <c r="EB685" s="105"/>
      <c r="EC685" s="105"/>
      <c r="ED685" s="105"/>
      <c r="EE685" s="105"/>
      <c r="EF685" s="105"/>
      <c r="EG685" s="105"/>
      <c r="EH685" s="105"/>
      <c r="EI685" s="105"/>
      <c r="EJ685" s="105"/>
      <c r="EK685" s="105"/>
      <c r="EL685" s="105"/>
      <c r="EM685" s="105"/>
      <c r="EN685" s="105"/>
      <c r="EO685" s="105"/>
      <c r="EP685" s="105"/>
      <c r="EQ685" s="105"/>
      <c r="ER685" s="105"/>
      <c r="ES685" s="105"/>
      <c r="ET685" s="105"/>
      <c r="EU685" s="105"/>
      <c r="EV685" s="105"/>
      <c r="EW685" s="105"/>
      <c r="EX685" s="105"/>
      <c r="EY685" s="105"/>
      <c r="EZ685" s="105"/>
      <c r="FA685" s="105"/>
      <c r="FB685" s="105"/>
      <c r="FC685" s="105"/>
      <c r="FD685" s="105"/>
      <c r="FE685" s="105"/>
      <c r="FF685" s="105"/>
      <c r="FG685" s="105"/>
      <c r="FH685" s="105"/>
      <c r="FI685" s="105"/>
      <c r="FJ685" s="105"/>
      <c r="FK685" s="105"/>
      <c r="FL685" s="105"/>
      <c r="FM685" s="105"/>
      <c r="FN685" s="105"/>
      <c r="FO685" s="105"/>
      <c r="FP685" s="105"/>
      <c r="FQ685" s="105"/>
      <c r="FR685" s="105"/>
      <c r="FS685" s="105"/>
      <c r="FT685" s="105"/>
      <c r="FU685" s="105"/>
      <c r="FV685" s="105"/>
      <c r="FW685" s="105"/>
      <c r="FX685" s="105"/>
      <c r="FY685" s="105"/>
      <c r="FZ685" s="105"/>
      <c r="GA685" s="105"/>
      <c r="GB685" s="105"/>
      <c r="GC685" s="105"/>
      <c r="GD685" s="105"/>
      <c r="GE685" s="105"/>
      <c r="GF685" s="105"/>
      <c r="GG685" s="105"/>
      <c r="GH685" s="105"/>
    </row>
    <row r="686" spans="30:190" ht="6.95" customHeight="1" x14ac:dyDescent="0.15">
      <c r="AD686" s="108" t="s">
        <v>25</v>
      </c>
      <c r="AE686" s="109"/>
      <c r="AF686" s="109"/>
      <c r="AG686" s="109"/>
      <c r="AH686" s="109"/>
      <c r="AI686" s="202" t="s">
        <v>40</v>
      </c>
      <c r="AJ686" s="202"/>
      <c r="AK686" s="202">
        <v>1</v>
      </c>
      <c r="AL686" s="202"/>
      <c r="AM686" s="202" t="s">
        <v>41</v>
      </c>
      <c r="AN686" s="202"/>
      <c r="AO686" s="202"/>
      <c r="AP686" s="202"/>
      <c r="AQ686" s="202"/>
      <c r="AR686" s="204"/>
      <c r="AS686" s="204"/>
      <c r="AT686" s="204"/>
      <c r="AU686" s="204"/>
      <c r="AV686" s="204"/>
      <c r="AW686" s="204"/>
      <c r="AX686" s="204"/>
      <c r="AY686" s="204"/>
      <c r="AZ686" s="204"/>
      <c r="BA686" s="204"/>
      <c r="BB686" s="204"/>
      <c r="BC686" s="204"/>
      <c r="BD686" s="204"/>
      <c r="BE686" s="204"/>
      <c r="BF686" s="204"/>
      <c r="BG686" s="204"/>
      <c r="BH686" s="204"/>
      <c r="BI686" s="204"/>
      <c r="BJ686" s="204"/>
      <c r="BK686" s="204"/>
      <c r="BL686" s="204"/>
      <c r="BM686" s="206">
        <f>SUM(AR704,BK704,AR712,BK712,BK742,AW735)*AK686</f>
        <v>29</v>
      </c>
      <c r="BN686" s="206"/>
      <c r="BO686" s="206"/>
      <c r="BP686" s="208"/>
      <c r="BQ686" s="93"/>
      <c r="BR686" s="108" t="s">
        <v>25</v>
      </c>
      <c r="BS686" s="109"/>
      <c r="BT686" s="109"/>
      <c r="BU686" s="109"/>
      <c r="BV686" s="109"/>
      <c r="BW686" s="202" t="s">
        <v>40</v>
      </c>
      <c r="BX686" s="202"/>
      <c r="BY686" s="202">
        <v>1</v>
      </c>
      <c r="BZ686" s="202"/>
      <c r="CA686" s="202" t="s">
        <v>41</v>
      </c>
      <c r="CB686" s="202"/>
      <c r="CC686" s="202"/>
      <c r="CD686" s="202"/>
      <c r="CE686" s="202"/>
      <c r="CF686" s="204"/>
      <c r="CG686" s="204"/>
      <c r="CH686" s="204"/>
      <c r="CI686" s="204"/>
      <c r="CJ686" s="204"/>
      <c r="CK686" s="204"/>
      <c r="CL686" s="204"/>
      <c r="CM686" s="204"/>
      <c r="CN686" s="204"/>
      <c r="CO686" s="204"/>
      <c r="CP686" s="204"/>
      <c r="CQ686" s="204"/>
      <c r="CR686" s="204"/>
      <c r="CS686" s="204"/>
      <c r="CT686" s="204"/>
      <c r="CU686" s="204"/>
      <c r="CV686" s="204"/>
      <c r="CW686" s="204"/>
      <c r="CX686" s="204"/>
      <c r="CY686" s="204"/>
      <c r="CZ686" s="204"/>
      <c r="DA686" s="206">
        <f>SUM(CF704,CY704,CF713,CY713,CY744,CY738,CK733,CY721,CF721)*BY686</f>
        <v>26</v>
      </c>
      <c r="DB686" s="206"/>
      <c r="DC686" s="206"/>
      <c r="DD686" s="208"/>
      <c r="DH686" s="105"/>
      <c r="DI686" s="105"/>
      <c r="DJ686" s="105"/>
      <c r="DK686" s="105"/>
      <c r="DL686" s="105"/>
      <c r="DM686" s="105"/>
      <c r="DN686" s="105"/>
      <c r="DO686" s="105"/>
      <c r="DP686" s="105"/>
      <c r="DQ686" s="105"/>
      <c r="DR686" s="105"/>
      <c r="DS686" s="105"/>
      <c r="DT686" s="105"/>
      <c r="DU686" s="105"/>
      <c r="DV686" s="105"/>
      <c r="DW686" s="105"/>
      <c r="DX686" s="105"/>
      <c r="DY686" s="105"/>
      <c r="DZ686" s="105"/>
      <c r="EA686" s="105"/>
      <c r="EB686" s="105"/>
      <c r="EC686" s="105"/>
      <c r="ED686" s="105"/>
      <c r="EE686" s="105"/>
      <c r="EF686" s="105"/>
      <c r="EG686" s="105"/>
      <c r="EH686" s="105"/>
      <c r="EI686" s="105"/>
      <c r="EJ686" s="105"/>
      <c r="EK686" s="105"/>
      <c r="EL686" s="105"/>
      <c r="EM686" s="105"/>
      <c r="EN686" s="105"/>
      <c r="EO686" s="105"/>
      <c r="EP686" s="105"/>
      <c r="EQ686" s="105"/>
      <c r="ER686" s="105"/>
      <c r="ES686" s="105"/>
      <c r="ET686" s="105"/>
      <c r="EU686" s="105"/>
      <c r="EV686" s="105"/>
      <c r="EW686" s="105"/>
      <c r="EX686" s="105"/>
      <c r="EY686" s="105"/>
      <c r="EZ686" s="105"/>
      <c r="FA686" s="105"/>
      <c r="FB686" s="105"/>
      <c r="FC686" s="105"/>
      <c r="FD686" s="105"/>
      <c r="FE686" s="105"/>
      <c r="FF686" s="105"/>
      <c r="FG686" s="105"/>
      <c r="FH686" s="105"/>
      <c r="FI686" s="105"/>
      <c r="FJ686" s="105"/>
      <c r="FK686" s="105"/>
      <c r="FL686" s="105"/>
      <c r="FM686" s="105"/>
      <c r="FN686" s="105"/>
      <c r="FO686" s="105"/>
      <c r="FP686" s="105"/>
      <c r="FQ686" s="105"/>
      <c r="FR686" s="105"/>
      <c r="FS686" s="105"/>
      <c r="FT686" s="105"/>
      <c r="FU686" s="105"/>
      <c r="FV686" s="105"/>
      <c r="FW686" s="105"/>
      <c r="FX686" s="105"/>
      <c r="FY686" s="105"/>
      <c r="FZ686" s="105"/>
      <c r="GA686" s="105"/>
      <c r="GB686" s="105"/>
      <c r="GC686" s="105"/>
      <c r="GD686" s="105"/>
      <c r="GE686" s="105"/>
      <c r="GF686" s="105"/>
      <c r="GG686" s="105"/>
      <c r="GH686" s="105"/>
    </row>
    <row r="687" spans="30:190" ht="6.95" customHeight="1" thickBot="1" x14ac:dyDescent="0.2">
      <c r="AD687" s="80"/>
      <c r="AE687" s="81"/>
      <c r="AF687" s="81"/>
      <c r="AG687" s="81"/>
      <c r="AH687" s="81"/>
      <c r="AI687" s="203"/>
      <c r="AJ687" s="203"/>
      <c r="AK687" s="203"/>
      <c r="AL687" s="203"/>
      <c r="AM687" s="203"/>
      <c r="AN687" s="203"/>
      <c r="AO687" s="203"/>
      <c r="AP687" s="203"/>
      <c r="AQ687" s="203"/>
      <c r="AR687" s="205"/>
      <c r="AS687" s="205"/>
      <c r="AT687" s="205"/>
      <c r="AU687" s="205"/>
      <c r="AV687" s="205"/>
      <c r="AW687" s="205"/>
      <c r="AX687" s="205"/>
      <c r="AY687" s="205"/>
      <c r="AZ687" s="205"/>
      <c r="BA687" s="205"/>
      <c r="BB687" s="205"/>
      <c r="BC687" s="205"/>
      <c r="BD687" s="205"/>
      <c r="BE687" s="205"/>
      <c r="BF687" s="205"/>
      <c r="BG687" s="205"/>
      <c r="BH687" s="205"/>
      <c r="BI687" s="205"/>
      <c r="BJ687" s="205"/>
      <c r="BK687" s="205"/>
      <c r="BL687" s="205"/>
      <c r="BM687" s="207"/>
      <c r="BN687" s="207"/>
      <c r="BO687" s="207"/>
      <c r="BP687" s="209"/>
      <c r="BQ687" s="93"/>
      <c r="BR687" s="80"/>
      <c r="BS687" s="81"/>
      <c r="BT687" s="81"/>
      <c r="BU687" s="81"/>
      <c r="BV687" s="81"/>
      <c r="BW687" s="203"/>
      <c r="BX687" s="203"/>
      <c r="BY687" s="203"/>
      <c r="BZ687" s="203"/>
      <c r="CA687" s="203"/>
      <c r="CB687" s="203"/>
      <c r="CC687" s="203"/>
      <c r="CD687" s="203"/>
      <c r="CE687" s="203"/>
      <c r="CF687" s="205"/>
      <c r="CG687" s="205"/>
      <c r="CH687" s="205"/>
      <c r="CI687" s="205"/>
      <c r="CJ687" s="205"/>
      <c r="CK687" s="205"/>
      <c r="CL687" s="205"/>
      <c r="CM687" s="205"/>
      <c r="CN687" s="205"/>
      <c r="CO687" s="205"/>
      <c r="CP687" s="205"/>
      <c r="CQ687" s="205"/>
      <c r="CR687" s="205"/>
      <c r="CS687" s="205"/>
      <c r="CT687" s="205"/>
      <c r="CU687" s="205"/>
      <c r="CV687" s="205"/>
      <c r="CW687" s="205"/>
      <c r="CX687" s="205"/>
      <c r="CY687" s="205"/>
      <c r="CZ687" s="205"/>
      <c r="DA687" s="207"/>
      <c r="DB687" s="207"/>
      <c r="DC687" s="207"/>
      <c r="DD687" s="209"/>
      <c r="DH687" s="105"/>
      <c r="DI687" s="105"/>
      <c r="DJ687" s="105"/>
      <c r="DK687" s="105"/>
      <c r="DL687" s="105"/>
      <c r="DM687" s="105"/>
      <c r="DN687" s="105"/>
      <c r="DO687" s="105"/>
      <c r="DP687" s="105"/>
      <c r="DQ687" s="105"/>
      <c r="DR687" s="105"/>
      <c r="DS687" s="105"/>
      <c r="DT687" s="105"/>
      <c r="DU687" s="105"/>
      <c r="DV687" s="105"/>
      <c r="DW687" s="105"/>
      <c r="DX687" s="105"/>
      <c r="DY687" s="105"/>
      <c r="DZ687" s="105"/>
      <c r="EA687" s="105"/>
      <c r="EB687" s="105"/>
      <c r="EC687" s="105"/>
      <c r="ED687" s="105"/>
      <c r="EE687" s="105"/>
      <c r="EF687" s="105"/>
      <c r="EG687" s="105"/>
      <c r="EH687" s="105"/>
      <c r="EI687" s="105"/>
      <c r="EJ687" s="105"/>
      <c r="EK687" s="105"/>
      <c r="EL687" s="105"/>
      <c r="EM687" s="105"/>
      <c r="EN687" s="105"/>
      <c r="EO687" s="105"/>
      <c r="EP687" s="105"/>
      <c r="EQ687" s="105"/>
      <c r="ER687" s="105"/>
      <c r="ES687" s="105"/>
      <c r="ET687" s="105"/>
      <c r="EU687" s="105"/>
      <c r="EV687" s="105"/>
      <c r="EW687" s="105"/>
      <c r="EX687" s="105"/>
      <c r="EY687" s="105"/>
      <c r="EZ687" s="105"/>
      <c r="FA687" s="105"/>
      <c r="FB687" s="105"/>
      <c r="FC687" s="105"/>
      <c r="FD687" s="105"/>
      <c r="FE687" s="105"/>
      <c r="FF687" s="105"/>
      <c r="FG687" s="105"/>
      <c r="FH687" s="105"/>
      <c r="FI687" s="105"/>
      <c r="FJ687" s="105"/>
      <c r="FK687" s="105"/>
      <c r="FL687" s="105"/>
      <c r="FM687" s="105"/>
      <c r="FN687" s="105"/>
      <c r="FO687" s="105"/>
      <c r="FP687" s="105"/>
      <c r="FQ687" s="105"/>
      <c r="FR687" s="105"/>
      <c r="FS687" s="105"/>
      <c r="FT687" s="105"/>
      <c r="FU687" s="105"/>
      <c r="FV687" s="105"/>
      <c r="FW687" s="105"/>
      <c r="FX687" s="105"/>
      <c r="FY687" s="105"/>
      <c r="FZ687" s="105"/>
      <c r="GA687" s="105"/>
      <c r="GB687" s="105"/>
      <c r="GC687" s="105"/>
      <c r="GD687" s="105"/>
      <c r="GE687" s="105"/>
      <c r="GF687" s="105"/>
      <c r="GG687" s="105"/>
      <c r="GH687" s="105"/>
    </row>
    <row r="688" spans="30:190" ht="6.95" customHeight="1" x14ac:dyDescent="0.15">
      <c r="AD688" s="5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1"/>
      <c r="BI688" s="1"/>
      <c r="BJ688" s="1"/>
      <c r="BK688" s="1"/>
      <c r="BL688" s="1"/>
      <c r="BM688" s="1"/>
      <c r="BN688" s="92"/>
      <c r="BO688" s="92"/>
      <c r="BP688" s="98"/>
      <c r="BQ688" s="93"/>
      <c r="BR688" s="5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1"/>
      <c r="CW688" s="1"/>
      <c r="CX688" s="1"/>
      <c r="CY688" s="1"/>
      <c r="CZ688" s="1"/>
      <c r="DA688" s="1"/>
      <c r="DB688" s="92"/>
      <c r="DC688" s="92"/>
      <c r="DD688" s="98"/>
      <c r="DH688" s="105"/>
      <c r="DI688" s="105"/>
      <c r="DJ688" s="105"/>
      <c r="DK688" s="105"/>
      <c r="DL688" s="105"/>
      <c r="DM688" s="105"/>
      <c r="DN688" s="105"/>
      <c r="DO688" s="105"/>
      <c r="DP688" s="105"/>
      <c r="DQ688" s="105"/>
      <c r="DR688" s="105"/>
      <c r="DS688" s="105"/>
      <c r="DT688" s="105"/>
      <c r="DU688" s="105"/>
      <c r="DV688" s="105"/>
      <c r="DW688" s="105"/>
      <c r="DX688" s="105"/>
      <c r="DY688" s="105"/>
      <c r="DZ688" s="105"/>
      <c r="EA688" s="105"/>
      <c r="EB688" s="105"/>
      <c r="EC688" s="105"/>
      <c r="ED688" s="105"/>
      <c r="EE688" s="105"/>
      <c r="EF688" s="105"/>
      <c r="EG688" s="105"/>
      <c r="EH688" s="105"/>
      <c r="EI688" s="105"/>
      <c r="EJ688" s="105"/>
      <c r="EK688" s="105"/>
      <c r="EL688" s="105"/>
      <c r="EM688" s="105"/>
      <c r="EN688" s="105"/>
      <c r="EO688" s="105"/>
      <c r="EP688" s="105"/>
      <c r="EQ688" s="105"/>
      <c r="ER688" s="105"/>
      <c r="ES688" s="105"/>
      <c r="ET688" s="105"/>
      <c r="EU688" s="105"/>
      <c r="EV688" s="105"/>
      <c r="EW688" s="105"/>
      <c r="EX688" s="105"/>
      <c r="EY688" s="105"/>
      <c r="EZ688" s="105"/>
      <c r="FA688" s="105"/>
      <c r="FB688" s="105"/>
      <c r="FC688" s="105"/>
      <c r="FD688" s="105"/>
      <c r="FE688" s="105"/>
      <c r="FF688" s="105"/>
      <c r="FG688" s="105"/>
      <c r="FH688" s="105"/>
      <c r="FI688" s="105"/>
      <c r="FJ688" s="105"/>
      <c r="FK688" s="105"/>
      <c r="FL688" s="105"/>
      <c r="FM688" s="105"/>
      <c r="FN688" s="105"/>
      <c r="FO688" s="105"/>
      <c r="FP688" s="105"/>
      <c r="FQ688" s="105"/>
      <c r="FR688" s="105"/>
      <c r="FS688" s="105"/>
      <c r="FT688" s="105"/>
      <c r="FU688" s="105"/>
      <c r="FV688" s="105"/>
      <c r="FW688" s="105"/>
      <c r="FX688" s="105"/>
      <c r="FY688" s="105"/>
      <c r="FZ688" s="105"/>
      <c r="GA688" s="105"/>
      <c r="GB688" s="105"/>
      <c r="GC688" s="105"/>
      <c r="GD688" s="105"/>
      <c r="GE688" s="105"/>
      <c r="GF688" s="105"/>
      <c r="GG688" s="105"/>
      <c r="GH688" s="105"/>
    </row>
    <row r="689" spans="30:190" ht="6.95" customHeight="1" x14ac:dyDescent="0.15">
      <c r="AD689" s="5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1"/>
      <c r="BI689" s="1"/>
      <c r="BJ689" s="1"/>
      <c r="BK689" s="1"/>
      <c r="BL689" s="1"/>
      <c r="BM689" s="1"/>
      <c r="BN689" s="1"/>
      <c r="BO689" s="1"/>
      <c r="BP689" s="99"/>
      <c r="BQ689" s="93"/>
      <c r="BR689" s="5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1"/>
      <c r="CW689" s="1"/>
      <c r="CX689" s="1"/>
      <c r="CY689" s="1"/>
      <c r="CZ689" s="1"/>
      <c r="DA689" s="1"/>
      <c r="DB689" s="1"/>
      <c r="DC689" s="1"/>
      <c r="DD689" s="99"/>
      <c r="DH689" s="105"/>
      <c r="DI689" s="105"/>
      <c r="DJ689" s="105"/>
      <c r="DK689" s="105"/>
      <c r="DL689" s="105"/>
      <c r="DM689" s="105"/>
      <c r="DN689" s="105"/>
      <c r="DO689" s="105"/>
      <c r="DP689" s="105"/>
      <c r="DQ689" s="105"/>
      <c r="DR689" s="105"/>
      <c r="DS689" s="105"/>
      <c r="DT689" s="105"/>
      <c r="DU689" s="105"/>
      <c r="DV689" s="105"/>
      <c r="DW689" s="105"/>
      <c r="DX689" s="105"/>
      <c r="DY689" s="105"/>
      <c r="DZ689" s="105"/>
      <c r="EA689" s="105"/>
      <c r="EB689" s="105"/>
      <c r="EC689" s="105"/>
      <c r="ED689" s="105"/>
      <c r="EE689" s="105"/>
      <c r="EF689" s="105"/>
      <c r="EG689" s="105"/>
      <c r="EH689" s="105"/>
      <c r="EI689" s="105"/>
      <c r="EJ689" s="105"/>
      <c r="EK689" s="105"/>
      <c r="EL689" s="105"/>
      <c r="EM689" s="105"/>
      <c r="EN689" s="105"/>
      <c r="EO689" s="105"/>
      <c r="EP689" s="105"/>
      <c r="EQ689" s="105"/>
      <c r="ER689" s="105"/>
      <c r="ES689" s="105"/>
      <c r="ET689" s="105"/>
      <c r="EU689" s="105"/>
      <c r="EV689" s="105"/>
      <c r="EW689" s="105"/>
      <c r="EX689" s="105"/>
      <c r="EY689" s="105"/>
      <c r="EZ689" s="105"/>
      <c r="FA689" s="105"/>
      <c r="FB689" s="105"/>
      <c r="FC689" s="105"/>
      <c r="FD689" s="105"/>
      <c r="FE689" s="105"/>
      <c r="FF689" s="105"/>
      <c r="FG689" s="105"/>
      <c r="FH689" s="105"/>
      <c r="FI689" s="105"/>
      <c r="FJ689" s="105"/>
      <c r="FK689" s="105"/>
      <c r="FL689" s="105"/>
      <c r="FM689" s="105"/>
      <c r="FN689" s="105"/>
      <c r="FO689" s="105"/>
      <c r="FP689" s="105"/>
      <c r="FQ689" s="105"/>
      <c r="FR689" s="105"/>
      <c r="FS689" s="105"/>
      <c r="FT689" s="105"/>
      <c r="FU689" s="105"/>
      <c r="FV689" s="105"/>
      <c r="FW689" s="105"/>
      <c r="FX689" s="105"/>
      <c r="FY689" s="105"/>
      <c r="FZ689" s="105"/>
      <c r="GA689" s="105"/>
      <c r="GB689" s="105"/>
      <c r="GC689" s="105"/>
      <c r="GD689" s="105"/>
      <c r="GE689" s="105"/>
      <c r="GF689" s="105"/>
      <c r="GG689" s="105"/>
      <c r="GH689" s="105"/>
    </row>
    <row r="690" spans="30:190" ht="6.95" customHeight="1" x14ac:dyDescent="0.15">
      <c r="AD690" s="5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1"/>
      <c r="BI690" s="1"/>
      <c r="BJ690" s="1"/>
      <c r="BK690" s="1"/>
      <c r="BL690" s="1"/>
      <c r="BM690" s="1"/>
      <c r="BN690" s="1"/>
      <c r="BO690" s="1"/>
      <c r="BP690" s="99"/>
      <c r="BQ690" s="93"/>
      <c r="BR690" s="5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1"/>
      <c r="CW690" s="1"/>
      <c r="CX690" s="1"/>
      <c r="CY690" s="1"/>
      <c r="CZ690" s="1"/>
      <c r="DA690" s="1"/>
      <c r="DB690" s="1"/>
      <c r="DC690" s="1"/>
      <c r="DD690" s="99"/>
      <c r="DH690" s="105"/>
      <c r="DI690" s="105"/>
      <c r="DJ690" s="105"/>
      <c r="DK690" s="105"/>
      <c r="DL690" s="105"/>
      <c r="DM690" s="105"/>
      <c r="DN690" s="105"/>
      <c r="DO690" s="105"/>
      <c r="DP690" s="105"/>
      <c r="DQ690" s="105"/>
      <c r="DR690" s="105"/>
      <c r="DS690" s="105"/>
      <c r="DT690" s="105"/>
      <c r="DU690" s="105"/>
      <c r="DV690" s="105"/>
      <c r="DW690" s="105"/>
      <c r="DX690" s="105"/>
      <c r="DY690" s="105"/>
      <c r="DZ690" s="105"/>
      <c r="EA690" s="105"/>
      <c r="EB690" s="105"/>
      <c r="EC690" s="105"/>
      <c r="ED690" s="105"/>
      <c r="EE690" s="105"/>
      <c r="EF690" s="105"/>
      <c r="EG690" s="105"/>
      <c r="EH690" s="105"/>
      <c r="EI690" s="105"/>
      <c r="EJ690" s="105"/>
      <c r="EK690" s="105"/>
      <c r="EL690" s="105"/>
      <c r="EM690" s="105"/>
      <c r="EN690" s="105"/>
      <c r="EO690" s="105"/>
      <c r="EP690" s="105"/>
      <c r="EQ690" s="105"/>
      <c r="ER690" s="105"/>
      <c r="ES690" s="105"/>
      <c r="ET690" s="105"/>
      <c r="EU690" s="105"/>
      <c r="EV690" s="105"/>
      <c r="EW690" s="105"/>
      <c r="EX690" s="105"/>
      <c r="EY690" s="105"/>
      <c r="EZ690" s="105"/>
      <c r="FA690" s="105"/>
      <c r="FB690" s="105"/>
      <c r="FC690" s="105"/>
      <c r="FD690" s="105"/>
      <c r="FE690" s="105"/>
      <c r="FF690" s="105"/>
      <c r="FG690" s="105"/>
      <c r="FH690" s="105"/>
      <c r="FI690" s="105"/>
      <c r="FJ690" s="105"/>
      <c r="FK690" s="105"/>
      <c r="FL690" s="105"/>
      <c r="FM690" s="105"/>
      <c r="FN690" s="105"/>
      <c r="FO690" s="105"/>
      <c r="FP690" s="105"/>
      <c r="FQ690" s="105"/>
      <c r="FR690" s="105"/>
      <c r="FS690" s="105"/>
      <c r="FT690" s="105"/>
      <c r="FU690" s="105"/>
      <c r="FV690" s="105"/>
      <c r="FW690" s="105"/>
      <c r="FX690" s="105"/>
      <c r="FY690" s="105"/>
      <c r="FZ690" s="105"/>
      <c r="GA690" s="105"/>
      <c r="GB690" s="105"/>
      <c r="GC690" s="105"/>
      <c r="GD690" s="105"/>
      <c r="GE690" s="105"/>
      <c r="GF690" s="105"/>
      <c r="GG690" s="105"/>
      <c r="GH690" s="105"/>
    </row>
    <row r="691" spans="30:190" ht="6.95" customHeight="1" x14ac:dyDescent="0.15">
      <c r="AD691" s="5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1"/>
      <c r="BI691" s="1"/>
      <c r="BJ691" s="1"/>
      <c r="BK691" s="1"/>
      <c r="BL691" s="1"/>
      <c r="BM691" s="1"/>
      <c r="BN691" s="1"/>
      <c r="BO691" s="1"/>
      <c r="BP691" s="99"/>
      <c r="BQ691" s="93"/>
      <c r="BR691" s="5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1"/>
      <c r="CW691" s="1"/>
      <c r="CX691" s="1"/>
      <c r="CY691" s="1"/>
      <c r="CZ691" s="1"/>
      <c r="DA691" s="1"/>
      <c r="DB691" s="1"/>
      <c r="DC691" s="1"/>
      <c r="DD691" s="99"/>
      <c r="DH691" s="105"/>
      <c r="DI691" s="105"/>
      <c r="DJ691" s="105"/>
      <c r="DK691" s="105"/>
      <c r="DL691" s="105"/>
      <c r="DM691" s="105"/>
      <c r="DN691" s="105"/>
      <c r="DO691" s="105"/>
      <c r="DP691" s="105"/>
      <c r="DQ691" s="105"/>
      <c r="DR691" s="105"/>
      <c r="DS691" s="105"/>
      <c r="DT691" s="105"/>
      <c r="DU691" s="105"/>
      <c r="DV691" s="105"/>
      <c r="DW691" s="105"/>
      <c r="DX691" s="105"/>
      <c r="DY691" s="105"/>
      <c r="DZ691" s="105"/>
      <c r="EA691" s="105"/>
      <c r="EB691" s="105"/>
      <c r="EC691" s="105"/>
      <c r="ED691" s="105"/>
      <c r="EE691" s="105"/>
      <c r="EF691" s="105"/>
      <c r="EG691" s="105"/>
      <c r="EH691" s="105"/>
      <c r="EI691" s="105"/>
      <c r="EJ691" s="105"/>
      <c r="EK691" s="105"/>
      <c r="EL691" s="105"/>
      <c r="EM691" s="105"/>
      <c r="EN691" s="105"/>
      <c r="EO691" s="105"/>
      <c r="EP691" s="105"/>
      <c r="EQ691" s="105"/>
      <c r="ER691" s="105"/>
      <c r="ES691" s="105"/>
      <c r="ET691" s="105"/>
      <c r="EU691" s="105"/>
      <c r="EV691" s="105"/>
      <c r="EW691" s="105"/>
      <c r="EX691" s="105"/>
      <c r="EY691" s="105"/>
      <c r="EZ691" s="105"/>
      <c r="FA691" s="105"/>
      <c r="FB691" s="105"/>
      <c r="FC691" s="105"/>
      <c r="FD691" s="105"/>
      <c r="FE691" s="105"/>
      <c r="FF691" s="105"/>
      <c r="FG691" s="105"/>
      <c r="FH691" s="105"/>
      <c r="FI691" s="105"/>
      <c r="FJ691" s="105"/>
      <c r="FK691" s="105"/>
      <c r="FL691" s="105"/>
      <c r="FM691" s="105"/>
      <c r="FN691" s="105"/>
      <c r="FO691" s="105"/>
      <c r="FP691" s="105"/>
      <c r="FQ691" s="105"/>
      <c r="FR691" s="105"/>
      <c r="FS691" s="105"/>
      <c r="FT691" s="105"/>
      <c r="FU691" s="105"/>
      <c r="FV691" s="105"/>
      <c r="FW691" s="105"/>
      <c r="FX691" s="105"/>
      <c r="FY691" s="105"/>
      <c r="FZ691" s="105"/>
      <c r="GA691" s="105"/>
      <c r="GB691" s="105"/>
      <c r="GC691" s="105"/>
      <c r="GD691" s="105"/>
      <c r="GE691" s="105"/>
      <c r="GF691" s="105"/>
      <c r="GG691" s="105"/>
      <c r="GH691" s="105"/>
    </row>
    <row r="692" spans="30:190" ht="6.95" customHeight="1" x14ac:dyDescent="0.15">
      <c r="AD692" s="5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1"/>
      <c r="BI692" s="1"/>
      <c r="BJ692" s="1"/>
      <c r="BK692" s="1"/>
      <c r="BL692" s="1"/>
      <c r="BM692" s="1"/>
      <c r="BN692" s="1"/>
      <c r="BO692" s="1"/>
      <c r="BP692" s="99"/>
      <c r="BQ692" s="93"/>
      <c r="BR692" s="5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1"/>
      <c r="CW692" s="1"/>
      <c r="CX692" s="1"/>
      <c r="CY692" s="1"/>
      <c r="CZ692" s="1"/>
      <c r="DA692" s="1"/>
      <c r="DB692" s="1"/>
      <c r="DC692" s="1"/>
      <c r="DD692" s="99"/>
      <c r="DH692" s="105"/>
      <c r="DI692" s="105"/>
      <c r="DJ692" s="105"/>
      <c r="DK692" s="105"/>
      <c r="DL692" s="105"/>
      <c r="DM692" s="105"/>
      <c r="DN692" s="105"/>
      <c r="DO692" s="105"/>
      <c r="DP692" s="105"/>
      <c r="DQ692" s="105"/>
      <c r="DR692" s="105"/>
      <c r="DS692" s="105"/>
      <c r="DT692" s="105"/>
      <c r="DU692" s="105"/>
      <c r="DV692" s="105"/>
      <c r="DW692" s="105"/>
      <c r="DX692" s="105"/>
      <c r="DY692" s="105"/>
      <c r="DZ692" s="105"/>
      <c r="EA692" s="105"/>
      <c r="EB692" s="105"/>
      <c r="EC692" s="105"/>
      <c r="ED692" s="105"/>
      <c r="EE692" s="105"/>
      <c r="EF692" s="105"/>
      <c r="EG692" s="105"/>
      <c r="EH692" s="105"/>
      <c r="EI692" s="105"/>
      <c r="EJ692" s="105"/>
      <c r="EK692" s="105"/>
      <c r="EL692" s="105"/>
      <c r="EM692" s="105"/>
      <c r="EN692" s="105"/>
      <c r="EO692" s="105"/>
      <c r="EP692" s="105"/>
      <c r="EQ692" s="105"/>
      <c r="ER692" s="105"/>
      <c r="ES692" s="105"/>
      <c r="ET692" s="105"/>
      <c r="EU692" s="105"/>
      <c r="EV692" s="105"/>
      <c r="EW692" s="105"/>
      <c r="EX692" s="105"/>
      <c r="EY692" s="105"/>
      <c r="EZ692" s="105"/>
      <c r="FA692" s="105"/>
      <c r="FB692" s="105"/>
      <c r="FC692" s="105"/>
      <c r="FD692" s="105"/>
      <c r="FE692" s="105"/>
      <c r="FF692" s="105"/>
      <c r="FG692" s="105"/>
      <c r="FH692" s="105"/>
      <c r="FI692" s="105"/>
      <c r="FJ692" s="105"/>
      <c r="FK692" s="105"/>
      <c r="FL692" s="105"/>
      <c r="FM692" s="105"/>
      <c r="FN692" s="105"/>
      <c r="FO692" s="105"/>
      <c r="FP692" s="105"/>
      <c r="FQ692" s="105"/>
      <c r="FR692" s="105"/>
      <c r="FS692" s="105"/>
      <c r="FT692" s="105"/>
      <c r="FU692" s="105"/>
      <c r="FV692" s="105"/>
      <c r="FW692" s="105"/>
      <c r="FX692" s="105"/>
      <c r="FY692" s="105"/>
      <c r="FZ692" s="105"/>
      <c r="GA692" s="105"/>
      <c r="GB692" s="105"/>
      <c r="GC692" s="105"/>
      <c r="GD692" s="105"/>
      <c r="GE692" s="105"/>
      <c r="GF692" s="105"/>
      <c r="GG692" s="105"/>
      <c r="GH692" s="105"/>
    </row>
    <row r="693" spans="30:190" ht="6.95" customHeight="1" x14ac:dyDescent="0.15">
      <c r="AD693" s="5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1"/>
      <c r="BI693" s="1"/>
      <c r="BJ693" s="1"/>
      <c r="BK693" s="1"/>
      <c r="BL693" s="1"/>
      <c r="BM693" s="1"/>
      <c r="BN693" s="1"/>
      <c r="BO693" s="1"/>
      <c r="BP693" s="99"/>
      <c r="BQ693" s="93"/>
      <c r="BR693" s="5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1"/>
      <c r="CW693" s="1"/>
      <c r="CX693" s="1"/>
      <c r="CY693" s="1"/>
      <c r="CZ693" s="1"/>
      <c r="DA693" s="1"/>
      <c r="DB693" s="1"/>
      <c r="DC693" s="1"/>
      <c r="DD693" s="99"/>
      <c r="DH693" s="105"/>
      <c r="DI693" s="105"/>
      <c r="DJ693" s="105"/>
      <c r="DK693" s="105"/>
      <c r="DL693" s="105"/>
      <c r="DM693" s="105"/>
      <c r="DN693" s="105"/>
      <c r="DO693" s="105"/>
      <c r="DP693" s="105"/>
      <c r="DQ693" s="105"/>
      <c r="DR693" s="105"/>
      <c r="DS693" s="105"/>
      <c r="DT693" s="105"/>
      <c r="DU693" s="105"/>
      <c r="DV693" s="105"/>
      <c r="DW693" s="105"/>
      <c r="DX693" s="105"/>
      <c r="DY693" s="105"/>
      <c r="DZ693" s="105"/>
      <c r="EA693" s="105"/>
      <c r="EB693" s="105"/>
      <c r="EC693" s="105"/>
      <c r="ED693" s="105"/>
      <c r="EE693" s="105"/>
      <c r="EF693" s="105"/>
      <c r="EG693" s="105"/>
      <c r="EH693" s="105"/>
      <c r="EI693" s="105"/>
      <c r="EJ693" s="105"/>
      <c r="EK693" s="105"/>
      <c r="EL693" s="105"/>
      <c r="EM693" s="105"/>
      <c r="EN693" s="105"/>
      <c r="EO693" s="105"/>
      <c r="EP693" s="105"/>
      <c r="EQ693" s="105"/>
      <c r="ER693" s="105"/>
      <c r="ES693" s="105"/>
      <c r="ET693" s="105"/>
      <c r="EU693" s="105"/>
      <c r="EV693" s="105"/>
      <c r="EW693" s="105"/>
      <c r="EX693" s="105"/>
      <c r="EY693" s="105"/>
      <c r="EZ693" s="105"/>
      <c r="FA693" s="105"/>
      <c r="FB693" s="105"/>
      <c r="FC693" s="105"/>
      <c r="FD693" s="105"/>
      <c r="FE693" s="105"/>
      <c r="FF693" s="105"/>
      <c r="FG693" s="105"/>
      <c r="FH693" s="105"/>
      <c r="FI693" s="105"/>
      <c r="FJ693" s="105"/>
      <c r="FK693" s="105"/>
      <c r="FL693" s="105"/>
      <c r="FM693" s="105"/>
      <c r="FN693" s="105"/>
      <c r="FO693" s="105"/>
      <c r="FP693" s="105"/>
      <c r="FQ693" s="105"/>
      <c r="FR693" s="105"/>
      <c r="FS693" s="105"/>
      <c r="FT693" s="105"/>
      <c r="FU693" s="105"/>
      <c r="FV693" s="105"/>
      <c r="FW693" s="105"/>
      <c r="FX693" s="105"/>
      <c r="FY693" s="105"/>
      <c r="FZ693" s="105"/>
      <c r="GA693" s="105"/>
      <c r="GB693" s="105"/>
      <c r="GC693" s="105"/>
      <c r="GD693" s="105"/>
      <c r="GE693" s="105"/>
      <c r="GF693" s="105"/>
      <c r="GG693" s="105"/>
      <c r="GH693" s="105"/>
    </row>
    <row r="694" spans="30:190" ht="6.95" customHeight="1" x14ac:dyDescent="0.15">
      <c r="AD694" s="5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1"/>
      <c r="BI694" s="1"/>
      <c r="BJ694" s="1"/>
      <c r="BK694" s="1"/>
      <c r="BL694" s="1"/>
      <c r="BM694" s="1"/>
      <c r="BN694" s="1"/>
      <c r="BO694" s="1"/>
      <c r="BP694" s="99"/>
      <c r="BQ694" s="93"/>
      <c r="BR694" s="5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1"/>
      <c r="CW694" s="1"/>
      <c r="CX694" s="1"/>
      <c r="CY694" s="1"/>
      <c r="CZ694" s="1"/>
      <c r="DA694" s="1"/>
      <c r="DB694" s="1"/>
      <c r="DC694" s="1"/>
      <c r="DD694" s="99"/>
      <c r="DH694" s="105"/>
      <c r="DI694" s="105"/>
      <c r="DJ694" s="105"/>
      <c r="DK694" s="105"/>
      <c r="DL694" s="105"/>
      <c r="DM694" s="105"/>
      <c r="DN694" s="105"/>
      <c r="DO694" s="105"/>
      <c r="DP694" s="105"/>
      <c r="DQ694" s="105"/>
      <c r="DR694" s="105"/>
      <c r="DS694" s="105"/>
      <c r="DT694" s="105"/>
      <c r="DU694" s="105"/>
      <c r="DV694" s="105"/>
      <c r="DW694" s="105"/>
      <c r="DX694" s="105"/>
      <c r="DY694" s="105"/>
      <c r="DZ694" s="105"/>
      <c r="EA694" s="105"/>
      <c r="EB694" s="105"/>
      <c r="EC694" s="105"/>
      <c r="ED694" s="105"/>
      <c r="EE694" s="105"/>
      <c r="EF694" s="105"/>
      <c r="EG694" s="105"/>
      <c r="EH694" s="105"/>
      <c r="EI694" s="105"/>
      <c r="EJ694" s="105"/>
      <c r="EK694" s="105"/>
      <c r="EL694" s="105"/>
      <c r="EM694" s="105"/>
      <c r="EN694" s="105"/>
      <c r="EO694" s="105"/>
      <c r="EP694" s="105"/>
      <c r="EQ694" s="105"/>
      <c r="ER694" s="105"/>
      <c r="ES694" s="105"/>
      <c r="ET694" s="105"/>
      <c r="EU694" s="105"/>
      <c r="EV694" s="105"/>
      <c r="EW694" s="105"/>
      <c r="EX694" s="105"/>
      <c r="EY694" s="105"/>
      <c r="EZ694" s="105"/>
      <c r="FA694" s="105"/>
      <c r="FB694" s="105"/>
      <c r="FC694" s="105"/>
      <c r="FD694" s="105"/>
      <c r="FE694" s="105"/>
      <c r="FF694" s="105"/>
      <c r="FG694" s="105"/>
      <c r="FH694" s="105"/>
      <c r="FI694" s="105"/>
      <c r="FJ694" s="105"/>
      <c r="FK694" s="105"/>
      <c r="FL694" s="105"/>
      <c r="FM694" s="105"/>
      <c r="FN694" s="105"/>
      <c r="FO694" s="105"/>
      <c r="FP694" s="105"/>
      <c r="FQ694" s="105"/>
      <c r="FR694" s="105"/>
      <c r="FS694" s="105"/>
      <c r="FT694" s="105"/>
      <c r="FU694" s="105"/>
      <c r="FV694" s="105"/>
      <c r="FW694" s="105"/>
      <c r="FX694" s="105"/>
      <c r="FY694" s="105"/>
      <c r="FZ694" s="105"/>
      <c r="GA694" s="105"/>
      <c r="GB694" s="105"/>
      <c r="GC694" s="105"/>
      <c r="GD694" s="105"/>
      <c r="GE694" s="105"/>
      <c r="GF694" s="105"/>
      <c r="GG694" s="105"/>
      <c r="GH694" s="105"/>
    </row>
    <row r="695" spans="30:190" ht="6.95" customHeight="1" x14ac:dyDescent="0.15">
      <c r="AD695" s="210">
        <v>3</v>
      </c>
      <c r="AE695" s="211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1"/>
      <c r="BI695" s="1"/>
      <c r="BJ695" s="1"/>
      <c r="BK695" s="1"/>
      <c r="BL695" s="1"/>
      <c r="BM695" s="1"/>
      <c r="BN695" s="1"/>
      <c r="BO695" s="1"/>
      <c r="BP695" s="99"/>
      <c r="BQ695" s="93"/>
      <c r="BR695" s="210">
        <v>7</v>
      </c>
      <c r="BS695" s="211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1"/>
      <c r="CW695" s="1"/>
      <c r="CX695" s="1"/>
      <c r="CY695" s="1"/>
      <c r="CZ695" s="1"/>
      <c r="DA695" s="1"/>
      <c r="DB695" s="1"/>
      <c r="DC695" s="1"/>
      <c r="DD695" s="99"/>
      <c r="DH695" s="105"/>
      <c r="DI695" s="105"/>
      <c r="DJ695" s="105"/>
      <c r="DK695" s="105"/>
      <c r="DL695" s="105"/>
      <c r="DM695" s="105"/>
      <c r="DN695" s="105"/>
      <c r="DO695" s="105"/>
      <c r="DP695" s="105"/>
      <c r="DQ695" s="105"/>
      <c r="DR695" s="105"/>
      <c r="DS695" s="105"/>
      <c r="DT695" s="105"/>
      <c r="DU695" s="105"/>
      <c r="DV695" s="105"/>
      <c r="DW695" s="105"/>
      <c r="DX695" s="105"/>
      <c r="DY695" s="105"/>
      <c r="DZ695" s="105"/>
      <c r="EA695" s="105"/>
      <c r="EB695" s="105"/>
      <c r="EC695" s="105"/>
      <c r="ED695" s="105"/>
      <c r="EE695" s="105"/>
      <c r="EF695" s="105"/>
      <c r="EG695" s="105"/>
      <c r="EH695" s="105"/>
      <c r="EI695" s="105"/>
      <c r="EJ695" s="105"/>
      <c r="EK695" s="105"/>
      <c r="EL695" s="105"/>
      <c r="EM695" s="105"/>
      <c r="EN695" s="105"/>
      <c r="EO695" s="105"/>
      <c r="EP695" s="105"/>
      <c r="EQ695" s="105"/>
      <c r="ER695" s="105"/>
      <c r="ES695" s="105"/>
      <c r="ET695" s="105"/>
      <c r="EU695" s="105"/>
      <c r="EV695" s="105"/>
      <c r="EW695" s="105"/>
      <c r="EX695" s="105"/>
      <c r="EY695" s="105"/>
      <c r="EZ695" s="105"/>
      <c r="FA695" s="105"/>
      <c r="FB695" s="105"/>
      <c r="FC695" s="105"/>
      <c r="FD695" s="105"/>
      <c r="FE695" s="105"/>
      <c r="FF695" s="105"/>
      <c r="FG695" s="105"/>
      <c r="FH695" s="105"/>
      <c r="FI695" s="105"/>
      <c r="FJ695" s="105"/>
      <c r="FK695" s="105"/>
      <c r="FL695" s="105"/>
      <c r="FM695" s="105"/>
      <c r="FN695" s="105"/>
      <c r="FO695" s="105"/>
      <c r="FP695" s="105"/>
      <c r="FQ695" s="105"/>
      <c r="FR695" s="105"/>
      <c r="FS695" s="105"/>
      <c r="FT695" s="105"/>
      <c r="FU695" s="105"/>
      <c r="FV695" s="105"/>
      <c r="FW695" s="105"/>
      <c r="FX695" s="105"/>
      <c r="FY695" s="105"/>
      <c r="FZ695" s="105"/>
      <c r="GA695" s="105"/>
      <c r="GB695" s="105"/>
      <c r="GC695" s="105"/>
      <c r="GD695" s="105"/>
      <c r="GE695" s="105"/>
      <c r="GF695" s="105"/>
      <c r="GG695" s="105"/>
      <c r="GH695" s="105"/>
    </row>
    <row r="696" spans="30:190" ht="6.95" customHeight="1" thickBot="1" x14ac:dyDescent="0.2">
      <c r="AD696" s="212"/>
      <c r="AE696" s="21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100"/>
      <c r="BI696" s="100"/>
      <c r="BJ696" s="100"/>
      <c r="BK696" s="100"/>
      <c r="BL696" s="100"/>
      <c r="BM696" s="100"/>
      <c r="BN696" s="100"/>
      <c r="BO696" s="100"/>
      <c r="BP696" s="101"/>
      <c r="BQ696" s="93"/>
      <c r="BR696" s="212"/>
      <c r="BS696" s="21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  <c r="CD696" s="53"/>
      <c r="CE696" s="53"/>
      <c r="CF696" s="53"/>
      <c r="CG696" s="53"/>
      <c r="CH696" s="53"/>
      <c r="CI696" s="53"/>
      <c r="CJ696" s="53"/>
      <c r="CK696" s="53"/>
      <c r="CL696" s="53"/>
      <c r="CM696" s="53"/>
      <c r="CN696" s="53"/>
      <c r="CO696" s="53"/>
      <c r="CP696" s="53"/>
      <c r="CQ696" s="53"/>
      <c r="CR696" s="53"/>
      <c r="CS696" s="53"/>
      <c r="CT696" s="53"/>
      <c r="CU696" s="53"/>
      <c r="CV696" s="100"/>
      <c r="CW696" s="100"/>
      <c r="CX696" s="100"/>
      <c r="CY696" s="100"/>
      <c r="CZ696" s="100"/>
      <c r="DA696" s="100"/>
      <c r="DB696" s="100"/>
      <c r="DC696" s="100"/>
      <c r="DD696" s="101"/>
      <c r="DH696" s="105"/>
      <c r="DI696" s="105"/>
      <c r="DJ696" s="105"/>
      <c r="DK696" s="105"/>
      <c r="DL696" s="105"/>
      <c r="DM696" s="105"/>
      <c r="DN696" s="105"/>
      <c r="DO696" s="105"/>
      <c r="DP696" s="105"/>
      <c r="DQ696" s="105"/>
      <c r="DR696" s="105"/>
      <c r="DS696" s="105"/>
      <c r="DT696" s="105"/>
      <c r="DU696" s="105"/>
      <c r="DV696" s="105"/>
      <c r="DW696" s="105"/>
      <c r="DX696" s="105"/>
      <c r="DY696" s="105"/>
      <c r="DZ696" s="105"/>
      <c r="EA696" s="105"/>
      <c r="EB696" s="105"/>
      <c r="EC696" s="105"/>
      <c r="ED696" s="105"/>
      <c r="EE696" s="105"/>
      <c r="EF696" s="105"/>
      <c r="EG696" s="105"/>
      <c r="EH696" s="105"/>
      <c r="EI696" s="105"/>
      <c r="EJ696" s="105"/>
      <c r="EK696" s="105"/>
      <c r="EL696" s="105"/>
      <c r="EM696" s="105"/>
      <c r="EN696" s="105"/>
      <c r="EO696" s="105"/>
      <c r="EP696" s="105"/>
      <c r="EQ696" s="105"/>
      <c r="ER696" s="105"/>
      <c r="ES696" s="105"/>
      <c r="ET696" s="105"/>
      <c r="EU696" s="105"/>
      <c r="EV696" s="105"/>
      <c r="EW696" s="105"/>
      <c r="EX696" s="105"/>
      <c r="EY696" s="105"/>
      <c r="EZ696" s="105"/>
      <c r="FA696" s="105"/>
      <c r="FB696" s="105"/>
      <c r="FC696" s="105"/>
      <c r="FD696" s="105"/>
      <c r="FE696" s="105"/>
      <c r="FF696" s="105"/>
      <c r="FG696" s="105"/>
      <c r="FH696" s="105"/>
      <c r="FI696" s="105"/>
      <c r="FJ696" s="105"/>
      <c r="FK696" s="105"/>
      <c r="FL696" s="105"/>
      <c r="FM696" s="105"/>
      <c r="FN696" s="105"/>
      <c r="FO696" s="105"/>
      <c r="FP696" s="105"/>
      <c r="FQ696" s="105"/>
      <c r="FR696" s="105"/>
      <c r="FS696" s="105"/>
      <c r="FT696" s="105"/>
      <c r="FU696" s="105"/>
      <c r="FV696" s="105"/>
      <c r="FW696" s="105"/>
      <c r="FX696" s="105"/>
      <c r="FY696" s="105"/>
      <c r="FZ696" s="105"/>
      <c r="GA696" s="105"/>
      <c r="GB696" s="105"/>
      <c r="GC696" s="105"/>
      <c r="GD696" s="105"/>
      <c r="GE696" s="105"/>
      <c r="GF696" s="105"/>
      <c r="GG696" s="105"/>
      <c r="GH696" s="105"/>
    </row>
    <row r="697" spans="30:190" ht="6.95" customHeight="1" x14ac:dyDescent="0.15">
      <c r="AD697" s="52"/>
      <c r="AE697" s="189"/>
      <c r="AF697" s="214" t="s">
        <v>28</v>
      </c>
      <c r="AG697" s="214"/>
      <c r="AH697" s="214"/>
      <c r="AI697" s="214"/>
      <c r="AJ697" s="82"/>
      <c r="AK697" s="82"/>
      <c r="AL697" s="82"/>
      <c r="AM697" s="82"/>
      <c r="AN697" s="82"/>
      <c r="AO697" s="189"/>
      <c r="AP697" s="189"/>
      <c r="AQ697" s="82"/>
      <c r="AR697" s="82"/>
      <c r="AS697" s="82"/>
      <c r="AT697" s="82"/>
      <c r="AU697" s="82"/>
      <c r="AV697" s="82"/>
      <c r="AW697" s="82"/>
      <c r="AX697" s="82"/>
      <c r="AY697" s="197"/>
      <c r="AZ697" s="197"/>
      <c r="BA697" s="197"/>
      <c r="BB697" s="197"/>
      <c r="BC697" s="82"/>
      <c r="BD697" s="82"/>
      <c r="BE697" s="82"/>
      <c r="BF697" s="82"/>
      <c r="BG697" s="82"/>
      <c r="BH697" s="189"/>
      <c r="BI697" s="189"/>
      <c r="BJ697" s="82"/>
      <c r="BK697" s="82"/>
      <c r="BL697" s="82"/>
      <c r="BM697" s="82"/>
      <c r="BN697" s="82"/>
      <c r="BO697" s="82"/>
      <c r="BP697" s="99"/>
      <c r="BQ697" s="93"/>
      <c r="BR697" s="52"/>
      <c r="BS697" s="2"/>
      <c r="BT697" s="214" t="s">
        <v>30</v>
      </c>
      <c r="BU697" s="214"/>
      <c r="BV697" s="214"/>
      <c r="BW697" s="214"/>
      <c r="BX697" s="82"/>
      <c r="BY697" s="82"/>
      <c r="BZ697" s="82"/>
      <c r="CA697" s="82"/>
      <c r="CB697" s="82"/>
      <c r="CC697" s="2"/>
      <c r="CD697" s="2"/>
      <c r="CE697" s="82"/>
      <c r="CF697" s="82"/>
      <c r="CG697" s="82"/>
      <c r="CH697" s="82"/>
      <c r="CI697" s="82"/>
      <c r="CJ697" s="82"/>
      <c r="CK697" s="82"/>
      <c r="CL697" s="82"/>
      <c r="CM697" s="214" t="s">
        <v>30</v>
      </c>
      <c r="CN697" s="214"/>
      <c r="CO697" s="214"/>
      <c r="CP697" s="214"/>
      <c r="CQ697" s="82"/>
      <c r="CR697" s="82"/>
      <c r="CS697" s="82"/>
      <c r="CT697" s="82"/>
      <c r="CU697" s="82"/>
      <c r="CV697" s="2"/>
      <c r="CW697" s="2"/>
      <c r="CX697" s="82"/>
      <c r="CY697" s="82"/>
      <c r="CZ697" s="82"/>
      <c r="DA697" s="82"/>
      <c r="DB697" s="82"/>
      <c r="DC697" s="82"/>
      <c r="DD697" s="99"/>
      <c r="DH697" s="105"/>
      <c r="DI697" s="105"/>
      <c r="DJ697" s="105"/>
      <c r="DK697" s="105"/>
      <c r="DL697" s="105"/>
      <c r="DM697" s="105"/>
      <c r="DN697" s="105"/>
      <c r="DO697" s="105"/>
      <c r="DP697" s="105"/>
      <c r="DQ697" s="105"/>
      <c r="DR697" s="105"/>
      <c r="DS697" s="105"/>
      <c r="DT697" s="105"/>
      <c r="DU697" s="105"/>
      <c r="DV697" s="105"/>
      <c r="DW697" s="105"/>
      <c r="DX697" s="105"/>
      <c r="DY697" s="105"/>
      <c r="DZ697" s="105"/>
      <c r="EA697" s="105"/>
      <c r="EB697" s="105"/>
      <c r="EC697" s="105"/>
      <c r="ED697" s="105"/>
      <c r="EE697" s="105"/>
      <c r="EF697" s="105"/>
      <c r="EG697" s="105"/>
      <c r="EH697" s="105"/>
      <c r="EI697" s="105"/>
      <c r="EJ697" s="105"/>
      <c r="EK697" s="105"/>
      <c r="EL697" s="105"/>
      <c r="EM697" s="105"/>
      <c r="EN697" s="105"/>
      <c r="EO697" s="105"/>
      <c r="EP697" s="105"/>
      <c r="EQ697" s="105"/>
      <c r="ER697" s="105"/>
      <c r="ES697" s="105"/>
      <c r="ET697" s="105"/>
      <c r="EU697" s="105"/>
      <c r="EV697" s="105"/>
      <c r="EW697" s="105"/>
      <c r="EX697" s="105"/>
      <c r="EY697" s="105"/>
      <c r="EZ697" s="105"/>
      <c r="FA697" s="105"/>
      <c r="FB697" s="105"/>
      <c r="FC697" s="105"/>
      <c r="FD697" s="105"/>
      <c r="FE697" s="105"/>
      <c r="FF697" s="105"/>
      <c r="FG697" s="105"/>
      <c r="FH697" s="105"/>
      <c r="FI697" s="105"/>
      <c r="FJ697" s="105"/>
      <c r="FK697" s="105"/>
      <c r="FL697" s="105"/>
      <c r="FM697" s="105"/>
      <c r="FN697" s="105"/>
      <c r="FO697" s="105"/>
      <c r="FP697" s="105"/>
      <c r="FQ697" s="105"/>
      <c r="FR697" s="105"/>
      <c r="FS697" s="105"/>
      <c r="FT697" s="105"/>
      <c r="FU697" s="105"/>
      <c r="FV697" s="105"/>
      <c r="FW697" s="105"/>
      <c r="FX697" s="105"/>
      <c r="FY697" s="105"/>
      <c r="FZ697" s="105"/>
      <c r="GA697" s="105"/>
      <c r="GB697" s="105"/>
      <c r="GC697" s="105"/>
      <c r="GD697" s="105"/>
      <c r="GE697" s="105"/>
      <c r="GF697" s="105"/>
      <c r="GG697" s="105"/>
      <c r="GH697" s="105"/>
    </row>
    <row r="698" spans="30:190" ht="6.95" customHeight="1" x14ac:dyDescent="0.15">
      <c r="AD698" s="56"/>
      <c r="AE698" s="3"/>
      <c r="AF698" s="197"/>
      <c r="AG698" s="197"/>
      <c r="AH698" s="197"/>
      <c r="AI698" s="197"/>
      <c r="AJ698" s="82"/>
      <c r="AK698" s="197"/>
      <c r="AL698" s="197"/>
      <c r="AM698" s="197"/>
      <c r="AN698" s="197"/>
      <c r="AO698" s="189"/>
      <c r="AP698" s="189"/>
      <c r="AQ698" s="82"/>
      <c r="AR698" s="82"/>
      <c r="AS698" s="82"/>
      <c r="AT698" s="82"/>
      <c r="AU698" s="82"/>
      <c r="AV698" s="82"/>
      <c r="AW698" s="82"/>
      <c r="AX698" s="82"/>
      <c r="AY698" s="197"/>
      <c r="AZ698" s="197"/>
      <c r="BA698" s="197"/>
      <c r="BB698" s="197"/>
      <c r="BC698" s="82"/>
      <c r="BD698" s="106"/>
      <c r="BE698" s="106"/>
      <c r="BF698" s="106"/>
      <c r="BG698" s="106"/>
      <c r="BH698" s="189"/>
      <c r="BI698" s="189"/>
      <c r="BJ698" s="82"/>
      <c r="BK698" s="82"/>
      <c r="BL698" s="82"/>
      <c r="BM698" s="82"/>
      <c r="BN698" s="82"/>
      <c r="BO698" s="82"/>
      <c r="BP698" s="99"/>
      <c r="BQ698" s="93"/>
      <c r="BR698" s="56"/>
      <c r="BS698" s="3"/>
      <c r="BT698" s="197"/>
      <c r="BU698" s="197"/>
      <c r="BV698" s="197"/>
      <c r="BW698" s="197"/>
      <c r="BX698" s="82"/>
      <c r="BY698" s="197">
        <f>IF(BT697="D16",750, IF(BT697="D13",600))</f>
        <v>600</v>
      </c>
      <c r="BZ698" s="197"/>
      <c r="CA698" s="197"/>
      <c r="CB698" s="197"/>
      <c r="CC698" s="2"/>
      <c r="CD698" s="2"/>
      <c r="CE698" s="82"/>
      <c r="CF698" s="82"/>
      <c r="CG698" s="82"/>
      <c r="CH698" s="82"/>
      <c r="CI698" s="82"/>
      <c r="CJ698" s="82"/>
      <c r="CK698" s="82"/>
      <c r="CL698" s="82"/>
      <c r="CM698" s="197"/>
      <c r="CN698" s="197"/>
      <c r="CO698" s="197"/>
      <c r="CP698" s="197"/>
      <c r="CQ698" s="82"/>
      <c r="CR698" s="197">
        <f>IF(CM697="D16",750, IF(CM697="D13",600))</f>
        <v>600</v>
      </c>
      <c r="CS698" s="197"/>
      <c r="CT698" s="197"/>
      <c r="CU698" s="197"/>
      <c r="CV698" s="2"/>
      <c r="CW698" s="2"/>
      <c r="CX698" s="82"/>
      <c r="CY698" s="82"/>
      <c r="CZ698" s="82"/>
      <c r="DA698" s="82"/>
      <c r="DB698" s="82"/>
      <c r="DC698" s="82"/>
      <c r="DD698" s="99"/>
      <c r="DH698" s="105"/>
      <c r="DI698" s="105"/>
      <c r="DJ698" s="105"/>
      <c r="DK698" s="105"/>
      <c r="DL698" s="105"/>
      <c r="DM698" s="105"/>
      <c r="DN698" s="105"/>
      <c r="DO698" s="105"/>
      <c r="DP698" s="105"/>
      <c r="DQ698" s="105"/>
      <c r="DR698" s="105"/>
      <c r="DS698" s="105"/>
      <c r="DT698" s="105"/>
      <c r="DU698" s="105"/>
      <c r="DV698" s="105"/>
      <c r="DW698" s="105"/>
      <c r="DX698" s="105"/>
      <c r="DY698" s="105"/>
      <c r="DZ698" s="105"/>
      <c r="EA698" s="105"/>
      <c r="EB698" s="105"/>
      <c r="EC698" s="105"/>
      <c r="ED698" s="105"/>
      <c r="EE698" s="105"/>
      <c r="EF698" s="105"/>
      <c r="EG698" s="105"/>
      <c r="EH698" s="105"/>
      <c r="EI698" s="105"/>
      <c r="EJ698" s="105"/>
      <c r="EK698" s="105"/>
      <c r="EL698" s="105"/>
      <c r="EM698" s="105"/>
      <c r="EN698" s="105"/>
      <c r="EO698" s="105"/>
      <c r="EP698" s="105"/>
      <c r="EQ698" s="105"/>
      <c r="ER698" s="105"/>
      <c r="ES698" s="105"/>
      <c r="ET698" s="105"/>
      <c r="EU698" s="105"/>
      <c r="EV698" s="105"/>
      <c r="EW698" s="105"/>
      <c r="EX698" s="105"/>
      <c r="EY698" s="105"/>
      <c r="EZ698" s="105"/>
      <c r="FA698" s="105"/>
      <c r="FB698" s="105"/>
      <c r="FC698" s="105"/>
      <c r="FD698" s="105"/>
      <c r="FE698" s="105"/>
      <c r="FF698" s="105"/>
      <c r="FG698" s="105"/>
      <c r="FH698" s="105"/>
      <c r="FI698" s="105"/>
      <c r="FJ698" s="105"/>
      <c r="FK698" s="105"/>
      <c r="FL698" s="105"/>
      <c r="FM698" s="105"/>
      <c r="FN698" s="105"/>
      <c r="FO698" s="105"/>
      <c r="FP698" s="105"/>
      <c r="FQ698" s="105"/>
      <c r="FR698" s="105"/>
      <c r="FS698" s="105"/>
      <c r="FT698" s="105"/>
      <c r="FU698" s="105"/>
      <c r="FV698" s="105"/>
      <c r="FW698" s="105"/>
      <c r="FX698" s="105"/>
      <c r="FY698" s="105"/>
      <c r="FZ698" s="105"/>
      <c r="GA698" s="105"/>
      <c r="GB698" s="105"/>
      <c r="GC698" s="105"/>
      <c r="GD698" s="105"/>
      <c r="GE698" s="105"/>
      <c r="GF698" s="105"/>
      <c r="GG698" s="105"/>
      <c r="GH698" s="105"/>
    </row>
    <row r="699" spans="30:190" ht="6.95" customHeight="1" x14ac:dyDescent="0.15">
      <c r="AD699" s="56"/>
      <c r="AE699" s="3"/>
      <c r="AF699" s="85"/>
      <c r="AG699" s="85"/>
      <c r="AH699" s="85"/>
      <c r="AI699" s="85"/>
      <c r="AJ699" s="85"/>
      <c r="AK699" s="197"/>
      <c r="AL699" s="197"/>
      <c r="AM699" s="197"/>
      <c r="AN699" s="197"/>
      <c r="AO699" s="85"/>
      <c r="AP699" s="85"/>
      <c r="AQ699" s="85"/>
      <c r="AR699" s="85"/>
      <c r="AS699" s="85"/>
      <c r="AT699" s="85"/>
      <c r="AU699" s="82"/>
      <c r="AV699" s="82"/>
      <c r="AW699" s="82"/>
      <c r="AX699" s="82"/>
      <c r="AY699" s="85"/>
      <c r="AZ699" s="85"/>
      <c r="BA699" s="85"/>
      <c r="BB699" s="85"/>
      <c r="BC699" s="85"/>
      <c r="BD699" s="106"/>
      <c r="BE699" s="106"/>
      <c r="BF699" s="106"/>
      <c r="BG699" s="106"/>
      <c r="BH699" s="85"/>
      <c r="BI699" s="85"/>
      <c r="BJ699" s="85"/>
      <c r="BK699" s="85"/>
      <c r="BL699" s="85"/>
      <c r="BM699" s="85"/>
      <c r="BN699" s="85"/>
      <c r="BO699" s="85"/>
      <c r="BP699" s="99"/>
      <c r="BQ699" s="93"/>
      <c r="BR699" s="56"/>
      <c r="BS699" s="3"/>
      <c r="BT699" s="85"/>
      <c r="BU699" s="85"/>
      <c r="BV699" s="85"/>
      <c r="BW699" s="85"/>
      <c r="BX699" s="85"/>
      <c r="BY699" s="197"/>
      <c r="BZ699" s="197"/>
      <c r="CA699" s="197"/>
      <c r="CB699" s="197"/>
      <c r="CC699" s="85"/>
      <c r="CD699" s="85"/>
      <c r="CE699" s="85"/>
      <c r="CF699" s="85"/>
      <c r="CG699" s="85"/>
      <c r="CH699" s="85"/>
      <c r="CI699" s="82"/>
      <c r="CJ699" s="82"/>
      <c r="CK699" s="82"/>
      <c r="CL699" s="82"/>
      <c r="CM699" s="85"/>
      <c r="CN699" s="85"/>
      <c r="CO699" s="85"/>
      <c r="CP699" s="85"/>
      <c r="CQ699" s="85"/>
      <c r="CR699" s="197"/>
      <c r="CS699" s="197"/>
      <c r="CT699" s="197"/>
      <c r="CU699" s="197"/>
      <c r="CV699" s="85"/>
      <c r="CW699" s="85"/>
      <c r="CX699" s="85"/>
      <c r="CY699" s="85"/>
      <c r="CZ699" s="85"/>
      <c r="DA699" s="85"/>
      <c r="DB699" s="85"/>
      <c r="DC699" s="85"/>
      <c r="DD699" s="99"/>
      <c r="DH699" s="105"/>
      <c r="DI699" s="105"/>
      <c r="DJ699" s="105"/>
      <c r="DK699" s="105"/>
      <c r="DL699" s="105"/>
      <c r="DM699" s="105"/>
      <c r="DN699" s="105"/>
      <c r="DO699" s="105"/>
      <c r="DP699" s="105"/>
      <c r="DQ699" s="105"/>
      <c r="DR699" s="105"/>
      <c r="DS699" s="105"/>
      <c r="DT699" s="105"/>
      <c r="DU699" s="105"/>
      <c r="DV699" s="105"/>
      <c r="DW699" s="105"/>
      <c r="DX699" s="105"/>
      <c r="DY699" s="105"/>
      <c r="DZ699" s="105"/>
      <c r="EA699" s="105"/>
      <c r="EB699" s="105"/>
      <c r="EC699" s="105"/>
      <c r="ED699" s="105"/>
      <c r="EE699" s="105"/>
      <c r="EF699" s="105"/>
      <c r="EG699" s="105"/>
      <c r="EH699" s="105"/>
      <c r="EI699" s="105"/>
      <c r="EJ699" s="105"/>
      <c r="EK699" s="105"/>
      <c r="EL699" s="105"/>
      <c r="EM699" s="105"/>
      <c r="EN699" s="105"/>
      <c r="EO699" s="105"/>
      <c r="EP699" s="105"/>
      <c r="EQ699" s="105"/>
      <c r="ER699" s="105"/>
      <c r="ES699" s="105"/>
      <c r="ET699" s="105"/>
      <c r="EU699" s="105"/>
      <c r="EV699" s="105"/>
      <c r="EW699" s="105"/>
      <c r="EX699" s="105"/>
      <c r="EY699" s="105"/>
      <c r="EZ699" s="105"/>
      <c r="FA699" s="105"/>
      <c r="FB699" s="105"/>
      <c r="FC699" s="105"/>
      <c r="FD699" s="105"/>
      <c r="FE699" s="105"/>
      <c r="FF699" s="105"/>
      <c r="FG699" s="105"/>
      <c r="FH699" s="105"/>
      <c r="FI699" s="105"/>
      <c r="FJ699" s="105"/>
      <c r="FK699" s="105"/>
      <c r="FL699" s="105"/>
      <c r="FM699" s="105"/>
      <c r="FN699" s="105"/>
      <c r="FO699" s="105"/>
      <c r="FP699" s="105"/>
      <c r="FQ699" s="105"/>
      <c r="FR699" s="105"/>
      <c r="FS699" s="105"/>
      <c r="FT699" s="105"/>
      <c r="FU699" s="105"/>
      <c r="FV699" s="105"/>
      <c r="FW699" s="105"/>
      <c r="FX699" s="105"/>
      <c r="FY699" s="105"/>
      <c r="FZ699" s="105"/>
      <c r="GA699" s="105"/>
      <c r="GB699" s="105"/>
      <c r="GC699" s="105"/>
      <c r="GD699" s="105"/>
      <c r="GE699" s="105"/>
      <c r="GF699" s="105"/>
      <c r="GG699" s="105"/>
      <c r="GH699" s="105"/>
    </row>
    <row r="700" spans="30:190" ht="6.95" customHeight="1" x14ac:dyDescent="0.15">
      <c r="AD700" s="56"/>
      <c r="AE700" s="3"/>
      <c r="AF700" s="199">
        <f>CHOOSE(SUM((AD685&gt;={700,750,800,850,900,950})*1), 565,615,665,715,765,815)</f>
        <v>615</v>
      </c>
      <c r="AG700" s="199"/>
      <c r="AH700" s="199"/>
      <c r="AI700" s="199"/>
      <c r="AJ700" s="3"/>
      <c r="AK700" s="189"/>
      <c r="AL700" s="189"/>
      <c r="AM700" s="85"/>
      <c r="AN700" s="85"/>
      <c r="AO700" s="215"/>
      <c r="AP700" s="215"/>
      <c r="AQ700" s="215"/>
      <c r="AR700" s="215"/>
      <c r="AS700" s="3"/>
      <c r="AT700" s="3"/>
      <c r="AU700" s="189"/>
      <c r="AV700" s="189"/>
      <c r="AW700" s="85"/>
      <c r="AX700" s="215"/>
      <c r="AY700" s="215"/>
      <c r="AZ700" s="215"/>
      <c r="BA700" s="215"/>
      <c r="BB700" s="3"/>
      <c r="BC700" s="3"/>
      <c r="BD700" s="189"/>
      <c r="BE700" s="189"/>
      <c r="BF700" s="85"/>
      <c r="BG700" s="85"/>
      <c r="BH700" s="118"/>
      <c r="BI700" s="118"/>
      <c r="BJ700" s="118"/>
      <c r="BK700" s="118"/>
      <c r="BL700" s="3"/>
      <c r="BM700" s="3"/>
      <c r="BN700" s="3"/>
      <c r="BO700" s="3"/>
      <c r="BP700" s="99"/>
      <c r="BQ700" s="93"/>
      <c r="BR700" s="56"/>
      <c r="BS700" s="3"/>
      <c r="BT700" s="3"/>
      <c r="BU700" s="3"/>
      <c r="BV700" s="3"/>
      <c r="BW700" s="3"/>
      <c r="BX700" s="3"/>
      <c r="BY700" s="2"/>
      <c r="BZ700" s="2"/>
      <c r="CA700" s="85"/>
      <c r="CB700" s="85"/>
      <c r="CC700" s="215">
        <f>CHOOSE(SUM((BR685&gt;={700,750,800,850,900,950})*1), 515,565,615,665,715,765)</f>
        <v>565</v>
      </c>
      <c r="CD700" s="215"/>
      <c r="CE700" s="215"/>
      <c r="CF700" s="215"/>
      <c r="CG700" s="3"/>
      <c r="CH700" s="3"/>
      <c r="CI700" s="2"/>
      <c r="CJ700" s="2"/>
      <c r="CK700" s="85"/>
      <c r="CL700" s="85"/>
      <c r="CM700" s="3"/>
      <c r="CN700" s="3"/>
      <c r="CO700" s="3"/>
      <c r="CP700" s="3"/>
      <c r="CQ700" s="3"/>
      <c r="CR700" s="2"/>
      <c r="CS700" s="2"/>
      <c r="CT700" s="85"/>
      <c r="CU700" s="85"/>
      <c r="CV700" s="215">
        <f>CC700-100</f>
        <v>465</v>
      </c>
      <c r="CW700" s="215"/>
      <c r="CX700" s="215"/>
      <c r="CY700" s="215"/>
      <c r="CZ700" s="3"/>
      <c r="DA700" s="3"/>
      <c r="DB700" s="3"/>
      <c r="DC700" s="3"/>
      <c r="DD700" s="99"/>
      <c r="DH700" s="105"/>
      <c r="DI700" s="105"/>
      <c r="DJ700" s="105"/>
      <c r="DK700" s="105"/>
      <c r="DL700" s="105"/>
      <c r="DM700" s="105"/>
      <c r="DN700" s="105"/>
      <c r="DO700" s="105"/>
      <c r="DP700" s="105"/>
      <c r="DQ700" s="105"/>
      <c r="DR700" s="105"/>
      <c r="DS700" s="105"/>
      <c r="DT700" s="105"/>
      <c r="DU700" s="105"/>
      <c r="DV700" s="105"/>
      <c r="DW700" s="105"/>
      <c r="DX700" s="105"/>
      <c r="DY700" s="105"/>
      <c r="DZ700" s="105"/>
      <c r="EA700" s="105"/>
      <c r="EB700" s="105"/>
      <c r="EC700" s="105"/>
      <c r="ED700" s="105"/>
      <c r="EE700" s="105"/>
      <c r="EF700" s="105"/>
      <c r="EG700" s="105"/>
      <c r="EH700" s="105"/>
      <c r="EI700" s="105"/>
      <c r="EJ700" s="105"/>
      <c r="EK700" s="105"/>
      <c r="EL700" s="105"/>
      <c r="EM700" s="105"/>
      <c r="EN700" s="105"/>
      <c r="EO700" s="105"/>
      <c r="EP700" s="105"/>
      <c r="EQ700" s="105"/>
      <c r="ER700" s="105"/>
      <c r="ES700" s="105"/>
      <c r="ET700" s="105"/>
      <c r="EU700" s="105"/>
      <c r="EV700" s="105"/>
      <c r="EW700" s="105"/>
      <c r="EX700" s="105"/>
      <c r="EY700" s="105"/>
      <c r="EZ700" s="105"/>
      <c r="FA700" s="105"/>
      <c r="FB700" s="105"/>
      <c r="FC700" s="105"/>
      <c r="FD700" s="105"/>
      <c r="FE700" s="105"/>
      <c r="FF700" s="105"/>
      <c r="FG700" s="105"/>
      <c r="FH700" s="105"/>
      <c r="FI700" s="105"/>
      <c r="FJ700" s="105"/>
      <c r="FK700" s="105"/>
      <c r="FL700" s="105"/>
      <c r="FM700" s="105"/>
      <c r="FN700" s="105"/>
      <c r="FO700" s="105"/>
      <c r="FP700" s="105"/>
      <c r="FQ700" s="105"/>
      <c r="FR700" s="105"/>
      <c r="FS700" s="105"/>
      <c r="FT700" s="105"/>
      <c r="FU700" s="105"/>
      <c r="FV700" s="105"/>
      <c r="FW700" s="105"/>
      <c r="FX700" s="105"/>
      <c r="FY700" s="105"/>
      <c r="FZ700" s="105"/>
      <c r="GA700" s="105"/>
      <c r="GB700" s="105"/>
      <c r="GC700" s="105"/>
      <c r="GD700" s="105"/>
      <c r="GE700" s="105"/>
      <c r="GF700" s="105"/>
      <c r="GG700" s="105"/>
      <c r="GH700" s="105"/>
    </row>
    <row r="701" spans="30:190" ht="6.95" customHeight="1" x14ac:dyDescent="0.15">
      <c r="AD701" s="56"/>
      <c r="AE701" s="3"/>
      <c r="AF701" s="199"/>
      <c r="AG701" s="199"/>
      <c r="AH701" s="199"/>
      <c r="AI701" s="199"/>
      <c r="AJ701" s="3"/>
      <c r="AK701" s="4"/>
      <c r="AL701" s="4"/>
      <c r="AM701" s="85"/>
      <c r="AN701" s="85"/>
      <c r="AO701" s="215"/>
      <c r="AP701" s="215"/>
      <c r="AQ701" s="215"/>
      <c r="AR701" s="215"/>
      <c r="AS701" s="3"/>
      <c r="AT701" s="3"/>
      <c r="AU701" s="4"/>
      <c r="AV701" s="4"/>
      <c r="AW701" s="85"/>
      <c r="AX701" s="215"/>
      <c r="AY701" s="215"/>
      <c r="AZ701" s="215"/>
      <c r="BA701" s="215"/>
      <c r="BB701" s="3"/>
      <c r="BC701" s="3"/>
      <c r="BD701" s="4"/>
      <c r="BE701" s="4"/>
      <c r="BF701" s="85"/>
      <c r="BG701" s="85"/>
      <c r="BH701" s="118"/>
      <c r="BI701" s="118"/>
      <c r="BJ701" s="118"/>
      <c r="BK701" s="118"/>
      <c r="BL701" s="3"/>
      <c r="BM701" s="3"/>
      <c r="BN701" s="3"/>
      <c r="BO701" s="3"/>
      <c r="BP701" s="99"/>
      <c r="BQ701" s="93"/>
      <c r="BR701" s="56"/>
      <c r="BS701" s="3"/>
      <c r="BT701" s="3"/>
      <c r="BU701" s="3"/>
      <c r="BV701" s="3"/>
      <c r="BW701" s="3"/>
      <c r="BX701" s="3"/>
      <c r="BY701" s="4"/>
      <c r="BZ701" s="4"/>
      <c r="CA701" s="85"/>
      <c r="CB701" s="85"/>
      <c r="CC701" s="215"/>
      <c r="CD701" s="215"/>
      <c r="CE701" s="215"/>
      <c r="CF701" s="215"/>
      <c r="CG701" s="3"/>
      <c r="CH701" s="3"/>
      <c r="CI701" s="4"/>
      <c r="CJ701" s="4"/>
      <c r="CK701" s="85"/>
      <c r="CL701" s="85"/>
      <c r="CM701" s="3"/>
      <c r="CN701" s="3"/>
      <c r="CO701" s="3"/>
      <c r="CP701" s="3"/>
      <c r="CQ701" s="3"/>
      <c r="CR701" s="4"/>
      <c r="CS701" s="4"/>
      <c r="CT701" s="85"/>
      <c r="CU701" s="85"/>
      <c r="CV701" s="215"/>
      <c r="CW701" s="215"/>
      <c r="CX701" s="215"/>
      <c r="CY701" s="215"/>
      <c r="CZ701" s="3"/>
      <c r="DA701" s="3"/>
      <c r="DB701" s="3"/>
      <c r="DC701" s="3"/>
      <c r="DD701" s="99"/>
      <c r="DH701" s="105"/>
      <c r="DI701" s="105"/>
      <c r="DJ701" s="105"/>
      <c r="DK701" s="105"/>
      <c r="DL701" s="105"/>
      <c r="DM701" s="105"/>
      <c r="DN701" s="105"/>
      <c r="DO701" s="105"/>
      <c r="DP701" s="105"/>
      <c r="DQ701" s="105"/>
      <c r="DR701" s="105"/>
      <c r="DS701" s="105"/>
      <c r="DT701" s="105"/>
      <c r="DU701" s="105"/>
      <c r="DV701" s="105"/>
      <c r="DW701" s="105"/>
      <c r="DX701" s="105"/>
      <c r="DY701" s="105"/>
      <c r="DZ701" s="105"/>
      <c r="EA701" s="105"/>
      <c r="EB701" s="105"/>
      <c r="EC701" s="105"/>
      <c r="ED701" s="105"/>
      <c r="EE701" s="105"/>
      <c r="EF701" s="105"/>
      <c r="EG701" s="105"/>
      <c r="EH701" s="105"/>
      <c r="EI701" s="105"/>
      <c r="EJ701" s="105"/>
      <c r="EK701" s="105"/>
      <c r="EL701" s="105"/>
      <c r="EM701" s="105"/>
      <c r="EN701" s="105"/>
      <c r="EO701" s="105"/>
      <c r="EP701" s="105"/>
      <c r="EQ701" s="105"/>
      <c r="ER701" s="105"/>
      <c r="ES701" s="105"/>
      <c r="ET701" s="105"/>
      <c r="EU701" s="105"/>
      <c r="EV701" s="105"/>
      <c r="EW701" s="105"/>
      <c r="EX701" s="105"/>
      <c r="EY701" s="105"/>
      <c r="EZ701" s="105"/>
      <c r="FA701" s="105"/>
      <c r="FB701" s="105"/>
      <c r="FC701" s="105"/>
      <c r="FD701" s="105"/>
      <c r="FE701" s="105"/>
      <c r="FF701" s="105"/>
      <c r="FG701" s="105"/>
      <c r="FH701" s="105"/>
      <c r="FI701" s="105"/>
      <c r="FJ701" s="105"/>
      <c r="FK701" s="105"/>
      <c r="FL701" s="105"/>
      <c r="FM701" s="105"/>
      <c r="FN701" s="105"/>
      <c r="FO701" s="105"/>
      <c r="FP701" s="105"/>
      <c r="FQ701" s="105"/>
      <c r="FR701" s="105"/>
      <c r="FS701" s="105"/>
      <c r="FT701" s="105"/>
      <c r="FU701" s="105"/>
      <c r="FV701" s="105"/>
      <c r="FW701" s="105"/>
      <c r="FX701" s="105"/>
      <c r="FY701" s="105"/>
      <c r="FZ701" s="105"/>
      <c r="GA701" s="105"/>
      <c r="GB701" s="105"/>
      <c r="GC701" s="105"/>
      <c r="GD701" s="105"/>
      <c r="GE701" s="105"/>
      <c r="GF701" s="105"/>
      <c r="GG701" s="105"/>
      <c r="GH701" s="105"/>
    </row>
    <row r="702" spans="30:190" ht="6.95" customHeight="1" x14ac:dyDescent="0.15">
      <c r="AD702" s="56"/>
      <c r="AE702" s="3"/>
      <c r="AF702" s="3"/>
      <c r="AG702" s="3"/>
      <c r="AH702" s="3"/>
      <c r="AI702" s="3"/>
      <c r="AJ702" s="3"/>
      <c r="AK702" s="4"/>
      <c r="AL702" s="4"/>
      <c r="AM702" s="84"/>
      <c r="AN702" s="84"/>
      <c r="AO702" s="200"/>
      <c r="AP702" s="200"/>
      <c r="AQ702" s="200"/>
      <c r="AR702" s="200"/>
      <c r="AS702" s="3"/>
      <c r="AT702" s="3"/>
      <c r="AU702" s="4"/>
      <c r="AV702" s="4"/>
      <c r="AW702" s="84"/>
      <c r="AX702" s="200"/>
      <c r="AY702" s="200"/>
      <c r="AZ702" s="200"/>
      <c r="BA702" s="200"/>
      <c r="BB702" s="3"/>
      <c r="BC702" s="3"/>
      <c r="BD702" s="4"/>
      <c r="BE702" s="4"/>
      <c r="BF702" s="84"/>
      <c r="BG702" s="84"/>
      <c r="BH702" s="107"/>
      <c r="BI702" s="107"/>
      <c r="BJ702" s="107"/>
      <c r="BK702" s="107"/>
      <c r="BL702" s="3"/>
      <c r="BM702" s="3"/>
      <c r="BN702" s="3"/>
      <c r="BO702" s="3"/>
      <c r="BP702" s="99"/>
      <c r="BQ702" s="93"/>
      <c r="BR702" s="56"/>
      <c r="BS702" s="3"/>
      <c r="BT702" s="3"/>
      <c r="BU702" s="3"/>
      <c r="BV702" s="3"/>
      <c r="BW702" s="3"/>
      <c r="BX702" s="3"/>
      <c r="BY702" s="4"/>
      <c r="BZ702" s="4"/>
      <c r="CA702" s="84"/>
      <c r="CB702" s="84"/>
      <c r="CC702" s="200" t="s">
        <v>29</v>
      </c>
      <c r="CD702" s="200"/>
      <c r="CE702" s="200"/>
      <c r="CF702" s="200"/>
      <c r="CG702" s="3"/>
      <c r="CH702" s="3"/>
      <c r="CI702" s="4"/>
      <c r="CJ702" s="4"/>
      <c r="CK702" s="84"/>
      <c r="CL702" s="84"/>
      <c r="CM702" s="3"/>
      <c r="CN702" s="3"/>
      <c r="CO702" s="3"/>
      <c r="CP702" s="3"/>
      <c r="CQ702" s="3"/>
      <c r="CR702" s="4"/>
      <c r="CS702" s="4"/>
      <c r="CT702" s="84"/>
      <c r="CU702" s="84"/>
      <c r="CV702" s="200" t="s">
        <v>29</v>
      </c>
      <c r="CW702" s="200"/>
      <c r="CX702" s="200"/>
      <c r="CY702" s="200"/>
      <c r="CZ702" s="3"/>
      <c r="DA702" s="3"/>
      <c r="DB702" s="3"/>
      <c r="DC702" s="3"/>
      <c r="DD702" s="99"/>
      <c r="DH702" s="105"/>
      <c r="DI702" s="105"/>
      <c r="DJ702" s="105"/>
      <c r="DK702" s="105"/>
      <c r="DL702" s="105"/>
      <c r="DM702" s="105"/>
      <c r="DN702" s="105"/>
      <c r="DO702" s="105"/>
      <c r="DP702" s="105"/>
      <c r="DQ702" s="105"/>
      <c r="DR702" s="105"/>
      <c r="DS702" s="105"/>
      <c r="DT702" s="105"/>
      <c r="DU702" s="105"/>
      <c r="DV702" s="105"/>
      <c r="DW702" s="105"/>
      <c r="DX702" s="105"/>
      <c r="DY702" s="105"/>
      <c r="DZ702" s="105"/>
      <c r="EA702" s="105"/>
      <c r="EB702" s="105"/>
      <c r="EC702" s="105"/>
      <c r="ED702" s="105"/>
      <c r="EE702" s="105"/>
      <c r="EF702" s="105"/>
      <c r="EG702" s="105"/>
      <c r="EH702" s="105"/>
      <c r="EI702" s="105"/>
      <c r="EJ702" s="105"/>
      <c r="EK702" s="105"/>
      <c r="EL702" s="105"/>
      <c r="EM702" s="105"/>
      <c r="EN702" s="105"/>
      <c r="EO702" s="105"/>
      <c r="EP702" s="105"/>
      <c r="EQ702" s="105"/>
      <c r="ER702" s="105"/>
      <c r="ES702" s="105"/>
      <c r="ET702" s="105"/>
      <c r="EU702" s="105"/>
      <c r="EV702" s="105"/>
      <c r="EW702" s="105"/>
      <c r="EX702" s="105"/>
      <c r="EY702" s="105"/>
      <c r="EZ702" s="105"/>
      <c r="FA702" s="105"/>
      <c r="FB702" s="105"/>
      <c r="FC702" s="105"/>
      <c r="FD702" s="105"/>
      <c r="FE702" s="105"/>
      <c r="FF702" s="105"/>
      <c r="FG702" s="105"/>
      <c r="FH702" s="105"/>
      <c r="FI702" s="105"/>
      <c r="FJ702" s="105"/>
      <c r="FK702" s="105"/>
      <c r="FL702" s="105"/>
      <c r="FM702" s="105"/>
      <c r="FN702" s="105"/>
      <c r="FO702" s="105"/>
      <c r="FP702" s="105"/>
      <c r="FQ702" s="105"/>
      <c r="FR702" s="105"/>
      <c r="FS702" s="105"/>
      <c r="FT702" s="105"/>
      <c r="FU702" s="105"/>
      <c r="FV702" s="105"/>
      <c r="FW702" s="105"/>
      <c r="FX702" s="105"/>
      <c r="FY702" s="105"/>
      <c r="FZ702" s="105"/>
      <c r="GA702" s="105"/>
      <c r="GB702" s="105"/>
      <c r="GC702" s="105"/>
      <c r="GD702" s="105"/>
      <c r="GE702" s="105"/>
      <c r="GF702" s="105"/>
      <c r="GG702" s="105"/>
      <c r="GH702" s="105"/>
    </row>
    <row r="703" spans="30:190" ht="6.95" customHeight="1" x14ac:dyDescent="0.15">
      <c r="AD703" s="56"/>
      <c r="AE703" s="3"/>
      <c r="AF703" s="3"/>
      <c r="AG703" s="3"/>
      <c r="AH703" s="3"/>
      <c r="AI703" s="3"/>
      <c r="AJ703" s="84"/>
      <c r="AK703" s="200"/>
      <c r="AL703" s="200"/>
      <c r="AM703" s="200"/>
      <c r="AN703" s="200"/>
      <c r="AO703" s="200"/>
      <c r="AP703" s="200"/>
      <c r="AQ703" s="200"/>
      <c r="AR703" s="200"/>
      <c r="AS703" s="84"/>
      <c r="AT703" s="84"/>
      <c r="AU703" s="84"/>
      <c r="AV703" s="84"/>
      <c r="AW703" s="84"/>
      <c r="AX703" s="200"/>
      <c r="AY703" s="200"/>
      <c r="AZ703" s="200"/>
      <c r="BA703" s="200"/>
      <c r="BB703" s="3"/>
      <c r="BC703" s="84"/>
      <c r="BD703" s="107"/>
      <c r="BE703" s="107"/>
      <c r="BF703" s="107"/>
      <c r="BG703" s="107"/>
      <c r="BH703" s="107"/>
      <c r="BI703" s="107"/>
      <c r="BJ703" s="107"/>
      <c r="BK703" s="107"/>
      <c r="BL703" s="84"/>
      <c r="BM703" s="84"/>
      <c r="BN703" s="3"/>
      <c r="BO703" s="84"/>
      <c r="BP703" s="99"/>
      <c r="BQ703" s="93"/>
      <c r="BR703" s="56"/>
      <c r="BS703" s="3"/>
      <c r="BT703" s="3"/>
      <c r="BU703" s="3"/>
      <c r="BV703" s="3"/>
      <c r="BW703" s="3"/>
      <c r="BX703" s="84"/>
      <c r="BY703" s="200">
        <f>IF(BT697="D13",CHOOSE(SUM((CC700&gt;={515,565,615,665,715,765})*1), 300, 250, 200, 150, 100, 100), CHOOSE(SUM((CC700&gt;={515,565,615,665,715,765})*1), 450, 400, 350, 300, 250, 200))</f>
        <v>250</v>
      </c>
      <c r="BZ703" s="200"/>
      <c r="CA703" s="200"/>
      <c r="CB703" s="200"/>
      <c r="CC703" s="200"/>
      <c r="CD703" s="200"/>
      <c r="CE703" s="200"/>
      <c r="CF703" s="200"/>
      <c r="CG703" s="84"/>
      <c r="CH703" s="84"/>
      <c r="CI703" s="84"/>
      <c r="CJ703" s="84"/>
      <c r="CK703" s="84"/>
      <c r="CL703" s="84"/>
      <c r="CM703" s="3"/>
      <c r="CN703" s="3"/>
      <c r="CO703" s="3"/>
      <c r="CP703" s="3"/>
      <c r="CQ703" s="84"/>
      <c r="CR703" s="200">
        <f>IF(CM697="D13",CHOOSE(SUM((CV700&gt;={415,465,515,565,615,665})*1), 400, 350, 300, 250, 200, 150), CHOOSE(SUM((CV700&gt;={415,465,515,565,615,665})*1), 550, 500, 450, 400, 350, 300))</f>
        <v>350</v>
      </c>
      <c r="CS703" s="200"/>
      <c r="CT703" s="200"/>
      <c r="CU703" s="200"/>
      <c r="CV703" s="200"/>
      <c r="CW703" s="200"/>
      <c r="CX703" s="200"/>
      <c r="CY703" s="200"/>
      <c r="CZ703" s="84"/>
      <c r="DA703" s="84"/>
      <c r="DB703" s="3"/>
      <c r="DC703" s="84"/>
      <c r="DD703" s="99"/>
      <c r="DH703" s="105"/>
      <c r="DI703" s="105"/>
      <c r="DJ703" s="105"/>
      <c r="DK703" s="105"/>
      <c r="DL703" s="105"/>
      <c r="DM703" s="105"/>
      <c r="DN703" s="105"/>
      <c r="DO703" s="105"/>
      <c r="DP703" s="105"/>
      <c r="DQ703" s="105"/>
      <c r="DR703" s="105"/>
      <c r="DS703" s="105"/>
      <c r="DT703" s="105"/>
      <c r="DU703" s="105"/>
      <c r="DV703" s="105"/>
      <c r="DW703" s="105"/>
      <c r="DX703" s="105"/>
      <c r="DY703" s="105"/>
      <c r="DZ703" s="105"/>
      <c r="EA703" s="105"/>
      <c r="EB703" s="105"/>
      <c r="EC703" s="105"/>
      <c r="ED703" s="105"/>
      <c r="EE703" s="105"/>
      <c r="EF703" s="105"/>
      <c r="EG703" s="105"/>
      <c r="EH703" s="105"/>
      <c r="EI703" s="105"/>
      <c r="EJ703" s="105"/>
      <c r="EK703" s="105"/>
      <c r="EL703" s="105"/>
      <c r="EM703" s="105"/>
      <c r="EN703" s="105"/>
      <c r="EO703" s="105"/>
      <c r="EP703" s="105"/>
      <c r="EQ703" s="105"/>
      <c r="ER703" s="105"/>
      <c r="ES703" s="105"/>
      <c r="ET703" s="105"/>
      <c r="EU703" s="105"/>
      <c r="EV703" s="105"/>
      <c r="EW703" s="105"/>
      <c r="EX703" s="105"/>
      <c r="EY703" s="105"/>
      <c r="EZ703" s="105"/>
      <c r="FA703" s="105"/>
      <c r="FB703" s="105"/>
      <c r="FC703" s="105"/>
      <c r="FD703" s="105"/>
      <c r="FE703" s="105"/>
      <c r="FF703" s="105"/>
      <c r="FG703" s="105"/>
      <c r="FH703" s="105"/>
      <c r="FI703" s="105"/>
      <c r="FJ703" s="105"/>
      <c r="FK703" s="105"/>
      <c r="FL703" s="105"/>
      <c r="FM703" s="105"/>
      <c r="FN703" s="105"/>
      <c r="FO703" s="105"/>
      <c r="FP703" s="105"/>
      <c r="FQ703" s="105"/>
      <c r="FR703" s="105"/>
      <c r="FS703" s="105"/>
      <c r="FT703" s="105"/>
      <c r="FU703" s="105"/>
      <c r="FV703" s="105"/>
      <c r="FW703" s="105"/>
      <c r="FX703" s="105"/>
      <c r="FY703" s="105"/>
      <c r="FZ703" s="105"/>
      <c r="GA703" s="105"/>
      <c r="GB703" s="105"/>
      <c r="GC703" s="105"/>
      <c r="GD703" s="105"/>
      <c r="GE703" s="105"/>
      <c r="GF703" s="105"/>
      <c r="GG703" s="105"/>
      <c r="GH703" s="105"/>
    </row>
    <row r="704" spans="30:190" ht="6.95" customHeight="1" x14ac:dyDescent="0.15">
      <c r="AD704" s="56"/>
      <c r="AE704" s="3"/>
      <c r="AF704" s="3"/>
      <c r="AG704" s="3"/>
      <c r="AH704" s="3"/>
      <c r="AI704" s="3"/>
      <c r="AJ704" s="84"/>
      <c r="AK704" s="200"/>
      <c r="AL704" s="200"/>
      <c r="AM704" s="200"/>
      <c r="AN704" s="200"/>
      <c r="AO704" s="196" t="s">
        <v>42</v>
      </c>
      <c r="AP704" s="196"/>
      <c r="AQ704" s="196"/>
      <c r="AR704" s="196">
        <v>4</v>
      </c>
      <c r="AS704" s="196"/>
      <c r="AT704" s="196" t="s">
        <v>43</v>
      </c>
      <c r="AU704" s="196"/>
      <c r="AV704" s="196"/>
      <c r="AW704" s="84"/>
      <c r="AX704" s="84"/>
      <c r="AY704" s="3"/>
      <c r="AZ704" s="3"/>
      <c r="BA704" s="3"/>
      <c r="BB704" s="3"/>
      <c r="BC704" s="84"/>
      <c r="BD704" s="107"/>
      <c r="BE704" s="107"/>
      <c r="BF704" s="107"/>
      <c r="BG704" s="107"/>
      <c r="BH704" s="196"/>
      <c r="BI704" s="196"/>
      <c r="BJ704" s="196"/>
      <c r="BK704" s="196"/>
      <c r="BL704" s="196"/>
      <c r="BM704" s="196"/>
      <c r="BN704" s="196"/>
      <c r="BO704" s="196"/>
      <c r="BP704" s="99"/>
      <c r="BQ704" s="93"/>
      <c r="BR704" s="56"/>
      <c r="BS704" s="3"/>
      <c r="BT704" s="3"/>
      <c r="BU704" s="3"/>
      <c r="BV704" s="3"/>
      <c r="BW704" s="3"/>
      <c r="BX704" s="84"/>
      <c r="BY704" s="200"/>
      <c r="BZ704" s="200"/>
      <c r="CA704" s="200"/>
      <c r="CB704" s="200"/>
      <c r="CC704" s="196" t="s">
        <v>42</v>
      </c>
      <c r="CD704" s="196"/>
      <c r="CE704" s="196"/>
      <c r="CF704" s="196">
        <v>3</v>
      </c>
      <c r="CG704" s="196"/>
      <c r="CH704" s="196" t="s">
        <v>43</v>
      </c>
      <c r="CI704" s="196"/>
      <c r="CJ704" s="196"/>
      <c r="CK704" s="84"/>
      <c r="CL704" s="84"/>
      <c r="CM704" s="3"/>
      <c r="CN704" s="3"/>
      <c r="CO704" s="3"/>
      <c r="CP704" s="3"/>
      <c r="CQ704" s="84"/>
      <c r="CR704" s="200"/>
      <c r="CS704" s="200"/>
      <c r="CT704" s="200"/>
      <c r="CU704" s="200"/>
      <c r="CV704" s="196" t="s">
        <v>42</v>
      </c>
      <c r="CW704" s="196"/>
      <c r="CX704" s="196"/>
      <c r="CY704" s="196">
        <v>2</v>
      </c>
      <c r="CZ704" s="196"/>
      <c r="DA704" s="196" t="s">
        <v>43</v>
      </c>
      <c r="DB704" s="196"/>
      <c r="DC704" s="196"/>
      <c r="DD704" s="99"/>
      <c r="DH704" s="105"/>
      <c r="DI704" s="105"/>
      <c r="DJ704" s="105"/>
      <c r="DK704" s="105"/>
      <c r="DL704" s="105"/>
      <c r="DM704" s="105"/>
      <c r="DN704" s="105"/>
      <c r="DO704" s="105"/>
      <c r="DP704" s="105"/>
      <c r="DQ704" s="105"/>
      <c r="DR704" s="105"/>
      <c r="DS704" s="105"/>
      <c r="DT704" s="105"/>
      <c r="DU704" s="105"/>
      <c r="DV704" s="105"/>
      <c r="DW704" s="105"/>
      <c r="DX704" s="105"/>
      <c r="DY704" s="105"/>
      <c r="DZ704" s="105"/>
      <c r="EA704" s="105"/>
      <c r="EB704" s="105"/>
      <c r="EC704" s="105"/>
      <c r="ED704" s="105"/>
      <c r="EE704" s="105"/>
      <c r="EF704" s="105"/>
      <c r="EG704" s="105"/>
      <c r="EH704" s="105"/>
      <c r="EI704" s="105"/>
      <c r="EJ704" s="105"/>
      <c r="EK704" s="105"/>
      <c r="EL704" s="105"/>
      <c r="EM704" s="105"/>
      <c r="EN704" s="105"/>
      <c r="EO704" s="105"/>
      <c r="EP704" s="105"/>
      <c r="EQ704" s="105"/>
      <c r="ER704" s="105"/>
      <c r="ES704" s="105"/>
      <c r="ET704" s="105"/>
      <c r="EU704" s="105"/>
      <c r="EV704" s="105"/>
      <c r="EW704" s="105"/>
      <c r="EX704" s="105"/>
      <c r="EY704" s="105"/>
      <c r="EZ704" s="105"/>
      <c r="FA704" s="105"/>
      <c r="FB704" s="105"/>
      <c r="FC704" s="105"/>
      <c r="FD704" s="105"/>
      <c r="FE704" s="105"/>
      <c r="FF704" s="105"/>
      <c r="FG704" s="105"/>
      <c r="FH704" s="105"/>
      <c r="FI704" s="105"/>
      <c r="FJ704" s="105"/>
      <c r="FK704" s="105"/>
      <c r="FL704" s="105"/>
      <c r="FM704" s="105"/>
      <c r="FN704" s="105"/>
      <c r="FO704" s="105"/>
      <c r="FP704" s="105"/>
      <c r="FQ704" s="105"/>
      <c r="FR704" s="105"/>
      <c r="FS704" s="105"/>
      <c r="FT704" s="105"/>
      <c r="FU704" s="105"/>
      <c r="FV704" s="105"/>
      <c r="FW704" s="105"/>
      <c r="FX704" s="105"/>
      <c r="FY704" s="105"/>
      <c r="FZ704" s="105"/>
      <c r="GA704" s="105"/>
      <c r="GB704" s="105"/>
      <c r="GC704" s="105"/>
      <c r="GD704" s="105"/>
      <c r="GE704" s="105"/>
      <c r="GF704" s="105"/>
      <c r="GG704" s="105"/>
      <c r="GH704" s="105"/>
    </row>
    <row r="705" spans="30:190" ht="6.95" customHeight="1" x14ac:dyDescent="0.15">
      <c r="AD705" s="52"/>
      <c r="AE705" s="189"/>
      <c r="AF705" s="189"/>
      <c r="AG705" s="189"/>
      <c r="AH705" s="189"/>
      <c r="AI705" s="189"/>
      <c r="AJ705" s="189"/>
      <c r="AK705" s="189"/>
      <c r="AL705" s="88"/>
      <c r="AM705" s="88"/>
      <c r="AN705" s="88"/>
      <c r="AO705" s="196"/>
      <c r="AP705" s="196"/>
      <c r="AQ705" s="196"/>
      <c r="AR705" s="196"/>
      <c r="AS705" s="196"/>
      <c r="AT705" s="196"/>
      <c r="AU705" s="196"/>
      <c r="AV705" s="196"/>
      <c r="AW705" s="88"/>
      <c r="AX705" s="88"/>
      <c r="AY705" s="189"/>
      <c r="AZ705" s="189"/>
      <c r="BA705" s="189"/>
      <c r="BB705" s="189"/>
      <c r="BC705" s="189"/>
      <c r="BD705" s="189"/>
      <c r="BE705" s="88"/>
      <c r="BF705" s="88"/>
      <c r="BG705" s="88"/>
      <c r="BH705" s="196"/>
      <c r="BI705" s="196"/>
      <c r="BJ705" s="196"/>
      <c r="BK705" s="196"/>
      <c r="BL705" s="196"/>
      <c r="BM705" s="196"/>
      <c r="BN705" s="196"/>
      <c r="BO705" s="196"/>
      <c r="BP705" s="99"/>
      <c r="BQ705" s="93"/>
      <c r="BR705" s="52"/>
      <c r="BS705" s="2"/>
      <c r="BT705" s="2"/>
      <c r="BU705" s="2"/>
      <c r="BV705" s="2"/>
      <c r="BW705" s="2"/>
      <c r="BX705" s="2"/>
      <c r="BY705" s="2"/>
      <c r="BZ705" s="88"/>
      <c r="CA705" s="88"/>
      <c r="CB705" s="88"/>
      <c r="CC705" s="196"/>
      <c r="CD705" s="196"/>
      <c r="CE705" s="196"/>
      <c r="CF705" s="196"/>
      <c r="CG705" s="196"/>
      <c r="CH705" s="196"/>
      <c r="CI705" s="196"/>
      <c r="CJ705" s="196"/>
      <c r="CK705" s="88"/>
      <c r="CL705" s="88"/>
      <c r="CM705" s="2"/>
      <c r="CN705" s="2"/>
      <c r="CO705" s="2"/>
      <c r="CP705" s="2"/>
      <c r="CQ705" s="2"/>
      <c r="CR705" s="2"/>
      <c r="CS705" s="88"/>
      <c r="CT705" s="88"/>
      <c r="CU705" s="88"/>
      <c r="CV705" s="196"/>
      <c r="CW705" s="196"/>
      <c r="CX705" s="196"/>
      <c r="CY705" s="196"/>
      <c r="CZ705" s="196"/>
      <c r="DA705" s="196"/>
      <c r="DB705" s="196"/>
      <c r="DC705" s="196"/>
      <c r="DD705" s="99"/>
      <c r="DH705" s="105"/>
      <c r="DI705" s="105"/>
      <c r="DJ705" s="105"/>
      <c r="DK705" s="105"/>
      <c r="DL705" s="105"/>
      <c r="DM705" s="105"/>
      <c r="DN705" s="105"/>
      <c r="DO705" s="105"/>
      <c r="DP705" s="105"/>
      <c r="DQ705" s="105"/>
      <c r="DR705" s="105"/>
      <c r="DS705" s="105"/>
      <c r="DT705" s="105"/>
      <c r="DU705" s="105"/>
      <c r="DV705" s="105"/>
      <c r="DW705" s="105"/>
      <c r="DX705" s="105"/>
      <c r="DY705" s="105"/>
      <c r="DZ705" s="105"/>
      <c r="EA705" s="105"/>
      <c r="EB705" s="105"/>
      <c r="EC705" s="105"/>
      <c r="ED705" s="105"/>
      <c r="EE705" s="105"/>
      <c r="EF705" s="105"/>
      <c r="EG705" s="105"/>
      <c r="EH705" s="105"/>
      <c r="EI705" s="105"/>
      <c r="EJ705" s="105"/>
      <c r="EK705" s="105"/>
      <c r="EL705" s="105"/>
      <c r="EM705" s="105"/>
      <c r="EN705" s="105"/>
      <c r="EO705" s="105"/>
      <c r="EP705" s="105"/>
      <c r="EQ705" s="105"/>
      <c r="ER705" s="105"/>
      <c r="ES705" s="105"/>
      <c r="ET705" s="105"/>
      <c r="EU705" s="105"/>
      <c r="EV705" s="105"/>
      <c r="EW705" s="105"/>
      <c r="EX705" s="105"/>
      <c r="EY705" s="105"/>
      <c r="EZ705" s="105"/>
      <c r="FA705" s="105"/>
      <c r="FB705" s="105"/>
      <c r="FC705" s="105"/>
      <c r="FD705" s="105"/>
      <c r="FE705" s="105"/>
      <c r="FF705" s="105"/>
      <c r="FG705" s="105"/>
      <c r="FH705" s="105"/>
      <c r="FI705" s="105"/>
      <c r="FJ705" s="105"/>
      <c r="FK705" s="105"/>
      <c r="FL705" s="105"/>
      <c r="FM705" s="105"/>
      <c r="FN705" s="105"/>
      <c r="FO705" s="105"/>
      <c r="FP705" s="105"/>
      <c r="FQ705" s="105"/>
      <c r="FR705" s="105"/>
      <c r="FS705" s="105"/>
      <c r="FT705" s="105"/>
      <c r="FU705" s="105"/>
      <c r="FV705" s="105"/>
      <c r="FW705" s="105"/>
      <c r="FX705" s="105"/>
      <c r="FY705" s="105"/>
      <c r="FZ705" s="105"/>
      <c r="GA705" s="105"/>
      <c r="GB705" s="105"/>
      <c r="GC705" s="105"/>
      <c r="GD705" s="105"/>
      <c r="GE705" s="105"/>
      <c r="GF705" s="105"/>
      <c r="GG705" s="105"/>
      <c r="GH705" s="105"/>
    </row>
    <row r="706" spans="30:190" ht="6.95" customHeight="1" x14ac:dyDescent="0.15">
      <c r="AD706" s="83"/>
      <c r="AE706" s="82"/>
      <c r="AF706" s="197" t="s">
        <v>28</v>
      </c>
      <c r="AG706" s="197"/>
      <c r="AH706" s="197"/>
      <c r="AI706" s="197"/>
      <c r="AJ706" s="82"/>
      <c r="AK706" s="82"/>
      <c r="AL706" s="82"/>
      <c r="AM706" s="189"/>
      <c r="AN706" s="189"/>
      <c r="AO706" s="189"/>
      <c r="AP706" s="189"/>
      <c r="AQ706" s="189"/>
      <c r="AR706" s="189"/>
      <c r="AS706" s="189"/>
      <c r="AT706" s="189"/>
      <c r="AU706" s="3"/>
      <c r="AV706" s="82"/>
      <c r="AW706" s="88"/>
      <c r="AX706" s="88"/>
      <c r="AY706" s="197" t="s">
        <v>27</v>
      </c>
      <c r="AZ706" s="197"/>
      <c r="BA706" s="197"/>
      <c r="BB706" s="197"/>
      <c r="BC706" s="82"/>
      <c r="BD706" s="82"/>
      <c r="BE706" s="3"/>
      <c r="BF706" s="3"/>
      <c r="BG706" s="3"/>
      <c r="BH706" s="3"/>
      <c r="BI706" s="198"/>
      <c r="BJ706" s="198"/>
      <c r="BK706" s="198"/>
      <c r="BL706" s="198"/>
      <c r="BM706" s="1"/>
      <c r="BN706" s="1"/>
      <c r="BO706" s="1"/>
      <c r="BP706" s="99"/>
      <c r="BQ706" s="93"/>
      <c r="BR706" s="83"/>
      <c r="BS706" s="82"/>
      <c r="BT706" s="197" t="s">
        <v>30</v>
      </c>
      <c r="BU706" s="197"/>
      <c r="BV706" s="197"/>
      <c r="BW706" s="197"/>
      <c r="BX706" s="82"/>
      <c r="BY706" s="82"/>
      <c r="BZ706" s="82"/>
      <c r="CA706" s="82"/>
      <c r="CB706" s="82"/>
      <c r="CC706" s="2"/>
      <c r="CD706" s="2"/>
      <c r="CE706" s="82"/>
      <c r="CF706" s="82"/>
      <c r="CG706" s="82"/>
      <c r="CH706" s="82"/>
      <c r="CI706" s="82"/>
      <c r="CJ706" s="82"/>
      <c r="CK706" s="82"/>
      <c r="CL706" s="82"/>
      <c r="CM706" s="197"/>
      <c r="CN706" s="197"/>
      <c r="CO706" s="197"/>
      <c r="CP706" s="197"/>
      <c r="CQ706" s="82"/>
      <c r="CR706" s="82"/>
      <c r="CS706" s="82"/>
      <c r="CT706" s="82"/>
      <c r="CU706" s="82"/>
      <c r="CV706" s="2"/>
      <c r="CW706" s="2"/>
      <c r="CX706" s="82"/>
      <c r="CY706" s="82"/>
      <c r="CZ706" s="82"/>
      <c r="DA706" s="82"/>
      <c r="DB706" s="82"/>
      <c r="DC706" s="82"/>
      <c r="DD706" s="99"/>
      <c r="DH706" s="105"/>
      <c r="DI706" s="105"/>
      <c r="DJ706" s="105"/>
      <c r="DK706" s="105"/>
      <c r="DL706" s="105"/>
      <c r="DM706" s="105"/>
      <c r="DN706" s="105"/>
      <c r="DO706" s="105"/>
      <c r="DP706" s="105"/>
      <c r="DQ706" s="105"/>
      <c r="DR706" s="105"/>
      <c r="DS706" s="105"/>
      <c r="DT706" s="105"/>
      <c r="DU706" s="105"/>
      <c r="DV706" s="105"/>
      <c r="DW706" s="105"/>
      <c r="DX706" s="105"/>
      <c r="DY706" s="105"/>
      <c r="DZ706" s="105"/>
      <c r="EA706" s="105"/>
      <c r="EB706" s="105"/>
      <c r="EC706" s="105"/>
      <c r="ED706" s="105"/>
      <c r="EE706" s="105"/>
      <c r="EF706" s="105"/>
      <c r="EG706" s="105"/>
      <c r="EH706" s="105"/>
      <c r="EI706" s="105"/>
      <c r="EJ706" s="105"/>
      <c r="EK706" s="105"/>
      <c r="EL706" s="105"/>
      <c r="EM706" s="105"/>
      <c r="EN706" s="105"/>
      <c r="EO706" s="105"/>
      <c r="EP706" s="105"/>
      <c r="EQ706" s="105"/>
      <c r="ER706" s="105"/>
      <c r="ES706" s="105"/>
      <c r="ET706" s="105"/>
      <c r="EU706" s="105"/>
      <c r="EV706" s="105"/>
      <c r="EW706" s="105"/>
      <c r="EX706" s="105"/>
      <c r="EY706" s="105"/>
      <c r="EZ706" s="105"/>
      <c r="FA706" s="105"/>
      <c r="FB706" s="105"/>
      <c r="FC706" s="105"/>
      <c r="FD706" s="105"/>
      <c r="FE706" s="105"/>
      <c r="FF706" s="105"/>
      <c r="FG706" s="105"/>
      <c r="FH706" s="105"/>
      <c r="FI706" s="105"/>
      <c r="FJ706" s="105"/>
      <c r="FK706" s="105"/>
      <c r="FL706" s="105"/>
      <c r="FM706" s="105"/>
      <c r="FN706" s="105"/>
      <c r="FO706" s="105"/>
      <c r="FP706" s="105"/>
      <c r="FQ706" s="105"/>
      <c r="FR706" s="105"/>
      <c r="FS706" s="105"/>
      <c r="FT706" s="105"/>
      <c r="FU706" s="105"/>
      <c r="FV706" s="105"/>
      <c r="FW706" s="105"/>
      <c r="FX706" s="105"/>
      <c r="FY706" s="105"/>
      <c r="FZ706" s="105"/>
      <c r="GA706" s="105"/>
      <c r="GB706" s="105"/>
      <c r="GC706" s="105"/>
      <c r="GD706" s="105"/>
      <c r="GE706" s="105"/>
      <c r="GF706" s="105"/>
      <c r="GG706" s="105"/>
      <c r="GH706" s="105"/>
    </row>
    <row r="707" spans="30:190" ht="6.95" customHeight="1" x14ac:dyDescent="0.15">
      <c r="AD707" s="56"/>
      <c r="AE707" s="3"/>
      <c r="AF707" s="197"/>
      <c r="AG707" s="197"/>
      <c r="AH707" s="197"/>
      <c r="AI707" s="197"/>
      <c r="AJ707" s="82"/>
      <c r="AK707" s="82"/>
      <c r="AL707" s="82"/>
      <c r="AM707" s="189"/>
      <c r="AN707" s="189"/>
      <c r="AO707" s="189"/>
      <c r="AP707" s="189"/>
      <c r="AQ707" s="189"/>
      <c r="AR707" s="189"/>
      <c r="AS707" s="189"/>
      <c r="AT707" s="189"/>
      <c r="AU707" s="3"/>
      <c r="AV707" s="82"/>
      <c r="AW707" s="82"/>
      <c r="AX707" s="3"/>
      <c r="AY707" s="197"/>
      <c r="AZ707" s="197"/>
      <c r="BA707" s="197"/>
      <c r="BB707" s="197"/>
      <c r="BC707" s="82"/>
      <c r="BD707" s="82"/>
      <c r="BE707" s="3"/>
      <c r="BF707" s="3"/>
      <c r="BG707" s="3"/>
      <c r="BH707" s="3"/>
      <c r="BI707" s="198"/>
      <c r="BJ707" s="198"/>
      <c r="BK707" s="198"/>
      <c r="BL707" s="198"/>
      <c r="BM707" s="1"/>
      <c r="BN707" s="1"/>
      <c r="BO707" s="1"/>
      <c r="BP707" s="99"/>
      <c r="BQ707" s="93"/>
      <c r="BR707" s="56"/>
      <c r="BS707" s="82"/>
      <c r="BT707" s="197"/>
      <c r="BU707" s="197"/>
      <c r="BV707" s="197"/>
      <c r="BW707" s="197"/>
      <c r="BX707" s="82"/>
      <c r="BY707" s="106"/>
      <c r="BZ707" s="106"/>
      <c r="CA707" s="106"/>
      <c r="CB707" s="106"/>
      <c r="CC707" s="2"/>
      <c r="CD707" s="2"/>
      <c r="CE707" s="82"/>
      <c r="CF707" s="82"/>
      <c r="CG707" s="82"/>
      <c r="CH707" s="82"/>
      <c r="CI707" s="82"/>
      <c r="CJ707" s="82"/>
      <c r="CK707" s="82"/>
      <c r="CL707" s="82"/>
      <c r="CM707" s="197"/>
      <c r="CN707" s="197"/>
      <c r="CO707" s="197"/>
      <c r="CP707" s="197"/>
      <c r="CQ707" s="82"/>
      <c r="CR707" s="106"/>
      <c r="CS707" s="106"/>
      <c r="CT707" s="106"/>
      <c r="CU707" s="106"/>
      <c r="CV707" s="2"/>
      <c r="CW707" s="2"/>
      <c r="CX707" s="82"/>
      <c r="CY707" s="82"/>
      <c r="CZ707" s="82"/>
      <c r="DA707" s="82"/>
      <c r="DB707" s="82"/>
      <c r="DC707" s="82"/>
      <c r="DD707" s="99"/>
      <c r="DH707" s="105"/>
      <c r="DI707" s="105"/>
      <c r="DJ707" s="105"/>
      <c r="DK707" s="105"/>
      <c r="DL707" s="105"/>
      <c r="DM707" s="105"/>
      <c r="DN707" s="105"/>
      <c r="DO707" s="105"/>
      <c r="DP707" s="105"/>
      <c r="DQ707" s="105"/>
      <c r="DR707" s="105"/>
      <c r="DS707" s="105"/>
      <c r="DT707" s="105"/>
      <c r="DU707" s="105"/>
      <c r="DV707" s="105"/>
      <c r="DW707" s="105"/>
      <c r="DX707" s="105"/>
      <c r="DY707" s="105"/>
      <c r="DZ707" s="105"/>
      <c r="EA707" s="105"/>
      <c r="EB707" s="105"/>
      <c r="EC707" s="105"/>
      <c r="ED707" s="105"/>
      <c r="EE707" s="105"/>
      <c r="EF707" s="105"/>
      <c r="EG707" s="105"/>
      <c r="EH707" s="105"/>
      <c r="EI707" s="105"/>
      <c r="EJ707" s="105"/>
      <c r="EK707" s="105"/>
      <c r="EL707" s="105"/>
      <c r="EM707" s="105"/>
      <c r="EN707" s="105"/>
      <c r="EO707" s="105"/>
      <c r="EP707" s="105"/>
      <c r="EQ707" s="105"/>
      <c r="ER707" s="105"/>
      <c r="ES707" s="105"/>
      <c r="ET707" s="105"/>
      <c r="EU707" s="105"/>
      <c r="EV707" s="105"/>
      <c r="EW707" s="105"/>
      <c r="EX707" s="105"/>
      <c r="EY707" s="105"/>
      <c r="EZ707" s="105"/>
      <c r="FA707" s="105"/>
      <c r="FB707" s="105"/>
      <c r="FC707" s="105"/>
      <c r="FD707" s="105"/>
      <c r="FE707" s="105"/>
      <c r="FF707" s="105"/>
      <c r="FG707" s="105"/>
      <c r="FH707" s="105"/>
      <c r="FI707" s="105"/>
      <c r="FJ707" s="105"/>
      <c r="FK707" s="105"/>
      <c r="FL707" s="105"/>
      <c r="FM707" s="105"/>
      <c r="FN707" s="105"/>
      <c r="FO707" s="105"/>
      <c r="FP707" s="105"/>
      <c r="FQ707" s="105"/>
      <c r="FR707" s="105"/>
      <c r="FS707" s="105"/>
      <c r="FT707" s="105"/>
      <c r="FU707" s="105"/>
      <c r="FV707" s="105"/>
      <c r="FW707" s="105"/>
      <c r="FX707" s="105"/>
      <c r="FY707" s="105"/>
      <c r="FZ707" s="105"/>
      <c r="GA707" s="105"/>
      <c r="GB707" s="105"/>
      <c r="GC707" s="105"/>
      <c r="GD707" s="105"/>
      <c r="GE707" s="105"/>
      <c r="GF707" s="105"/>
      <c r="GG707" s="105"/>
      <c r="GH707" s="105"/>
    </row>
    <row r="708" spans="30:190" ht="6.95" customHeight="1" x14ac:dyDescent="0.15">
      <c r="AD708" s="56"/>
      <c r="AE708" s="3"/>
      <c r="AF708" s="3"/>
      <c r="AG708" s="3"/>
      <c r="AH708" s="3"/>
      <c r="AI708" s="189"/>
      <c r="AJ708" s="189"/>
      <c r="AK708" s="189"/>
      <c r="AL708" s="189"/>
      <c r="AM708" s="189"/>
      <c r="AN708" s="82"/>
      <c r="AO708" s="82"/>
      <c r="AP708" s="82"/>
      <c r="AQ708" s="82"/>
      <c r="AR708" s="82"/>
      <c r="AS708" s="82"/>
      <c r="AT708" s="189"/>
      <c r="AU708" s="3"/>
      <c r="AV708" s="82"/>
      <c r="AW708" s="82"/>
      <c r="AX708" s="3"/>
      <c r="AY708" s="3"/>
      <c r="AZ708" s="189"/>
      <c r="BA708" s="3"/>
      <c r="BB708" s="82"/>
      <c r="BC708" s="82"/>
      <c r="BD708" s="3"/>
      <c r="BE708" s="3"/>
      <c r="BF708" s="3"/>
      <c r="BG708" s="3"/>
      <c r="BH708" s="3"/>
      <c r="BI708" s="3"/>
      <c r="BJ708" s="3"/>
      <c r="BK708" s="3"/>
      <c r="BL708" s="3"/>
      <c r="BM708" s="1"/>
      <c r="BN708" s="1"/>
      <c r="BO708" s="1"/>
      <c r="BP708" s="99"/>
      <c r="BQ708" s="93"/>
      <c r="BR708" s="56"/>
      <c r="BS708" s="82"/>
      <c r="BT708" s="85"/>
      <c r="BU708" s="85"/>
      <c r="BV708" s="85"/>
      <c r="BW708" s="85"/>
      <c r="BX708" s="85"/>
      <c r="BY708" s="106"/>
      <c r="BZ708" s="106"/>
      <c r="CA708" s="106"/>
      <c r="CB708" s="106"/>
      <c r="CC708" s="85"/>
      <c r="CD708" s="85"/>
      <c r="CE708" s="85"/>
      <c r="CF708" s="85"/>
      <c r="CG708" s="85"/>
      <c r="CH708" s="85"/>
      <c r="CI708" s="85"/>
      <c r="CJ708" s="85"/>
      <c r="CK708" s="82"/>
      <c r="CL708" s="82"/>
      <c r="CM708" s="85"/>
      <c r="CN708" s="85"/>
      <c r="CO708" s="85"/>
      <c r="CP708" s="85"/>
      <c r="CQ708" s="85"/>
      <c r="CR708" s="106"/>
      <c r="CS708" s="106"/>
      <c r="CT708" s="106"/>
      <c r="CU708" s="106"/>
      <c r="CV708" s="85"/>
      <c r="CW708" s="85"/>
      <c r="CX708" s="85"/>
      <c r="CY708" s="85"/>
      <c r="CZ708" s="85"/>
      <c r="DA708" s="85"/>
      <c r="DB708" s="85"/>
      <c r="DC708" s="85"/>
      <c r="DD708" s="99"/>
      <c r="DH708" s="105"/>
      <c r="DI708" s="105"/>
      <c r="DJ708" s="105"/>
      <c r="DK708" s="105"/>
      <c r="DL708" s="105"/>
      <c r="DM708" s="105"/>
      <c r="DN708" s="105"/>
      <c r="DO708" s="105"/>
      <c r="DP708" s="105"/>
      <c r="DQ708" s="105"/>
      <c r="DR708" s="105"/>
      <c r="DS708" s="105"/>
      <c r="DT708" s="105"/>
      <c r="DU708" s="105"/>
      <c r="DV708" s="105"/>
      <c r="DW708" s="105"/>
      <c r="DX708" s="105"/>
      <c r="DY708" s="105"/>
      <c r="DZ708" s="105"/>
      <c r="EA708" s="105"/>
      <c r="EB708" s="105"/>
      <c r="EC708" s="105"/>
      <c r="ED708" s="105"/>
      <c r="EE708" s="105"/>
      <c r="EF708" s="105"/>
      <c r="EG708" s="105"/>
      <c r="EH708" s="105"/>
      <c r="EI708" s="105"/>
      <c r="EJ708" s="105"/>
      <c r="EK708" s="105"/>
      <c r="EL708" s="105"/>
      <c r="EM708" s="105"/>
      <c r="EN708" s="105"/>
      <c r="EO708" s="105"/>
      <c r="EP708" s="105"/>
      <c r="EQ708" s="105"/>
      <c r="ER708" s="105"/>
      <c r="ES708" s="105"/>
      <c r="ET708" s="105"/>
      <c r="EU708" s="105"/>
      <c r="EV708" s="105"/>
      <c r="EW708" s="105"/>
      <c r="EX708" s="105"/>
      <c r="EY708" s="105"/>
      <c r="EZ708" s="105"/>
      <c r="FA708" s="105"/>
      <c r="FB708" s="105"/>
      <c r="FC708" s="105"/>
      <c r="FD708" s="105"/>
      <c r="FE708" s="105"/>
      <c r="FF708" s="105"/>
      <c r="FG708" s="105"/>
      <c r="FH708" s="105"/>
      <c r="FI708" s="105"/>
      <c r="FJ708" s="105"/>
      <c r="FK708" s="105"/>
      <c r="FL708" s="105"/>
      <c r="FM708" s="105"/>
      <c r="FN708" s="105"/>
      <c r="FO708" s="105"/>
      <c r="FP708" s="105"/>
      <c r="FQ708" s="105"/>
      <c r="FR708" s="105"/>
      <c r="FS708" s="105"/>
      <c r="FT708" s="105"/>
      <c r="FU708" s="105"/>
      <c r="FV708" s="105"/>
      <c r="FW708" s="105"/>
      <c r="FX708" s="105"/>
      <c r="FY708" s="105"/>
      <c r="FZ708" s="105"/>
      <c r="GA708" s="105"/>
      <c r="GB708" s="105"/>
      <c r="GC708" s="105"/>
      <c r="GD708" s="105"/>
      <c r="GE708" s="105"/>
      <c r="GF708" s="105"/>
      <c r="GG708" s="105"/>
      <c r="GH708" s="105"/>
    </row>
    <row r="709" spans="30:190" ht="6.95" customHeight="1" x14ac:dyDescent="0.15">
      <c r="AD709" s="56"/>
      <c r="AE709" s="3"/>
      <c r="AF709" s="199">
        <f>CHOOSE(SUM((AD685&gt;={700,750,800,850,900,950})*1), 500,550,600,650,750,800)</f>
        <v>550</v>
      </c>
      <c r="AG709" s="199"/>
      <c r="AH709" s="199"/>
      <c r="AI709" s="199"/>
      <c r="AJ709" s="4"/>
      <c r="AK709" s="4"/>
      <c r="AL709" s="4"/>
      <c r="AM709" s="4"/>
      <c r="AN709" s="82"/>
      <c r="AO709" s="82"/>
      <c r="AP709" s="82"/>
      <c r="AQ709" s="82"/>
      <c r="AR709" s="82"/>
      <c r="AS709" s="82"/>
      <c r="AT709" s="4"/>
      <c r="AU709" s="3"/>
      <c r="AV709" s="3"/>
      <c r="AW709" s="82"/>
      <c r="AX709" s="3"/>
      <c r="AY709" s="3"/>
      <c r="AZ709" s="4"/>
      <c r="BA709" s="3"/>
      <c r="BB709" s="3"/>
      <c r="BC709" s="3"/>
      <c r="BD709" s="3"/>
      <c r="BE709" s="3"/>
      <c r="BF709" s="3"/>
      <c r="BG709" s="3"/>
      <c r="BH709" s="197">
        <f>CHOOSE(SUM(($AD$138&gt;={700,750})*1), 700,800)</f>
        <v>800</v>
      </c>
      <c r="BI709" s="197"/>
      <c r="BJ709" s="197"/>
      <c r="BK709" s="197"/>
      <c r="BL709" s="3"/>
      <c r="BM709" s="1"/>
      <c r="BN709" s="1"/>
      <c r="BO709" s="1"/>
      <c r="BP709" s="99"/>
      <c r="BQ709" s="93"/>
      <c r="BR709" s="56"/>
      <c r="BS709" s="215">
        <f>CHOOSE(SUM((BR685&gt;={700,750,800,850,900,950})*1), 515,565,615,665,715,765)</f>
        <v>565</v>
      </c>
      <c r="BT709" s="215"/>
      <c r="BU709" s="215"/>
      <c r="BV709" s="215"/>
      <c r="BW709" s="3"/>
      <c r="BX709" s="3"/>
      <c r="BY709" s="2"/>
      <c r="BZ709" s="2"/>
      <c r="CA709" s="85"/>
      <c r="CB709" s="85"/>
      <c r="CC709" s="118"/>
      <c r="CD709" s="118"/>
      <c r="CE709" s="118"/>
      <c r="CF709" s="118"/>
      <c r="CG709" s="3"/>
      <c r="CH709" s="3"/>
      <c r="CI709" s="3"/>
      <c r="CJ709" s="3"/>
      <c r="CK709" s="85"/>
      <c r="CL709" s="215"/>
      <c r="CM709" s="215"/>
      <c r="CN709" s="215"/>
      <c r="CO709" s="215"/>
      <c r="CP709" s="3"/>
      <c r="CQ709" s="3"/>
      <c r="CR709" s="2"/>
      <c r="CS709" s="2"/>
      <c r="CT709" s="85"/>
      <c r="CU709" s="85"/>
      <c r="CV709" s="118"/>
      <c r="CW709" s="118"/>
      <c r="CX709" s="118"/>
      <c r="CY709" s="118"/>
      <c r="CZ709" s="3"/>
      <c r="DA709" s="3"/>
      <c r="DB709" s="3"/>
      <c r="DC709" s="3"/>
      <c r="DD709" s="99"/>
      <c r="DH709" s="105"/>
      <c r="DI709" s="105"/>
      <c r="DJ709" s="105"/>
      <c r="DK709" s="105"/>
      <c r="DL709" s="105"/>
      <c r="DM709" s="105"/>
      <c r="DN709" s="105"/>
      <c r="DO709" s="105"/>
      <c r="DP709" s="105"/>
      <c r="DQ709" s="105"/>
      <c r="DR709" s="105"/>
      <c r="DS709" s="105"/>
      <c r="DT709" s="105"/>
      <c r="DU709" s="105"/>
      <c r="DV709" s="105"/>
      <c r="DW709" s="105"/>
      <c r="DX709" s="105"/>
      <c r="DY709" s="105"/>
      <c r="DZ709" s="105"/>
      <c r="EA709" s="105"/>
      <c r="EB709" s="105"/>
      <c r="EC709" s="105"/>
      <c r="ED709" s="105"/>
      <c r="EE709" s="105"/>
      <c r="EF709" s="105"/>
      <c r="EG709" s="105"/>
      <c r="EH709" s="105"/>
      <c r="EI709" s="105"/>
      <c r="EJ709" s="105"/>
      <c r="EK709" s="105"/>
      <c r="EL709" s="105"/>
      <c r="EM709" s="105"/>
      <c r="EN709" s="105"/>
      <c r="EO709" s="105"/>
      <c r="EP709" s="105"/>
      <c r="EQ709" s="105"/>
      <c r="ER709" s="105"/>
      <c r="ES709" s="105"/>
      <c r="ET709" s="105"/>
      <c r="EU709" s="105"/>
      <c r="EV709" s="105"/>
      <c r="EW709" s="105"/>
      <c r="EX709" s="105"/>
      <c r="EY709" s="105"/>
      <c r="EZ709" s="105"/>
      <c r="FA709" s="105"/>
      <c r="FB709" s="105"/>
      <c r="FC709" s="105"/>
      <c r="FD709" s="105"/>
      <c r="FE709" s="105"/>
      <c r="FF709" s="105"/>
      <c r="FG709" s="105"/>
      <c r="FH709" s="105"/>
      <c r="FI709" s="105"/>
      <c r="FJ709" s="105"/>
      <c r="FK709" s="105"/>
      <c r="FL709" s="105"/>
      <c r="FM709" s="105"/>
      <c r="FN709" s="105"/>
      <c r="FO709" s="105"/>
      <c r="FP709" s="105"/>
      <c r="FQ709" s="105"/>
      <c r="FR709" s="105"/>
      <c r="FS709" s="105"/>
      <c r="FT709" s="105"/>
      <c r="FU709" s="105"/>
      <c r="FV709" s="105"/>
      <c r="FW709" s="105"/>
      <c r="FX709" s="105"/>
      <c r="FY709" s="105"/>
      <c r="FZ709" s="105"/>
      <c r="GA709" s="105"/>
      <c r="GB709" s="105"/>
      <c r="GC709" s="105"/>
      <c r="GD709" s="105"/>
      <c r="GE709" s="105"/>
      <c r="GF709" s="105"/>
      <c r="GG709" s="105"/>
      <c r="GH709" s="105"/>
    </row>
    <row r="710" spans="30:190" ht="6.95" customHeight="1" x14ac:dyDescent="0.15">
      <c r="AD710" s="56"/>
      <c r="AE710" s="3"/>
      <c r="AF710" s="199"/>
      <c r="AG710" s="199"/>
      <c r="AH710" s="199"/>
      <c r="AI710" s="199"/>
      <c r="AJ710" s="4"/>
      <c r="AK710" s="4"/>
      <c r="AL710" s="4"/>
      <c r="AM710" s="4"/>
      <c r="AN710" s="82"/>
      <c r="AO710" s="82"/>
      <c r="AP710" s="82"/>
      <c r="AQ710" s="4"/>
      <c r="AR710" s="4"/>
      <c r="AS710" s="4"/>
      <c r="AT710" s="4"/>
      <c r="AU710" s="4"/>
      <c r="AV710" s="4"/>
      <c r="AW710" s="3"/>
      <c r="AX710" s="3"/>
      <c r="AY710" s="4"/>
      <c r="AZ710" s="4"/>
      <c r="BA710" s="4"/>
      <c r="BB710" s="4"/>
      <c r="BC710" s="4"/>
      <c r="BD710" s="4"/>
      <c r="BE710" s="4"/>
      <c r="BF710" s="4"/>
      <c r="BG710" s="4"/>
      <c r="BH710" s="197"/>
      <c r="BI710" s="197"/>
      <c r="BJ710" s="197"/>
      <c r="BK710" s="197"/>
      <c r="BL710" s="4"/>
      <c r="BM710" s="1"/>
      <c r="BN710" s="1"/>
      <c r="BO710" s="1"/>
      <c r="BP710" s="99"/>
      <c r="BQ710" s="93"/>
      <c r="BR710" s="56"/>
      <c r="BS710" s="215"/>
      <c r="BT710" s="215"/>
      <c r="BU710" s="215"/>
      <c r="BV710" s="215"/>
      <c r="BW710" s="3"/>
      <c r="BX710" s="3"/>
      <c r="BY710" s="4"/>
      <c r="BZ710" s="4"/>
      <c r="CA710" s="85"/>
      <c r="CB710" s="85"/>
      <c r="CC710" s="118"/>
      <c r="CD710" s="118"/>
      <c r="CE710" s="118"/>
      <c r="CF710" s="118"/>
      <c r="CG710" s="3"/>
      <c r="CH710" s="3"/>
      <c r="CI710" s="3"/>
      <c r="CJ710" s="3"/>
      <c r="CK710" s="85"/>
      <c r="CL710" s="215"/>
      <c r="CM710" s="215"/>
      <c r="CN710" s="215"/>
      <c r="CO710" s="215"/>
      <c r="CP710" s="3"/>
      <c r="CQ710" s="3"/>
      <c r="CR710" s="4"/>
      <c r="CS710" s="4"/>
      <c r="CT710" s="85"/>
      <c r="CU710" s="85"/>
      <c r="CV710" s="118"/>
      <c r="CW710" s="118"/>
      <c r="CX710" s="118"/>
      <c r="CY710" s="118"/>
      <c r="CZ710" s="3"/>
      <c r="DA710" s="3"/>
      <c r="DB710" s="3"/>
      <c r="DC710" s="3"/>
      <c r="DD710" s="99"/>
      <c r="DH710" s="105"/>
      <c r="DI710" s="105"/>
      <c r="DJ710" s="105"/>
      <c r="DK710" s="105"/>
      <c r="DL710" s="105"/>
      <c r="DM710" s="105"/>
      <c r="DN710" s="105"/>
      <c r="DO710" s="105"/>
      <c r="DP710" s="105"/>
      <c r="DQ710" s="105"/>
      <c r="DR710" s="105"/>
      <c r="DS710" s="105"/>
      <c r="DT710" s="105"/>
      <c r="DU710" s="105"/>
      <c r="DV710" s="105"/>
      <c r="DW710" s="105"/>
      <c r="DX710" s="105"/>
      <c r="DY710" s="105"/>
      <c r="DZ710" s="105"/>
      <c r="EA710" s="105"/>
      <c r="EB710" s="105"/>
      <c r="EC710" s="105"/>
      <c r="ED710" s="105"/>
      <c r="EE710" s="105"/>
      <c r="EF710" s="105"/>
      <c r="EG710" s="105"/>
      <c r="EH710" s="105"/>
      <c r="EI710" s="105"/>
      <c r="EJ710" s="105"/>
      <c r="EK710" s="105"/>
      <c r="EL710" s="105"/>
      <c r="EM710" s="105"/>
      <c r="EN710" s="105"/>
      <c r="EO710" s="105"/>
      <c r="EP710" s="105"/>
      <c r="EQ710" s="105"/>
      <c r="ER710" s="105"/>
      <c r="ES710" s="105"/>
      <c r="ET710" s="105"/>
      <c r="EU710" s="105"/>
      <c r="EV710" s="105"/>
      <c r="EW710" s="105"/>
      <c r="EX710" s="105"/>
      <c r="EY710" s="105"/>
      <c r="EZ710" s="105"/>
      <c r="FA710" s="105"/>
      <c r="FB710" s="105"/>
      <c r="FC710" s="105"/>
      <c r="FD710" s="105"/>
      <c r="FE710" s="105"/>
      <c r="FF710" s="105"/>
      <c r="FG710" s="105"/>
      <c r="FH710" s="105"/>
      <c r="FI710" s="105"/>
      <c r="FJ710" s="105"/>
      <c r="FK710" s="105"/>
      <c r="FL710" s="105"/>
      <c r="FM710" s="105"/>
      <c r="FN710" s="105"/>
      <c r="FO710" s="105"/>
      <c r="FP710" s="105"/>
      <c r="FQ710" s="105"/>
      <c r="FR710" s="105"/>
      <c r="FS710" s="105"/>
      <c r="FT710" s="105"/>
      <c r="FU710" s="105"/>
      <c r="FV710" s="105"/>
      <c r="FW710" s="105"/>
      <c r="FX710" s="105"/>
      <c r="FY710" s="105"/>
      <c r="FZ710" s="105"/>
      <c r="GA710" s="105"/>
      <c r="GB710" s="105"/>
      <c r="GC710" s="105"/>
      <c r="GD710" s="105"/>
      <c r="GE710" s="105"/>
      <c r="GF710" s="105"/>
      <c r="GG710" s="105"/>
      <c r="GH710" s="105"/>
    </row>
    <row r="711" spans="30:190" ht="6.95" customHeight="1" x14ac:dyDescent="0.15">
      <c r="AD711" s="56"/>
      <c r="AE711" s="3"/>
      <c r="AF711" s="3"/>
      <c r="AG711" s="3"/>
      <c r="AH711" s="3"/>
      <c r="AI711" s="4"/>
      <c r="AJ711" s="4"/>
      <c r="AK711" s="4"/>
      <c r="AL711" s="4"/>
      <c r="AM711" s="88"/>
      <c r="AN711" s="88"/>
      <c r="AO711" s="88"/>
      <c r="AP711" s="88"/>
      <c r="AQ711" s="88"/>
      <c r="AR711" s="88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1"/>
      <c r="BN711" s="1"/>
      <c r="BO711" s="1"/>
      <c r="BP711" s="99"/>
      <c r="BQ711" s="93"/>
      <c r="BR711" s="56"/>
      <c r="BS711" s="200" t="s">
        <v>29</v>
      </c>
      <c r="BT711" s="200"/>
      <c r="BU711" s="200"/>
      <c r="BV711" s="200"/>
      <c r="BW711" s="3"/>
      <c r="BX711" s="3"/>
      <c r="BY711" s="4"/>
      <c r="BZ711" s="4"/>
      <c r="CA711" s="84"/>
      <c r="CB711" s="84"/>
      <c r="CC711" s="107"/>
      <c r="CD711" s="107"/>
      <c r="CE711" s="107"/>
      <c r="CF711" s="107"/>
      <c r="CG711" s="3"/>
      <c r="CH711" s="3"/>
      <c r="CI711" s="3"/>
      <c r="CJ711" s="3"/>
      <c r="CK711" s="84"/>
      <c r="CL711" s="200"/>
      <c r="CM711" s="200"/>
      <c r="CN711" s="200"/>
      <c r="CO711" s="200"/>
      <c r="CP711" s="3"/>
      <c r="CQ711" s="3"/>
      <c r="CR711" s="4"/>
      <c r="CS711" s="4"/>
      <c r="CT711" s="84"/>
      <c r="CU711" s="84"/>
      <c r="CV711" s="107"/>
      <c r="CW711" s="107"/>
      <c r="CX711" s="107"/>
      <c r="CY711" s="107"/>
      <c r="CZ711" s="3"/>
      <c r="DA711" s="3"/>
      <c r="DB711" s="3"/>
      <c r="DC711" s="3"/>
      <c r="DD711" s="99"/>
      <c r="DH711" s="105"/>
      <c r="DI711" s="105"/>
      <c r="DJ711" s="105"/>
      <c r="DK711" s="105"/>
      <c r="DL711" s="105"/>
      <c r="DM711" s="105"/>
      <c r="DN711" s="105"/>
      <c r="DO711" s="105"/>
      <c r="DP711" s="105"/>
      <c r="DQ711" s="105"/>
      <c r="DR711" s="105"/>
      <c r="DS711" s="105"/>
      <c r="DT711" s="105"/>
      <c r="DU711" s="105"/>
      <c r="DV711" s="105"/>
      <c r="DW711" s="105"/>
      <c r="DX711" s="105"/>
      <c r="DY711" s="105"/>
      <c r="DZ711" s="105"/>
      <c r="EA711" s="105"/>
      <c r="EB711" s="105"/>
      <c r="EC711" s="105"/>
      <c r="ED711" s="105"/>
      <c r="EE711" s="105"/>
      <c r="EF711" s="105"/>
      <c r="EG711" s="105"/>
      <c r="EH711" s="105"/>
      <c r="EI711" s="105"/>
      <c r="EJ711" s="105"/>
      <c r="EK711" s="105"/>
      <c r="EL711" s="105"/>
      <c r="EM711" s="105"/>
      <c r="EN711" s="105"/>
      <c r="EO711" s="105"/>
      <c r="EP711" s="105"/>
      <c r="EQ711" s="105"/>
      <c r="ER711" s="105"/>
      <c r="ES711" s="105"/>
      <c r="ET711" s="105"/>
      <c r="EU711" s="105"/>
      <c r="EV711" s="105"/>
      <c r="EW711" s="105"/>
      <c r="EX711" s="105"/>
      <c r="EY711" s="105"/>
      <c r="EZ711" s="105"/>
      <c r="FA711" s="105"/>
      <c r="FB711" s="105"/>
      <c r="FC711" s="105"/>
      <c r="FD711" s="105"/>
      <c r="FE711" s="105"/>
      <c r="FF711" s="105"/>
      <c r="FG711" s="105"/>
      <c r="FH711" s="105"/>
      <c r="FI711" s="105"/>
      <c r="FJ711" s="105"/>
      <c r="FK711" s="105"/>
      <c r="FL711" s="105"/>
      <c r="FM711" s="105"/>
      <c r="FN711" s="105"/>
      <c r="FO711" s="105"/>
      <c r="FP711" s="105"/>
      <c r="FQ711" s="105"/>
      <c r="FR711" s="105"/>
      <c r="FS711" s="105"/>
      <c r="FT711" s="105"/>
      <c r="FU711" s="105"/>
      <c r="FV711" s="105"/>
      <c r="FW711" s="105"/>
      <c r="FX711" s="105"/>
      <c r="FY711" s="105"/>
      <c r="FZ711" s="105"/>
      <c r="GA711" s="105"/>
      <c r="GB711" s="105"/>
      <c r="GC711" s="105"/>
      <c r="GD711" s="105"/>
      <c r="GE711" s="105"/>
      <c r="GF711" s="105"/>
      <c r="GG711" s="105"/>
      <c r="GH711" s="105"/>
    </row>
    <row r="712" spans="30:190" ht="6.95" customHeight="1" x14ac:dyDescent="0.15">
      <c r="AD712" s="56"/>
      <c r="AE712" s="3"/>
      <c r="AF712" s="3"/>
      <c r="AG712" s="3"/>
      <c r="AH712" s="3"/>
      <c r="AI712" s="4"/>
      <c r="AJ712" s="4"/>
      <c r="AK712" s="84"/>
      <c r="AL712" s="84"/>
      <c r="AM712" s="88"/>
      <c r="AN712" s="88"/>
      <c r="AO712" s="196" t="s">
        <v>42</v>
      </c>
      <c r="AP712" s="196"/>
      <c r="AQ712" s="196"/>
      <c r="AR712" s="196">
        <v>17</v>
      </c>
      <c r="AS712" s="196"/>
      <c r="AT712" s="196" t="s">
        <v>43</v>
      </c>
      <c r="AU712" s="196"/>
      <c r="AV712" s="196"/>
      <c r="AW712" s="4"/>
      <c r="AX712" s="4"/>
      <c r="AY712" s="4"/>
      <c r="AZ712" s="88"/>
      <c r="BA712" s="4"/>
      <c r="BB712" s="200">
        <f>CHOOSE(SUM(($AD$138&gt;={700,750})*1), 300,200)</f>
        <v>200</v>
      </c>
      <c r="BC712" s="200"/>
      <c r="BD712" s="200"/>
      <c r="BE712" s="200"/>
      <c r="BF712" s="4"/>
      <c r="BG712" s="88"/>
      <c r="BH712" s="196" t="s">
        <v>42</v>
      </c>
      <c r="BI712" s="196"/>
      <c r="BJ712" s="196"/>
      <c r="BK712" s="196">
        <v>4</v>
      </c>
      <c r="BL712" s="196"/>
      <c r="BM712" s="196" t="s">
        <v>43</v>
      </c>
      <c r="BN712" s="196"/>
      <c r="BO712" s="196"/>
      <c r="BP712" s="99"/>
      <c r="BQ712" s="93"/>
      <c r="BR712" s="56"/>
      <c r="BS712" s="200"/>
      <c r="BT712" s="200"/>
      <c r="BU712" s="200"/>
      <c r="BV712" s="200"/>
      <c r="BW712" s="3"/>
      <c r="BX712" s="84"/>
      <c r="BY712" s="107"/>
      <c r="BZ712" s="107"/>
      <c r="CA712" s="107"/>
      <c r="CB712" s="107"/>
      <c r="CC712" s="107"/>
      <c r="CD712" s="107"/>
      <c r="CE712" s="107"/>
      <c r="CF712" s="107"/>
      <c r="CG712" s="84"/>
      <c r="CH712" s="84"/>
      <c r="CI712" s="3"/>
      <c r="CJ712" s="84"/>
      <c r="CK712" s="84"/>
      <c r="CL712" s="200"/>
      <c r="CM712" s="200"/>
      <c r="CN712" s="200"/>
      <c r="CO712" s="200"/>
      <c r="CP712" s="3"/>
      <c r="CQ712" s="84"/>
      <c r="CR712" s="107"/>
      <c r="CS712" s="107"/>
      <c r="CT712" s="107"/>
      <c r="CU712" s="107"/>
      <c r="CV712" s="107"/>
      <c r="CW712" s="107"/>
      <c r="CX712" s="107"/>
      <c r="CY712" s="107"/>
      <c r="CZ712" s="84"/>
      <c r="DA712" s="84"/>
      <c r="DB712" s="3"/>
      <c r="DC712" s="84"/>
      <c r="DD712" s="99"/>
      <c r="DH712" s="105"/>
      <c r="DI712" s="105"/>
      <c r="DJ712" s="105"/>
      <c r="DK712" s="105"/>
      <c r="DL712" s="105"/>
      <c r="DM712" s="105"/>
      <c r="DN712" s="105"/>
      <c r="DO712" s="105"/>
      <c r="DP712" s="105"/>
      <c r="DQ712" s="105"/>
      <c r="DR712" s="105"/>
      <c r="DS712" s="105"/>
      <c r="DT712" s="105"/>
      <c r="DU712" s="105"/>
      <c r="DV712" s="105"/>
      <c r="DW712" s="105"/>
      <c r="DX712" s="105"/>
      <c r="DY712" s="105"/>
      <c r="DZ712" s="105"/>
      <c r="EA712" s="105"/>
      <c r="EB712" s="105"/>
      <c r="EC712" s="105"/>
      <c r="ED712" s="105"/>
      <c r="EE712" s="105"/>
      <c r="EF712" s="105"/>
      <c r="EG712" s="105"/>
      <c r="EH712" s="105"/>
      <c r="EI712" s="105"/>
      <c r="EJ712" s="105"/>
      <c r="EK712" s="105"/>
      <c r="EL712" s="105"/>
      <c r="EM712" s="105"/>
      <c r="EN712" s="105"/>
      <c r="EO712" s="105"/>
      <c r="EP712" s="105"/>
      <c r="EQ712" s="105"/>
      <c r="ER712" s="105"/>
      <c r="ES712" s="105"/>
      <c r="ET712" s="105"/>
      <c r="EU712" s="105"/>
      <c r="EV712" s="105"/>
      <c r="EW712" s="105"/>
      <c r="EX712" s="105"/>
      <c r="EY712" s="105"/>
      <c r="EZ712" s="105"/>
      <c r="FA712" s="105"/>
      <c r="FB712" s="105"/>
      <c r="FC712" s="105"/>
      <c r="FD712" s="105"/>
      <c r="FE712" s="105"/>
      <c r="FF712" s="105"/>
      <c r="FG712" s="105"/>
      <c r="FH712" s="105"/>
      <c r="FI712" s="105"/>
      <c r="FJ712" s="105"/>
      <c r="FK712" s="105"/>
      <c r="FL712" s="105"/>
      <c r="FM712" s="105"/>
      <c r="FN712" s="105"/>
      <c r="FO712" s="105"/>
      <c r="FP712" s="105"/>
      <c r="FQ712" s="105"/>
      <c r="FR712" s="105"/>
      <c r="FS712" s="105"/>
      <c r="FT712" s="105"/>
      <c r="FU712" s="105"/>
      <c r="FV712" s="105"/>
      <c r="FW712" s="105"/>
      <c r="FX712" s="105"/>
      <c r="FY712" s="105"/>
      <c r="FZ712" s="105"/>
      <c r="GA712" s="105"/>
      <c r="GB712" s="105"/>
      <c r="GC712" s="105"/>
      <c r="GD712" s="105"/>
      <c r="GE712" s="105"/>
      <c r="GF712" s="105"/>
      <c r="GG712" s="105"/>
      <c r="GH712" s="105"/>
    </row>
    <row r="713" spans="30:190" ht="6.95" customHeight="1" x14ac:dyDescent="0.15">
      <c r="AD713" s="56"/>
      <c r="AE713" s="3"/>
      <c r="AF713" s="189"/>
      <c r="AG713" s="189"/>
      <c r="AH713" s="189"/>
      <c r="AI713" s="189"/>
      <c r="AJ713" s="189"/>
      <c r="AK713" s="84"/>
      <c r="AL713" s="84"/>
      <c r="AM713" s="88"/>
      <c r="AN713" s="88"/>
      <c r="AO713" s="196"/>
      <c r="AP713" s="196"/>
      <c r="AQ713" s="196"/>
      <c r="AR713" s="196"/>
      <c r="AS713" s="196"/>
      <c r="AT713" s="196"/>
      <c r="AU713" s="196"/>
      <c r="AV713" s="196"/>
      <c r="AW713" s="84"/>
      <c r="AX713" s="84"/>
      <c r="AY713" s="4"/>
      <c r="AZ713" s="88"/>
      <c r="BA713" s="4"/>
      <c r="BB713" s="200"/>
      <c r="BC713" s="200"/>
      <c r="BD713" s="200"/>
      <c r="BE713" s="200"/>
      <c r="BF713" s="4"/>
      <c r="BG713" s="88"/>
      <c r="BH713" s="196"/>
      <c r="BI713" s="196"/>
      <c r="BJ713" s="196"/>
      <c r="BK713" s="196"/>
      <c r="BL713" s="196"/>
      <c r="BM713" s="196"/>
      <c r="BN713" s="196"/>
      <c r="BO713" s="196"/>
      <c r="BP713" s="99"/>
      <c r="BQ713" s="93"/>
      <c r="BR713" s="56"/>
      <c r="BS713" s="84"/>
      <c r="BT713" s="3"/>
      <c r="BU713" s="3"/>
      <c r="BV713" s="3"/>
      <c r="BW713" s="3"/>
      <c r="BX713" s="84"/>
      <c r="BY713" s="107"/>
      <c r="BZ713" s="107"/>
      <c r="CA713" s="107"/>
      <c r="CB713" s="107"/>
      <c r="CC713" s="196" t="s">
        <v>42</v>
      </c>
      <c r="CD713" s="196"/>
      <c r="CE713" s="196"/>
      <c r="CF713" s="196">
        <v>1</v>
      </c>
      <c r="CG713" s="196"/>
      <c r="CH713" s="196" t="s">
        <v>43</v>
      </c>
      <c r="CI713" s="196"/>
      <c r="CJ713" s="196"/>
      <c r="CK713" s="84"/>
      <c r="CL713" s="84"/>
      <c r="CM713" s="3"/>
      <c r="CN713" s="3"/>
      <c r="CO713" s="3"/>
      <c r="CP713" s="3"/>
      <c r="CQ713" s="84"/>
      <c r="CR713" s="107"/>
      <c r="CS713" s="107"/>
      <c r="CT713" s="107"/>
      <c r="CU713" s="107"/>
      <c r="CV713" s="196"/>
      <c r="CW713" s="196"/>
      <c r="CX713" s="196"/>
      <c r="CY713" s="196"/>
      <c r="CZ713" s="196"/>
      <c r="DA713" s="196"/>
      <c r="DB713" s="196"/>
      <c r="DC713" s="196"/>
      <c r="DD713" s="99"/>
      <c r="DH713" s="105"/>
      <c r="DI713" s="105"/>
      <c r="DJ713" s="105"/>
      <c r="DK713" s="105"/>
      <c r="DL713" s="105"/>
      <c r="DM713" s="105"/>
      <c r="DN713" s="105"/>
      <c r="DO713" s="105"/>
      <c r="DP713" s="105"/>
      <c r="DQ713" s="105"/>
      <c r="DR713" s="105"/>
      <c r="DS713" s="105"/>
      <c r="DT713" s="105"/>
      <c r="DU713" s="105"/>
      <c r="DV713" s="105"/>
      <c r="DW713" s="105"/>
      <c r="DX713" s="105"/>
      <c r="DY713" s="105"/>
      <c r="DZ713" s="105"/>
      <c r="EA713" s="105"/>
      <c r="EB713" s="105"/>
      <c r="EC713" s="105"/>
      <c r="ED713" s="105"/>
      <c r="EE713" s="105"/>
      <c r="EF713" s="105"/>
      <c r="EG713" s="105"/>
      <c r="EH713" s="105"/>
      <c r="EI713" s="105"/>
      <c r="EJ713" s="105"/>
      <c r="EK713" s="105"/>
      <c r="EL713" s="105"/>
      <c r="EM713" s="105"/>
      <c r="EN713" s="105"/>
      <c r="EO713" s="105"/>
      <c r="EP713" s="105"/>
      <c r="EQ713" s="105"/>
      <c r="ER713" s="105"/>
      <c r="ES713" s="105"/>
      <c r="ET713" s="105"/>
      <c r="EU713" s="105"/>
      <c r="EV713" s="105"/>
      <c r="EW713" s="105"/>
      <c r="EX713" s="105"/>
      <c r="EY713" s="105"/>
      <c r="EZ713" s="105"/>
      <c r="FA713" s="105"/>
      <c r="FB713" s="105"/>
      <c r="FC713" s="105"/>
      <c r="FD713" s="105"/>
      <c r="FE713" s="105"/>
      <c r="FF713" s="105"/>
      <c r="FG713" s="105"/>
      <c r="FH713" s="105"/>
      <c r="FI713" s="105"/>
      <c r="FJ713" s="105"/>
      <c r="FK713" s="105"/>
      <c r="FL713" s="105"/>
      <c r="FM713" s="105"/>
      <c r="FN713" s="105"/>
      <c r="FO713" s="105"/>
      <c r="FP713" s="105"/>
      <c r="FQ713" s="105"/>
      <c r="FR713" s="105"/>
      <c r="FS713" s="105"/>
      <c r="FT713" s="105"/>
      <c r="FU713" s="105"/>
      <c r="FV713" s="105"/>
      <c r="FW713" s="105"/>
      <c r="FX713" s="105"/>
      <c r="FY713" s="105"/>
      <c r="FZ713" s="105"/>
      <c r="GA713" s="105"/>
      <c r="GB713" s="105"/>
      <c r="GC713" s="105"/>
      <c r="GD713" s="105"/>
      <c r="GE713" s="105"/>
      <c r="GF713" s="105"/>
      <c r="GG713" s="105"/>
      <c r="GH713" s="105"/>
    </row>
    <row r="714" spans="30:190" ht="6.95" customHeight="1" x14ac:dyDescent="0.15">
      <c r="AD714" s="52"/>
      <c r="AE714" s="189"/>
      <c r="AF714" s="189"/>
      <c r="AG714" s="189"/>
      <c r="AH714" s="189"/>
      <c r="AI714" s="189"/>
      <c r="AJ714" s="189"/>
      <c r="AK714" s="84"/>
      <c r="AL714" s="84"/>
      <c r="AM714" s="88"/>
      <c r="AN714" s="88"/>
      <c r="AO714" s="103"/>
      <c r="AP714" s="103"/>
      <c r="AQ714" s="103"/>
      <c r="AR714" s="103"/>
      <c r="AS714" s="103"/>
      <c r="AT714" s="103"/>
      <c r="AU714" s="103"/>
      <c r="AV714" s="103"/>
      <c r="AW714" s="84"/>
      <c r="AX714" s="84"/>
      <c r="BP714" s="99"/>
      <c r="BQ714" s="93"/>
      <c r="BR714" s="52"/>
      <c r="BS714" s="88"/>
      <c r="BT714" s="2"/>
      <c r="BU714" s="2"/>
      <c r="BV714" s="2"/>
      <c r="BW714" s="2"/>
      <c r="BX714" s="2"/>
      <c r="BY714" s="2"/>
      <c r="BZ714" s="88"/>
      <c r="CA714" s="88"/>
      <c r="CB714" s="88"/>
      <c r="CC714" s="196"/>
      <c r="CD714" s="196"/>
      <c r="CE714" s="196"/>
      <c r="CF714" s="196"/>
      <c r="CG714" s="196"/>
      <c r="CH714" s="196"/>
      <c r="CI714" s="196"/>
      <c r="CJ714" s="196"/>
      <c r="CK714" s="88"/>
      <c r="CL714" s="88"/>
      <c r="CM714" s="2"/>
      <c r="CN714" s="2"/>
      <c r="CO714" s="2"/>
      <c r="CP714" s="2"/>
      <c r="CQ714" s="2"/>
      <c r="CR714" s="2"/>
      <c r="CS714" s="88"/>
      <c r="CT714" s="88"/>
      <c r="CU714" s="88"/>
      <c r="CV714" s="196"/>
      <c r="CW714" s="196"/>
      <c r="CX714" s="196"/>
      <c r="CY714" s="196"/>
      <c r="CZ714" s="196"/>
      <c r="DA714" s="196"/>
      <c r="DB714" s="196"/>
      <c r="DC714" s="196"/>
      <c r="DD714" s="99"/>
      <c r="DH714" s="105"/>
      <c r="DI714" s="105"/>
      <c r="DJ714" s="105"/>
      <c r="DK714" s="105"/>
      <c r="DL714" s="105"/>
      <c r="DM714" s="105"/>
      <c r="DN714" s="105"/>
      <c r="DO714" s="105"/>
      <c r="DP714" s="105"/>
      <c r="DQ714" s="105"/>
      <c r="DR714" s="105"/>
      <c r="DS714" s="105"/>
      <c r="DT714" s="105"/>
      <c r="DU714" s="105"/>
      <c r="DV714" s="105"/>
      <c r="DW714" s="105"/>
      <c r="DX714" s="105"/>
      <c r="DY714" s="105"/>
      <c r="DZ714" s="105"/>
      <c r="EA714" s="105"/>
      <c r="EB714" s="105"/>
      <c r="EC714" s="105"/>
      <c r="ED714" s="105"/>
      <c r="EE714" s="105"/>
      <c r="EF714" s="105"/>
      <c r="EG714" s="105"/>
      <c r="EH714" s="105"/>
      <c r="EI714" s="105"/>
      <c r="EJ714" s="105"/>
      <c r="EK714" s="105"/>
      <c r="EL714" s="105"/>
      <c r="EM714" s="105"/>
      <c r="EN714" s="105"/>
      <c r="EO714" s="105"/>
      <c r="EP714" s="105"/>
      <c r="EQ714" s="105"/>
      <c r="ER714" s="105"/>
      <c r="ES714" s="105"/>
      <c r="ET714" s="105"/>
      <c r="EU714" s="105"/>
      <c r="EV714" s="105"/>
      <c r="EW714" s="105"/>
      <c r="EX714" s="105"/>
      <c r="EY714" s="105"/>
      <c r="EZ714" s="105"/>
      <c r="FA714" s="105"/>
      <c r="FB714" s="105"/>
      <c r="FC714" s="105"/>
      <c r="FD714" s="105"/>
      <c r="FE714" s="105"/>
      <c r="FF714" s="105"/>
      <c r="FG714" s="105"/>
      <c r="FH714" s="105"/>
      <c r="FI714" s="105"/>
      <c r="FJ714" s="105"/>
      <c r="FK714" s="105"/>
      <c r="FL714" s="105"/>
      <c r="FM714" s="105"/>
      <c r="FN714" s="105"/>
      <c r="FO714" s="105"/>
      <c r="FP714" s="105"/>
      <c r="FQ714" s="105"/>
      <c r="FR714" s="105"/>
      <c r="FS714" s="105"/>
      <c r="FT714" s="105"/>
      <c r="FU714" s="105"/>
      <c r="FV714" s="105"/>
      <c r="FW714" s="105"/>
      <c r="FX714" s="105"/>
      <c r="FY714" s="105"/>
      <c r="FZ714" s="105"/>
      <c r="GA714" s="105"/>
      <c r="GB714" s="105"/>
      <c r="GC714" s="105"/>
      <c r="GD714" s="105"/>
      <c r="GE714" s="105"/>
      <c r="GF714" s="105"/>
      <c r="GG714" s="105"/>
      <c r="GH714" s="105"/>
    </row>
    <row r="715" spans="30:190" ht="6.95" customHeight="1" x14ac:dyDescent="0.15">
      <c r="AD715" s="56"/>
      <c r="AE715" s="3"/>
      <c r="AF715" s="3"/>
      <c r="AG715" s="3"/>
      <c r="AH715" s="3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1"/>
      <c r="BI715" s="1"/>
      <c r="BJ715" s="1"/>
      <c r="BK715" s="1"/>
      <c r="BL715" s="1"/>
      <c r="BM715" s="1"/>
      <c r="BN715" s="1"/>
      <c r="BO715" s="1"/>
      <c r="BP715" s="99"/>
      <c r="BQ715" s="93"/>
      <c r="BR715" s="83"/>
      <c r="BS715" s="82"/>
      <c r="BT715" s="197" t="s">
        <v>28</v>
      </c>
      <c r="BU715" s="197"/>
      <c r="BV715" s="197"/>
      <c r="BW715" s="197"/>
      <c r="BX715" s="82"/>
      <c r="BY715" s="82"/>
      <c r="BZ715" s="82"/>
      <c r="CA715" s="2"/>
      <c r="CB715" s="2"/>
      <c r="CC715" s="2"/>
      <c r="CD715" s="2"/>
      <c r="CE715" s="2"/>
      <c r="CF715" s="2"/>
      <c r="CG715" s="2"/>
      <c r="CH715" s="2"/>
      <c r="CI715" s="3"/>
      <c r="CJ715" s="82"/>
      <c r="CK715" s="88"/>
      <c r="CL715" s="88"/>
      <c r="CM715" s="197" t="s">
        <v>27</v>
      </c>
      <c r="CN715" s="197"/>
      <c r="CO715" s="197"/>
      <c r="CP715" s="197"/>
      <c r="CQ715" s="82"/>
      <c r="CR715" s="82"/>
      <c r="CS715" s="3"/>
      <c r="CT715" s="3"/>
      <c r="CU715" s="3"/>
      <c r="CV715" s="3"/>
      <c r="CW715" s="198"/>
      <c r="CX715" s="198"/>
      <c r="CY715" s="198"/>
      <c r="CZ715" s="198"/>
      <c r="DA715" s="1"/>
      <c r="DB715" s="1"/>
      <c r="DC715" s="1"/>
      <c r="DD715" s="99"/>
      <c r="DH715" s="105"/>
      <c r="DI715" s="105"/>
      <c r="DJ715" s="105"/>
      <c r="DK715" s="105"/>
      <c r="DL715" s="105"/>
      <c r="DM715" s="105"/>
      <c r="DN715" s="105"/>
      <c r="DO715" s="105"/>
      <c r="DP715" s="105"/>
      <c r="DQ715" s="105"/>
      <c r="DR715" s="105"/>
      <c r="DS715" s="105"/>
      <c r="DT715" s="105"/>
      <c r="DU715" s="105"/>
      <c r="DV715" s="105"/>
      <c r="DW715" s="105"/>
      <c r="DX715" s="105"/>
      <c r="DY715" s="105"/>
      <c r="DZ715" s="105"/>
      <c r="EA715" s="105"/>
      <c r="EB715" s="105"/>
      <c r="EC715" s="105"/>
      <c r="ED715" s="105"/>
      <c r="EE715" s="105"/>
      <c r="EF715" s="105"/>
      <c r="EG715" s="105"/>
      <c r="EH715" s="105"/>
      <c r="EI715" s="105"/>
      <c r="EJ715" s="105"/>
      <c r="EK715" s="105"/>
      <c r="EL715" s="105"/>
      <c r="EM715" s="105"/>
      <c r="EN715" s="105"/>
      <c r="EO715" s="105"/>
      <c r="EP715" s="105"/>
      <c r="EQ715" s="105"/>
      <c r="ER715" s="105"/>
      <c r="ES715" s="105"/>
      <c r="ET715" s="105"/>
      <c r="EU715" s="105"/>
      <c r="EV715" s="105"/>
      <c r="EW715" s="105"/>
      <c r="EX715" s="105"/>
      <c r="EY715" s="105"/>
      <c r="EZ715" s="105"/>
      <c r="FA715" s="105"/>
      <c r="FB715" s="105"/>
      <c r="FC715" s="105"/>
      <c r="FD715" s="105"/>
      <c r="FE715" s="105"/>
      <c r="FF715" s="105"/>
      <c r="FG715" s="105"/>
      <c r="FH715" s="105"/>
      <c r="FI715" s="105"/>
      <c r="FJ715" s="105"/>
      <c r="FK715" s="105"/>
      <c r="FL715" s="105"/>
      <c r="FM715" s="105"/>
      <c r="FN715" s="105"/>
      <c r="FO715" s="105"/>
      <c r="FP715" s="105"/>
      <c r="FQ715" s="105"/>
      <c r="FR715" s="105"/>
      <c r="FS715" s="105"/>
      <c r="FT715" s="105"/>
      <c r="FU715" s="105"/>
      <c r="FV715" s="105"/>
      <c r="FW715" s="105"/>
      <c r="FX715" s="105"/>
      <c r="FY715" s="105"/>
      <c r="FZ715" s="105"/>
      <c r="GA715" s="105"/>
      <c r="GB715" s="105"/>
      <c r="GC715" s="105"/>
      <c r="GD715" s="105"/>
      <c r="GE715" s="105"/>
      <c r="GF715" s="105"/>
      <c r="GG715" s="105"/>
      <c r="GH715" s="105"/>
    </row>
    <row r="716" spans="30:190" ht="6.95" customHeight="1" x14ac:dyDescent="0.15">
      <c r="AD716" s="56"/>
      <c r="AE716" s="3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3"/>
      <c r="AQ716" s="103"/>
      <c r="AR716" s="103"/>
      <c r="AS716" s="103"/>
      <c r="AT716" s="103"/>
      <c r="AU716" s="103"/>
      <c r="AV716" s="103"/>
      <c r="AW716" s="103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1"/>
      <c r="BI716" s="1"/>
      <c r="BJ716" s="1"/>
      <c r="BK716" s="1"/>
      <c r="BL716" s="1"/>
      <c r="BM716" s="1"/>
      <c r="BN716" s="1"/>
      <c r="BO716" s="1"/>
      <c r="BP716" s="99"/>
      <c r="BQ716" s="93"/>
      <c r="BR716" s="56"/>
      <c r="BS716" s="3"/>
      <c r="BT716" s="197"/>
      <c r="BU716" s="197"/>
      <c r="BV716" s="197"/>
      <c r="BW716" s="197"/>
      <c r="BX716" s="82"/>
      <c r="BY716" s="82"/>
      <c r="BZ716" s="82"/>
      <c r="CA716" s="2"/>
      <c r="CB716" s="2"/>
      <c r="CC716" s="2"/>
      <c r="CD716" s="2"/>
      <c r="CE716" s="2"/>
      <c r="CF716" s="2"/>
      <c r="CG716" s="2"/>
      <c r="CH716" s="2"/>
      <c r="CI716" s="3"/>
      <c r="CJ716" s="82"/>
      <c r="CK716" s="82"/>
      <c r="CL716" s="3"/>
      <c r="CM716" s="197"/>
      <c r="CN716" s="197"/>
      <c r="CO716" s="197"/>
      <c r="CP716" s="197"/>
      <c r="CQ716" s="82"/>
      <c r="CR716" s="82"/>
      <c r="CS716" s="3"/>
      <c r="CT716" s="3"/>
      <c r="CU716" s="3"/>
      <c r="CV716" s="3"/>
      <c r="CW716" s="198"/>
      <c r="CX716" s="198"/>
      <c r="CY716" s="198"/>
      <c r="CZ716" s="198"/>
      <c r="DA716" s="1"/>
      <c r="DB716" s="1"/>
      <c r="DC716" s="1"/>
      <c r="DD716" s="99"/>
      <c r="DH716" s="105"/>
      <c r="DI716" s="105"/>
      <c r="DJ716" s="105"/>
      <c r="DK716" s="105"/>
      <c r="DL716" s="105"/>
      <c r="DM716" s="105"/>
      <c r="DN716" s="105"/>
      <c r="DO716" s="105"/>
      <c r="DP716" s="105"/>
      <c r="DQ716" s="105"/>
      <c r="DR716" s="105"/>
      <c r="DS716" s="105"/>
      <c r="DT716" s="105"/>
      <c r="DU716" s="105"/>
      <c r="DV716" s="105"/>
      <c r="DW716" s="105"/>
      <c r="DX716" s="105"/>
      <c r="DY716" s="105"/>
      <c r="DZ716" s="105"/>
      <c r="EA716" s="105"/>
      <c r="EB716" s="105"/>
      <c r="EC716" s="105"/>
      <c r="ED716" s="105"/>
      <c r="EE716" s="105"/>
      <c r="EF716" s="105"/>
      <c r="EG716" s="105"/>
      <c r="EH716" s="105"/>
      <c r="EI716" s="105"/>
      <c r="EJ716" s="105"/>
      <c r="EK716" s="105"/>
      <c r="EL716" s="105"/>
      <c r="EM716" s="105"/>
      <c r="EN716" s="105"/>
      <c r="EO716" s="105"/>
      <c r="EP716" s="105"/>
      <c r="EQ716" s="105"/>
      <c r="ER716" s="105"/>
      <c r="ES716" s="105"/>
      <c r="ET716" s="105"/>
      <c r="EU716" s="105"/>
      <c r="EV716" s="105"/>
      <c r="EW716" s="105"/>
      <c r="EX716" s="105"/>
      <c r="EY716" s="105"/>
      <c r="EZ716" s="105"/>
      <c r="FA716" s="105"/>
      <c r="FB716" s="105"/>
      <c r="FC716" s="105"/>
      <c r="FD716" s="105"/>
      <c r="FE716" s="105"/>
      <c r="FF716" s="105"/>
      <c r="FG716" s="105"/>
      <c r="FH716" s="105"/>
      <c r="FI716" s="105"/>
      <c r="FJ716" s="105"/>
      <c r="FK716" s="105"/>
      <c r="FL716" s="105"/>
      <c r="FM716" s="105"/>
      <c r="FN716" s="105"/>
      <c r="FO716" s="105"/>
      <c r="FP716" s="105"/>
      <c r="FQ716" s="105"/>
      <c r="FR716" s="105"/>
      <c r="FS716" s="105"/>
      <c r="FT716" s="105"/>
      <c r="FU716" s="105"/>
      <c r="FV716" s="105"/>
      <c r="FW716" s="105"/>
      <c r="FX716" s="105"/>
      <c r="FY716" s="105"/>
      <c r="FZ716" s="105"/>
      <c r="GA716" s="105"/>
      <c r="GB716" s="105"/>
      <c r="GC716" s="105"/>
      <c r="GD716" s="105"/>
      <c r="GE716" s="105"/>
      <c r="GF716" s="105"/>
      <c r="GG716" s="105"/>
      <c r="GH716" s="105"/>
    </row>
    <row r="717" spans="30:190" ht="6.95" customHeight="1" x14ac:dyDescent="0.15">
      <c r="AD717" s="56"/>
      <c r="AE717" s="3"/>
      <c r="AF717" s="200" t="s">
        <v>26</v>
      </c>
      <c r="AG717" s="200"/>
      <c r="AH717" s="200"/>
      <c r="AI717" s="200"/>
      <c r="AJ717" s="106"/>
      <c r="AK717" s="106"/>
      <c r="AL717" s="106"/>
      <c r="AM717" s="106"/>
      <c r="AN717" s="106"/>
      <c r="AO717" s="106"/>
      <c r="AP717" s="103"/>
      <c r="AQ717" s="103"/>
      <c r="AR717" s="103"/>
      <c r="AS717" s="103"/>
      <c r="AT717" s="103"/>
      <c r="AU717" s="103"/>
      <c r="AV717" s="103"/>
      <c r="AW717" s="103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1"/>
      <c r="BI717" s="1"/>
      <c r="BJ717" s="1"/>
      <c r="BK717" s="1"/>
      <c r="BL717" s="1"/>
      <c r="BM717" s="1"/>
      <c r="BN717" s="1"/>
      <c r="BO717" s="1"/>
      <c r="BP717" s="99"/>
      <c r="BQ717" s="93"/>
      <c r="BR717" s="56"/>
      <c r="BS717" s="3"/>
      <c r="BT717" s="3"/>
      <c r="BU717" s="3"/>
      <c r="BV717" s="3"/>
      <c r="BW717" s="2"/>
      <c r="BX717" s="2"/>
      <c r="BY717" s="2"/>
      <c r="BZ717" s="2"/>
      <c r="CA717" s="2"/>
      <c r="CB717" s="82"/>
      <c r="CC717" s="82"/>
      <c r="CD717" s="82"/>
      <c r="CE717" s="82"/>
      <c r="CF717" s="82"/>
      <c r="CG717" s="82"/>
      <c r="CH717" s="2"/>
      <c r="CI717" s="3"/>
      <c r="CJ717" s="82"/>
      <c r="CK717" s="82"/>
      <c r="CL717" s="3"/>
      <c r="CM717" s="3"/>
      <c r="CN717" s="2"/>
      <c r="CO717" s="3"/>
      <c r="CP717" s="82"/>
      <c r="CQ717" s="82"/>
      <c r="CR717" s="3"/>
      <c r="CS717" s="3"/>
      <c r="CT717" s="3"/>
      <c r="CU717" s="3"/>
      <c r="CV717" s="3"/>
      <c r="CW717" s="3"/>
      <c r="CX717" s="3"/>
      <c r="CY717" s="3"/>
      <c r="CZ717" s="3"/>
      <c r="DA717" s="1"/>
      <c r="DB717" s="1"/>
      <c r="DC717" s="1"/>
      <c r="DD717" s="99"/>
      <c r="DH717" s="105"/>
      <c r="DI717" s="105"/>
      <c r="DJ717" s="105"/>
      <c r="DK717" s="105"/>
      <c r="DL717" s="105"/>
      <c r="DM717" s="105"/>
      <c r="DN717" s="105"/>
      <c r="DO717" s="105"/>
      <c r="DP717" s="105"/>
      <c r="DQ717" s="105"/>
      <c r="DR717" s="105"/>
      <c r="DS717" s="105"/>
      <c r="DT717" s="105"/>
      <c r="DU717" s="105"/>
      <c r="DV717" s="105"/>
      <c r="DW717" s="105"/>
      <c r="DX717" s="105"/>
      <c r="DY717" s="105"/>
      <c r="DZ717" s="105"/>
      <c r="EA717" s="105"/>
      <c r="EB717" s="105"/>
      <c r="EC717" s="105"/>
      <c r="ED717" s="105"/>
      <c r="EE717" s="105"/>
      <c r="EF717" s="105"/>
      <c r="EG717" s="105"/>
      <c r="EH717" s="105"/>
      <c r="EI717" s="105"/>
      <c r="EJ717" s="105"/>
      <c r="EK717" s="105"/>
      <c r="EL717" s="105"/>
      <c r="EM717" s="105"/>
      <c r="EN717" s="105"/>
      <c r="EO717" s="105"/>
      <c r="EP717" s="105"/>
      <c r="EQ717" s="105"/>
      <c r="ER717" s="105"/>
      <c r="ES717" s="105"/>
      <c r="ET717" s="105"/>
      <c r="EU717" s="105"/>
      <c r="EV717" s="105"/>
      <c r="EW717" s="105"/>
      <c r="EX717" s="105"/>
      <c r="EY717" s="105"/>
      <c r="EZ717" s="105"/>
      <c r="FA717" s="105"/>
      <c r="FB717" s="105"/>
      <c r="FC717" s="105"/>
      <c r="FD717" s="105"/>
      <c r="FE717" s="105"/>
      <c r="FF717" s="105"/>
      <c r="FG717" s="105"/>
      <c r="FH717" s="105"/>
      <c r="FI717" s="105"/>
      <c r="FJ717" s="105"/>
      <c r="FK717" s="105"/>
      <c r="FL717" s="105"/>
      <c r="FM717" s="105"/>
      <c r="FN717" s="105"/>
      <c r="FO717" s="105"/>
      <c r="FP717" s="105"/>
      <c r="FQ717" s="105"/>
      <c r="FR717" s="105"/>
      <c r="FS717" s="105"/>
      <c r="FT717" s="105"/>
      <c r="FU717" s="105"/>
      <c r="FV717" s="105"/>
      <c r="FW717" s="105"/>
      <c r="FX717" s="105"/>
      <c r="FY717" s="105"/>
      <c r="FZ717" s="105"/>
      <c r="GA717" s="105"/>
      <c r="GB717" s="105"/>
      <c r="GC717" s="105"/>
      <c r="GD717" s="105"/>
      <c r="GE717" s="105"/>
      <c r="GF717" s="105"/>
      <c r="GG717" s="105"/>
      <c r="GH717" s="105"/>
    </row>
    <row r="718" spans="30:190" ht="6.95" customHeight="1" x14ac:dyDescent="0.15">
      <c r="AD718" s="56"/>
      <c r="AE718" s="3"/>
      <c r="AF718" s="200"/>
      <c r="AG718" s="200"/>
      <c r="AH718" s="200"/>
      <c r="AI718" s="200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1"/>
      <c r="BI718" s="1"/>
      <c r="BJ718" s="199">
        <f>CHOOSE(SUM((AD685&gt;={700,750,800,850,900,950})*1), 140,190,240,290,340,390)</f>
        <v>190</v>
      </c>
      <c r="BK718" s="199"/>
      <c r="BL718" s="199"/>
      <c r="BM718" s="199"/>
      <c r="BN718" s="1"/>
      <c r="BO718" s="1"/>
      <c r="BP718" s="99"/>
      <c r="BQ718" s="93"/>
      <c r="BR718" s="56"/>
      <c r="BS718" s="3"/>
      <c r="BT718" s="199">
        <f>CHOOSE(SUM((BR685&gt;={700,750,800,850,900,950})*1), 500,550,600,650,700,750)</f>
        <v>550</v>
      </c>
      <c r="BU718" s="199"/>
      <c r="BV718" s="199"/>
      <c r="BW718" s="199"/>
      <c r="BX718" s="4"/>
      <c r="BY718" s="4"/>
      <c r="BZ718" s="4"/>
      <c r="CA718" s="4"/>
      <c r="CB718" s="82"/>
      <c r="CC718" s="82"/>
      <c r="CD718" s="82"/>
      <c r="CE718" s="82"/>
      <c r="CF718" s="82"/>
      <c r="CG718" s="82"/>
      <c r="CH718" s="4"/>
      <c r="CI718" s="3"/>
      <c r="CJ718" s="3"/>
      <c r="CK718" s="82"/>
      <c r="CL718" s="3"/>
      <c r="CM718" s="3"/>
      <c r="CN718" s="4"/>
      <c r="CO718" s="3"/>
      <c r="CP718" s="3"/>
      <c r="CQ718" s="3"/>
      <c r="CR718" s="3"/>
      <c r="CS718" s="3"/>
      <c r="CT718" s="3"/>
      <c r="CU718" s="3"/>
      <c r="CV718" s="197">
        <f>CHOOSE(SUM(($BR$138&gt;={700,750})*1), 700,800)</f>
        <v>800</v>
      </c>
      <c r="CW718" s="197"/>
      <c r="CX718" s="197"/>
      <c r="CY718" s="197"/>
      <c r="CZ718" s="3"/>
      <c r="DA718" s="1"/>
      <c r="DB718" s="1"/>
      <c r="DC718" s="1"/>
      <c r="DD718" s="99"/>
      <c r="DH718" s="105"/>
      <c r="DI718" s="105"/>
      <c r="DJ718" s="105"/>
      <c r="DK718" s="105"/>
      <c r="DL718" s="105"/>
      <c r="DM718" s="105"/>
      <c r="DN718" s="105"/>
      <c r="DO718" s="105"/>
      <c r="DP718" s="105"/>
      <c r="DQ718" s="105"/>
      <c r="DR718" s="105"/>
      <c r="DS718" s="105"/>
      <c r="DT718" s="105"/>
      <c r="DU718" s="105"/>
      <c r="DV718" s="105"/>
      <c r="DW718" s="105"/>
      <c r="DX718" s="105"/>
      <c r="DY718" s="105"/>
      <c r="DZ718" s="105"/>
      <c r="EA718" s="105"/>
      <c r="EB718" s="105"/>
      <c r="EC718" s="105"/>
      <c r="ED718" s="105"/>
      <c r="EE718" s="105"/>
      <c r="EF718" s="105"/>
      <c r="EG718" s="105"/>
      <c r="EH718" s="105"/>
      <c r="EI718" s="105"/>
      <c r="EJ718" s="105"/>
      <c r="EK718" s="105"/>
      <c r="EL718" s="105"/>
      <c r="EM718" s="105"/>
      <c r="EN718" s="105"/>
      <c r="EO718" s="105"/>
      <c r="EP718" s="105"/>
      <c r="EQ718" s="105"/>
      <c r="ER718" s="105"/>
      <c r="ES718" s="105"/>
      <c r="ET718" s="105"/>
      <c r="EU718" s="105"/>
      <c r="EV718" s="105"/>
      <c r="EW718" s="105"/>
      <c r="EX718" s="105"/>
      <c r="EY718" s="105"/>
      <c r="EZ718" s="105"/>
      <c r="FA718" s="105"/>
      <c r="FB718" s="105"/>
      <c r="FC718" s="105"/>
      <c r="FD718" s="105"/>
      <c r="FE718" s="105"/>
      <c r="FF718" s="105"/>
      <c r="FG718" s="105"/>
      <c r="FH718" s="105"/>
      <c r="FI718" s="105"/>
      <c r="FJ718" s="105"/>
      <c r="FK718" s="105"/>
      <c r="FL718" s="105"/>
      <c r="FM718" s="105"/>
      <c r="FN718" s="105"/>
      <c r="FO718" s="105"/>
      <c r="FP718" s="105"/>
      <c r="FQ718" s="105"/>
      <c r="FR718" s="105"/>
      <c r="FS718" s="105"/>
      <c r="FT718" s="105"/>
      <c r="FU718" s="105"/>
      <c r="FV718" s="105"/>
      <c r="FW718" s="105"/>
      <c r="FX718" s="105"/>
      <c r="FY718" s="105"/>
      <c r="FZ718" s="105"/>
      <c r="GA718" s="105"/>
      <c r="GB718" s="105"/>
      <c r="GC718" s="105"/>
      <c r="GD718" s="105"/>
      <c r="GE718" s="105"/>
      <c r="GF718" s="105"/>
      <c r="GG718" s="105"/>
      <c r="GH718" s="105"/>
    </row>
    <row r="719" spans="30:190" ht="6.95" customHeight="1" x14ac:dyDescent="0.15">
      <c r="AD719" s="56"/>
      <c r="AE719" s="3"/>
      <c r="AF719" s="106"/>
      <c r="AG719" s="106"/>
      <c r="AH719" s="106"/>
      <c r="AI719" s="106"/>
      <c r="AJ719" s="104"/>
      <c r="AK719" s="105"/>
      <c r="AL719" s="105"/>
      <c r="AM719" s="105"/>
      <c r="AN719" s="105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1"/>
      <c r="BI719" s="1"/>
      <c r="BJ719" s="199"/>
      <c r="BK719" s="199"/>
      <c r="BL719" s="199"/>
      <c r="BM719" s="199"/>
      <c r="BN719" s="1"/>
      <c r="BO719" s="1"/>
      <c r="BP719" s="99"/>
      <c r="BQ719" s="93"/>
      <c r="BR719" s="56"/>
      <c r="BS719" s="3"/>
      <c r="BT719" s="199"/>
      <c r="BU719" s="199"/>
      <c r="BV719" s="199"/>
      <c r="BW719" s="199"/>
      <c r="BX719" s="4"/>
      <c r="BY719" s="4"/>
      <c r="BZ719" s="4"/>
      <c r="CA719" s="4"/>
      <c r="CB719" s="82"/>
      <c r="CC719" s="82"/>
      <c r="CD719" s="82"/>
      <c r="CE719" s="4"/>
      <c r="CF719" s="4"/>
      <c r="CG719" s="4"/>
      <c r="CH719" s="4"/>
      <c r="CI719" s="4"/>
      <c r="CJ719" s="4"/>
      <c r="CK719" s="3"/>
      <c r="CL719" s="3"/>
      <c r="CM719" s="4"/>
      <c r="CN719" s="4"/>
      <c r="CO719" s="4"/>
      <c r="CP719" s="4"/>
      <c r="CQ719" s="4"/>
      <c r="CR719" s="4"/>
      <c r="CS719" s="4"/>
      <c r="CT719" s="4"/>
      <c r="CU719" s="4"/>
      <c r="CV719" s="197"/>
      <c r="CW719" s="197"/>
      <c r="CX719" s="197"/>
      <c r="CY719" s="197"/>
      <c r="CZ719" s="4"/>
      <c r="DA719" s="1"/>
      <c r="DB719" s="1"/>
      <c r="DC719" s="1"/>
      <c r="DD719" s="99"/>
      <c r="DH719" s="105"/>
      <c r="DI719" s="105"/>
      <c r="DJ719" s="105"/>
      <c r="DK719" s="105"/>
      <c r="DL719" s="105"/>
      <c r="DM719" s="105"/>
      <c r="DN719" s="105"/>
      <c r="DO719" s="105"/>
      <c r="DP719" s="105"/>
      <c r="DQ719" s="105"/>
      <c r="DR719" s="105"/>
      <c r="DS719" s="105"/>
      <c r="DT719" s="105"/>
      <c r="DU719" s="105"/>
      <c r="DV719" s="105"/>
      <c r="DW719" s="105"/>
      <c r="DX719" s="105"/>
      <c r="DY719" s="105"/>
      <c r="DZ719" s="105"/>
      <c r="EA719" s="105"/>
      <c r="EB719" s="105"/>
      <c r="EC719" s="105"/>
      <c r="ED719" s="105"/>
      <c r="EE719" s="105"/>
      <c r="EF719" s="105"/>
      <c r="EG719" s="105"/>
      <c r="EH719" s="105"/>
      <c r="EI719" s="105"/>
      <c r="EJ719" s="105"/>
      <c r="EK719" s="105"/>
      <c r="EL719" s="105"/>
      <c r="EM719" s="105"/>
      <c r="EN719" s="105"/>
      <c r="EO719" s="105"/>
      <c r="EP719" s="105"/>
      <c r="EQ719" s="105"/>
      <c r="ER719" s="105"/>
      <c r="ES719" s="105"/>
      <c r="ET719" s="105"/>
      <c r="EU719" s="105"/>
      <c r="EV719" s="105"/>
      <c r="EW719" s="105"/>
      <c r="EX719" s="105"/>
      <c r="EY719" s="105"/>
      <c r="EZ719" s="105"/>
      <c r="FA719" s="105"/>
      <c r="FB719" s="105"/>
      <c r="FC719" s="105"/>
      <c r="FD719" s="105"/>
      <c r="FE719" s="105"/>
      <c r="FF719" s="105"/>
      <c r="FG719" s="105"/>
      <c r="FH719" s="105"/>
      <c r="FI719" s="105"/>
      <c r="FJ719" s="105"/>
      <c r="FK719" s="105"/>
      <c r="FL719" s="105"/>
      <c r="FM719" s="105"/>
      <c r="FN719" s="105"/>
      <c r="FO719" s="105"/>
      <c r="FP719" s="105"/>
      <c r="FQ719" s="105"/>
      <c r="FR719" s="105"/>
      <c r="FS719" s="105"/>
      <c r="FT719" s="105"/>
      <c r="FU719" s="105"/>
      <c r="FV719" s="105"/>
      <c r="FW719" s="105"/>
      <c r="FX719" s="105"/>
      <c r="FY719" s="105"/>
      <c r="FZ719" s="105"/>
      <c r="GA719" s="105"/>
      <c r="GB719" s="105"/>
      <c r="GC719" s="105"/>
      <c r="GD719" s="105"/>
      <c r="GE719" s="105"/>
      <c r="GF719" s="105"/>
      <c r="GG719" s="105"/>
      <c r="GH719" s="105"/>
    </row>
    <row r="720" spans="30:190" ht="6.95" customHeight="1" x14ac:dyDescent="0.15">
      <c r="AD720" s="56"/>
      <c r="AE720" s="3"/>
      <c r="AF720" s="197" t="str">
        <f>AF717</f>
        <v>D16</v>
      </c>
      <c r="AG720" s="197"/>
      <c r="AH720" s="197"/>
      <c r="AI720" s="197"/>
      <c r="AJ720" s="104"/>
      <c r="AK720" s="105"/>
      <c r="AL720" s="105"/>
      <c r="AM720" s="105"/>
      <c r="AN720" s="105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1"/>
      <c r="BI720" s="1"/>
      <c r="BJ720" s="96"/>
      <c r="BK720" s="96"/>
      <c r="BL720" s="96"/>
      <c r="BM720" s="96"/>
      <c r="BN720" s="110"/>
      <c r="BO720" s="1"/>
      <c r="BP720" s="99"/>
      <c r="BQ720" s="93"/>
      <c r="BR720" s="56"/>
      <c r="BS720" s="3"/>
      <c r="BT720" s="3"/>
      <c r="BU720" s="3"/>
      <c r="BV720" s="3"/>
      <c r="BW720" s="4"/>
      <c r="BX720" s="4"/>
      <c r="BY720" s="4"/>
      <c r="BZ720" s="4"/>
      <c r="CA720" s="88"/>
      <c r="CB720" s="88"/>
      <c r="CC720" s="88"/>
      <c r="CD720" s="88"/>
      <c r="CE720" s="88"/>
      <c r="CF720" s="88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1"/>
      <c r="DB720" s="1"/>
      <c r="DC720" s="1"/>
      <c r="DD720" s="99"/>
      <c r="DH720" s="105"/>
      <c r="DI720" s="105"/>
      <c r="DJ720" s="105"/>
      <c r="DK720" s="105"/>
      <c r="DL720" s="105"/>
      <c r="DM720" s="105"/>
      <c r="DN720" s="105"/>
      <c r="DO720" s="105"/>
      <c r="DP720" s="105"/>
      <c r="DQ720" s="105"/>
      <c r="DR720" s="105"/>
      <c r="DS720" s="105"/>
      <c r="DT720" s="105"/>
      <c r="DU720" s="105"/>
      <c r="DV720" s="105"/>
      <c r="DW720" s="105"/>
      <c r="DX720" s="105"/>
      <c r="DY720" s="105"/>
      <c r="DZ720" s="105"/>
      <c r="EA720" s="105"/>
      <c r="EB720" s="105"/>
      <c r="EC720" s="105"/>
      <c r="ED720" s="105"/>
      <c r="EE720" s="105"/>
      <c r="EF720" s="105"/>
      <c r="EG720" s="105"/>
      <c r="EH720" s="105"/>
      <c r="EI720" s="105"/>
      <c r="EJ720" s="105"/>
      <c r="EK720" s="105"/>
      <c r="EL720" s="105"/>
      <c r="EM720" s="105"/>
      <c r="EN720" s="105"/>
      <c r="EO720" s="105"/>
      <c r="EP720" s="105"/>
      <c r="EQ720" s="105"/>
      <c r="ER720" s="105"/>
      <c r="ES720" s="105"/>
      <c r="ET720" s="105"/>
      <c r="EU720" s="105"/>
      <c r="EV720" s="105"/>
      <c r="EW720" s="105"/>
      <c r="EX720" s="105"/>
      <c r="EY720" s="105"/>
      <c r="EZ720" s="105"/>
      <c r="FA720" s="105"/>
      <c r="FB720" s="105"/>
      <c r="FC720" s="105"/>
      <c r="FD720" s="105"/>
      <c r="FE720" s="105"/>
      <c r="FF720" s="105"/>
      <c r="FG720" s="105"/>
      <c r="FH720" s="105"/>
      <c r="FI720" s="105"/>
      <c r="FJ720" s="105"/>
      <c r="FK720" s="105"/>
      <c r="FL720" s="105"/>
      <c r="FM720" s="105"/>
      <c r="FN720" s="105"/>
      <c r="FO720" s="105"/>
      <c r="FP720" s="105"/>
      <c r="FQ720" s="105"/>
      <c r="FR720" s="105"/>
      <c r="FS720" s="105"/>
      <c r="FT720" s="105"/>
      <c r="FU720" s="105"/>
      <c r="FV720" s="105"/>
      <c r="FW720" s="105"/>
      <c r="FX720" s="105"/>
      <c r="FY720" s="105"/>
      <c r="FZ720" s="105"/>
      <c r="GA720" s="105"/>
      <c r="GB720" s="105"/>
      <c r="GC720" s="105"/>
      <c r="GD720" s="105"/>
      <c r="GE720" s="105"/>
      <c r="GF720" s="105"/>
      <c r="GG720" s="105"/>
      <c r="GH720" s="105"/>
    </row>
    <row r="721" spans="30:190" ht="6.95" customHeight="1" x14ac:dyDescent="0.15">
      <c r="AD721" s="56"/>
      <c r="AE721" s="3"/>
      <c r="AF721" s="197"/>
      <c r="AG721" s="197"/>
      <c r="AH721" s="197"/>
      <c r="AI721" s="197"/>
      <c r="AJ721" s="4"/>
      <c r="AK721" s="4"/>
      <c r="AL721" s="105"/>
      <c r="AM721" s="105"/>
      <c r="AN721" s="105"/>
      <c r="AO721" s="105"/>
      <c r="AP721" s="105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1"/>
      <c r="BI721" s="1"/>
      <c r="BJ721" s="1"/>
      <c r="BK721" s="1"/>
      <c r="BL721" s="110"/>
      <c r="BM721" s="110"/>
      <c r="BN721" s="110"/>
      <c r="BO721" s="1"/>
      <c r="BP721" s="99"/>
      <c r="BQ721" s="93"/>
      <c r="BR721" s="56"/>
      <c r="BS721" s="3"/>
      <c r="BT721" s="3"/>
      <c r="BU721" s="3"/>
      <c r="BV721" s="3"/>
      <c r="BW721" s="4"/>
      <c r="BX721" s="4"/>
      <c r="BY721" s="84"/>
      <c r="BZ721" s="84"/>
      <c r="CA721" s="88"/>
      <c r="CB721" s="88"/>
      <c r="CC721" s="196" t="s">
        <v>42</v>
      </c>
      <c r="CD721" s="196"/>
      <c r="CE721" s="196"/>
      <c r="CF721" s="196">
        <v>12</v>
      </c>
      <c r="CG721" s="196"/>
      <c r="CH721" s="196" t="s">
        <v>43</v>
      </c>
      <c r="CI721" s="196"/>
      <c r="CJ721" s="196"/>
      <c r="CK721" s="4"/>
      <c r="CL721" s="4"/>
      <c r="CM721" s="4"/>
      <c r="CN721" s="88"/>
      <c r="CO721" s="4"/>
      <c r="CP721" s="200">
        <f>CHOOSE(SUM(($BR$138&gt;={700,750})*1), 300,200)</f>
        <v>200</v>
      </c>
      <c r="CQ721" s="200"/>
      <c r="CR721" s="200"/>
      <c r="CS721" s="200"/>
      <c r="CT721" s="4"/>
      <c r="CU721" s="88"/>
      <c r="CV721" s="196" t="s">
        <v>42</v>
      </c>
      <c r="CW721" s="196"/>
      <c r="CX721" s="196"/>
      <c r="CY721" s="196">
        <v>2</v>
      </c>
      <c r="CZ721" s="196"/>
      <c r="DA721" s="196" t="s">
        <v>43</v>
      </c>
      <c r="DB721" s="196"/>
      <c r="DC721" s="196"/>
      <c r="DD721" s="99"/>
      <c r="DH721" s="105"/>
      <c r="DI721" s="105"/>
      <c r="DJ721" s="105"/>
      <c r="DK721" s="105"/>
      <c r="DL721" s="105"/>
      <c r="DM721" s="105"/>
      <c r="DN721" s="105"/>
      <c r="DO721" s="105"/>
      <c r="DP721" s="105"/>
      <c r="DQ721" s="105"/>
      <c r="DR721" s="105"/>
      <c r="DS721" s="105"/>
      <c r="DT721" s="105"/>
      <c r="DU721" s="105"/>
      <c r="DV721" s="105"/>
      <c r="DW721" s="105"/>
      <c r="DX721" s="105"/>
      <c r="DY721" s="105"/>
      <c r="DZ721" s="105"/>
      <c r="EA721" s="105"/>
      <c r="EB721" s="105"/>
      <c r="EC721" s="105"/>
      <c r="ED721" s="105"/>
      <c r="EE721" s="105"/>
      <c r="EF721" s="105"/>
      <c r="EG721" s="105"/>
      <c r="EH721" s="105"/>
      <c r="EI721" s="105"/>
      <c r="EJ721" s="105"/>
      <c r="EK721" s="105"/>
      <c r="EL721" s="105"/>
      <c r="EM721" s="105"/>
      <c r="EN721" s="105"/>
      <c r="EO721" s="105"/>
      <c r="EP721" s="105"/>
      <c r="EQ721" s="105"/>
      <c r="ER721" s="105"/>
      <c r="ES721" s="105"/>
      <c r="ET721" s="105"/>
      <c r="EU721" s="105"/>
      <c r="EV721" s="105"/>
      <c r="EW721" s="105"/>
      <c r="EX721" s="105"/>
      <c r="EY721" s="105"/>
      <c r="EZ721" s="105"/>
      <c r="FA721" s="105"/>
      <c r="FB721" s="105"/>
      <c r="FC721" s="105"/>
      <c r="FD721" s="105"/>
      <c r="FE721" s="105"/>
      <c r="FF721" s="105"/>
      <c r="FG721" s="105"/>
      <c r="FH721" s="105"/>
      <c r="FI721" s="105"/>
      <c r="FJ721" s="105"/>
      <c r="FK721" s="105"/>
      <c r="FL721" s="105"/>
      <c r="FM721" s="105"/>
      <c r="FN721" s="105"/>
      <c r="FO721" s="105"/>
      <c r="FP721" s="105"/>
      <c r="FQ721" s="105"/>
      <c r="FR721" s="105"/>
      <c r="FS721" s="105"/>
      <c r="FT721" s="105"/>
      <c r="FU721" s="105"/>
      <c r="FV721" s="105"/>
      <c r="FW721" s="105"/>
      <c r="FX721" s="105"/>
      <c r="FY721" s="105"/>
      <c r="FZ721" s="105"/>
      <c r="GA721" s="105"/>
      <c r="GB721" s="105"/>
      <c r="GC721" s="105"/>
      <c r="GD721" s="105"/>
      <c r="GE721" s="105"/>
      <c r="GF721" s="105"/>
      <c r="GG721" s="105"/>
      <c r="GH721" s="105"/>
    </row>
    <row r="722" spans="30:190" ht="6.95" customHeight="1" x14ac:dyDescent="0.15">
      <c r="AD722" s="56"/>
      <c r="AE722" s="3"/>
      <c r="AF722" s="106"/>
      <c r="AG722" s="106"/>
      <c r="AH722" s="106"/>
      <c r="AI722" s="106"/>
      <c r="AJ722" s="4"/>
      <c r="AK722" s="4"/>
      <c r="AL722" s="105"/>
      <c r="AM722" s="105"/>
      <c r="AN722" s="105"/>
      <c r="AO722" s="105"/>
      <c r="AP722" s="105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196" t="s">
        <v>42</v>
      </c>
      <c r="BI722" s="196"/>
      <c r="BJ722" s="196"/>
      <c r="BK722" s="196">
        <v>1</v>
      </c>
      <c r="BL722" s="196"/>
      <c r="BM722" s="196" t="s">
        <v>43</v>
      </c>
      <c r="BN722" s="196"/>
      <c r="BO722" s="196"/>
      <c r="BP722" s="99"/>
      <c r="BQ722" s="93"/>
      <c r="BR722" s="56"/>
      <c r="BS722" s="3"/>
      <c r="BT722" s="2"/>
      <c r="BU722" s="2"/>
      <c r="BV722" s="2"/>
      <c r="BW722" s="2"/>
      <c r="BX722" s="2"/>
      <c r="BY722" s="84"/>
      <c r="BZ722" s="84"/>
      <c r="CA722" s="88"/>
      <c r="CB722" s="88"/>
      <c r="CC722" s="196"/>
      <c r="CD722" s="196"/>
      <c r="CE722" s="196"/>
      <c r="CF722" s="196"/>
      <c r="CG722" s="196"/>
      <c r="CH722" s="196"/>
      <c r="CI722" s="196"/>
      <c r="CJ722" s="196"/>
      <c r="CK722" s="84"/>
      <c r="CL722" s="84"/>
      <c r="CM722" s="4"/>
      <c r="CN722" s="88"/>
      <c r="CO722" s="4"/>
      <c r="CP722" s="200"/>
      <c r="CQ722" s="200"/>
      <c r="CR722" s="200"/>
      <c r="CS722" s="200"/>
      <c r="CT722" s="4"/>
      <c r="CU722" s="88"/>
      <c r="CV722" s="196"/>
      <c r="CW722" s="196"/>
      <c r="CX722" s="196"/>
      <c r="CY722" s="196"/>
      <c r="CZ722" s="196"/>
      <c r="DA722" s="196"/>
      <c r="DB722" s="196"/>
      <c r="DC722" s="196"/>
      <c r="DD722" s="99"/>
      <c r="DH722" s="105"/>
      <c r="DI722" s="105"/>
      <c r="DJ722" s="105"/>
      <c r="DK722" s="105"/>
      <c r="DL722" s="105"/>
      <c r="DM722" s="105"/>
      <c r="DN722" s="105"/>
      <c r="DO722" s="105"/>
      <c r="DP722" s="105"/>
      <c r="DQ722" s="105"/>
      <c r="DR722" s="105"/>
      <c r="DS722" s="105"/>
      <c r="DT722" s="105"/>
      <c r="DU722" s="105"/>
      <c r="DV722" s="105"/>
      <c r="DW722" s="105"/>
      <c r="DX722" s="105"/>
      <c r="DY722" s="105"/>
      <c r="DZ722" s="105"/>
      <c r="EA722" s="105"/>
      <c r="EB722" s="105"/>
      <c r="EC722" s="105"/>
      <c r="ED722" s="105"/>
      <c r="EE722" s="105"/>
      <c r="EF722" s="105"/>
      <c r="EG722" s="105"/>
      <c r="EH722" s="105"/>
      <c r="EI722" s="105"/>
      <c r="EJ722" s="105"/>
      <c r="EK722" s="105"/>
      <c r="EL722" s="105"/>
      <c r="EM722" s="105"/>
      <c r="EN722" s="105"/>
      <c r="EO722" s="105"/>
      <c r="EP722" s="105"/>
      <c r="EQ722" s="105"/>
      <c r="ER722" s="105"/>
      <c r="ES722" s="105"/>
      <c r="ET722" s="105"/>
      <c r="EU722" s="105"/>
      <c r="EV722" s="105"/>
      <c r="EW722" s="105"/>
      <c r="EX722" s="105"/>
      <c r="EY722" s="105"/>
      <c r="EZ722" s="105"/>
      <c r="FA722" s="105"/>
      <c r="FB722" s="105"/>
      <c r="FC722" s="105"/>
      <c r="FD722" s="105"/>
      <c r="FE722" s="105"/>
      <c r="FF722" s="105"/>
      <c r="FG722" s="105"/>
      <c r="FH722" s="105"/>
      <c r="FI722" s="105"/>
      <c r="FJ722" s="105"/>
      <c r="FK722" s="105"/>
      <c r="FL722" s="105"/>
      <c r="FM722" s="105"/>
      <c r="FN722" s="105"/>
      <c r="FO722" s="105"/>
      <c r="FP722" s="105"/>
      <c r="FQ722" s="105"/>
      <c r="FR722" s="105"/>
      <c r="FS722" s="105"/>
      <c r="FT722" s="105"/>
      <c r="FU722" s="105"/>
      <c r="FV722" s="105"/>
      <c r="FW722" s="105"/>
      <c r="FX722" s="105"/>
      <c r="FY722" s="105"/>
      <c r="FZ722" s="105"/>
      <c r="GA722" s="105"/>
      <c r="GB722" s="105"/>
      <c r="GC722" s="105"/>
      <c r="GD722" s="105"/>
      <c r="GE722" s="105"/>
      <c r="GF722" s="105"/>
      <c r="GG722" s="105"/>
      <c r="GH722" s="105"/>
    </row>
    <row r="723" spans="30:190" ht="6.95" customHeight="1" x14ac:dyDescent="0.15">
      <c r="AD723" s="56"/>
      <c r="AE723" s="3"/>
      <c r="AF723" s="3"/>
      <c r="AG723" s="3"/>
      <c r="AH723" s="105"/>
      <c r="AI723" s="105"/>
      <c r="AJ723" s="105"/>
      <c r="AK723" s="105"/>
      <c r="AL723" s="4"/>
      <c r="AM723" s="4"/>
      <c r="AN723" s="4"/>
      <c r="AO723" s="103"/>
      <c r="AP723" s="103"/>
      <c r="AQ723" s="103"/>
      <c r="AR723" s="103"/>
      <c r="AS723" s="103"/>
      <c r="AT723" s="103"/>
      <c r="AU723" s="103"/>
      <c r="AV723" s="103"/>
      <c r="AW723" s="103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196"/>
      <c r="BI723" s="196"/>
      <c r="BJ723" s="196"/>
      <c r="BK723" s="196"/>
      <c r="BL723" s="196"/>
      <c r="BM723" s="196"/>
      <c r="BN723" s="196"/>
      <c r="BO723" s="196"/>
      <c r="BP723" s="99"/>
      <c r="BQ723" s="93"/>
      <c r="BR723" s="52"/>
      <c r="BS723" s="2"/>
      <c r="BT723" s="2"/>
      <c r="BU723" s="2"/>
      <c r="BV723" s="2"/>
      <c r="BW723" s="2"/>
      <c r="BX723" s="2"/>
      <c r="BY723" s="84"/>
      <c r="BZ723" s="84"/>
      <c r="CA723" s="88"/>
      <c r="CB723" s="88"/>
      <c r="CC723" s="103"/>
      <c r="CD723" s="103"/>
      <c r="CE723" s="103"/>
      <c r="CF723" s="103"/>
      <c r="CG723" s="103"/>
      <c r="CH723" s="103"/>
      <c r="CI723" s="103"/>
      <c r="CJ723" s="103"/>
      <c r="CK723" s="84"/>
      <c r="CL723" s="84"/>
      <c r="CM723" s="4"/>
      <c r="CN723" s="88"/>
      <c r="CO723" s="4"/>
      <c r="CP723" s="107"/>
      <c r="CQ723" s="107"/>
      <c r="CR723" s="107"/>
      <c r="CS723" s="107"/>
      <c r="CT723" s="4"/>
      <c r="CU723" s="88"/>
      <c r="CV723" s="103"/>
      <c r="CW723" s="103"/>
      <c r="CX723" s="103"/>
      <c r="CY723" s="103"/>
      <c r="CZ723" s="103"/>
      <c r="DA723" s="103"/>
      <c r="DB723" s="103"/>
      <c r="DC723" s="103"/>
      <c r="DD723" s="99"/>
      <c r="DH723" s="105"/>
      <c r="DI723" s="105"/>
      <c r="DJ723" s="105"/>
      <c r="DK723" s="105"/>
      <c r="DL723" s="105"/>
      <c r="DM723" s="105"/>
      <c r="DN723" s="105"/>
      <c r="DO723" s="105"/>
      <c r="DP723" s="105"/>
      <c r="DQ723" s="105"/>
      <c r="DR723" s="105"/>
      <c r="DS723" s="105"/>
      <c r="DT723" s="105"/>
      <c r="DU723" s="105"/>
      <c r="DV723" s="105"/>
      <c r="DW723" s="105"/>
      <c r="DX723" s="105"/>
      <c r="DY723" s="105"/>
      <c r="DZ723" s="105"/>
      <c r="EA723" s="105"/>
      <c r="EB723" s="105"/>
      <c r="EC723" s="105"/>
      <c r="ED723" s="105"/>
      <c r="EE723" s="105"/>
      <c r="EF723" s="105"/>
      <c r="EG723" s="105"/>
      <c r="EH723" s="105"/>
      <c r="EI723" s="105"/>
      <c r="EJ723" s="105"/>
      <c r="EK723" s="105"/>
      <c r="EL723" s="105"/>
      <c r="EM723" s="105"/>
      <c r="EN723" s="105"/>
      <c r="EO723" s="105"/>
      <c r="EP723" s="105"/>
      <c r="EQ723" s="105"/>
      <c r="ER723" s="105"/>
      <c r="ES723" s="105"/>
      <c r="ET723" s="105"/>
      <c r="EU723" s="105"/>
      <c r="EV723" s="105"/>
      <c r="EW723" s="105"/>
      <c r="EX723" s="105"/>
      <c r="EY723" s="105"/>
      <c r="EZ723" s="105"/>
      <c r="FA723" s="105"/>
      <c r="FB723" s="105"/>
      <c r="FC723" s="105"/>
      <c r="FD723" s="105"/>
      <c r="FE723" s="105"/>
      <c r="FF723" s="105"/>
      <c r="FG723" s="105"/>
      <c r="FH723" s="105"/>
      <c r="FI723" s="105"/>
      <c r="FJ723" s="105"/>
      <c r="FK723" s="105"/>
      <c r="FL723" s="105"/>
      <c r="FM723" s="105"/>
      <c r="FN723" s="105"/>
      <c r="FO723" s="105"/>
      <c r="FP723" s="105"/>
      <c r="FQ723" s="105"/>
      <c r="FR723" s="105"/>
      <c r="FS723" s="105"/>
      <c r="FT723" s="105"/>
      <c r="FU723" s="105"/>
      <c r="FV723" s="105"/>
      <c r="FW723" s="105"/>
      <c r="FX723" s="105"/>
      <c r="FY723" s="105"/>
      <c r="FZ723" s="105"/>
      <c r="GA723" s="105"/>
      <c r="GB723" s="105"/>
      <c r="GC723" s="105"/>
      <c r="GD723" s="105"/>
      <c r="GE723" s="105"/>
      <c r="GF723" s="105"/>
      <c r="GG723" s="105"/>
      <c r="GH723" s="105"/>
    </row>
    <row r="724" spans="30:190" ht="6.95" customHeight="1" x14ac:dyDescent="0.15">
      <c r="AD724" s="56"/>
      <c r="AE724" s="3"/>
      <c r="AF724" s="189"/>
      <c r="AG724" s="189"/>
      <c r="AH724" s="189"/>
      <c r="AI724" s="189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1"/>
      <c r="BI724" s="1"/>
      <c r="BJ724" s="1"/>
      <c r="BK724" s="1"/>
      <c r="BL724" s="1"/>
      <c r="BM724" s="1"/>
      <c r="BN724" s="1"/>
      <c r="BO724" s="1"/>
      <c r="BP724" s="99"/>
      <c r="BQ724" s="93"/>
      <c r="BR724" s="56"/>
      <c r="BS724" s="3"/>
      <c r="BT724" s="3"/>
      <c r="BU724" s="3"/>
      <c r="BV724" s="3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1"/>
      <c r="CW724" s="1"/>
      <c r="CX724" s="1"/>
      <c r="CY724" s="1"/>
      <c r="CZ724" s="1"/>
      <c r="DA724" s="1"/>
      <c r="DB724" s="1"/>
      <c r="DC724" s="1"/>
      <c r="DD724" s="99"/>
      <c r="DH724" s="105"/>
      <c r="DI724" s="105"/>
      <c r="DJ724" s="105"/>
      <c r="DK724" s="105"/>
      <c r="DL724" s="105"/>
      <c r="DM724" s="105"/>
      <c r="DN724" s="105"/>
      <c r="DO724" s="105"/>
      <c r="DP724" s="105"/>
      <c r="DQ724" s="105"/>
      <c r="DR724" s="105"/>
      <c r="DS724" s="105"/>
      <c r="DT724" s="105"/>
      <c r="DU724" s="105"/>
      <c r="DV724" s="105"/>
      <c r="DW724" s="105"/>
      <c r="DX724" s="105"/>
      <c r="DY724" s="105"/>
      <c r="DZ724" s="105"/>
      <c r="EA724" s="105"/>
      <c r="EB724" s="105"/>
      <c r="EC724" s="105"/>
      <c r="ED724" s="105"/>
      <c r="EE724" s="105"/>
      <c r="EF724" s="105"/>
      <c r="EG724" s="105"/>
      <c r="EH724" s="105"/>
      <c r="EI724" s="105"/>
      <c r="EJ724" s="105"/>
      <c r="EK724" s="105"/>
      <c r="EL724" s="105"/>
      <c r="EM724" s="105"/>
      <c r="EN724" s="105"/>
      <c r="EO724" s="105"/>
      <c r="EP724" s="105"/>
      <c r="EQ724" s="105"/>
      <c r="ER724" s="105"/>
      <c r="ES724" s="105"/>
      <c r="ET724" s="105"/>
      <c r="EU724" s="105"/>
      <c r="EV724" s="105"/>
      <c r="EW724" s="105"/>
      <c r="EX724" s="105"/>
      <c r="EY724" s="105"/>
      <c r="EZ724" s="105"/>
      <c r="FA724" s="105"/>
      <c r="FB724" s="105"/>
      <c r="FC724" s="105"/>
      <c r="FD724" s="105"/>
      <c r="FE724" s="105"/>
      <c r="FF724" s="105"/>
      <c r="FG724" s="105"/>
      <c r="FH724" s="105"/>
      <c r="FI724" s="105"/>
      <c r="FJ724" s="105"/>
      <c r="FK724" s="105"/>
      <c r="FL724" s="105"/>
      <c r="FM724" s="105"/>
      <c r="FN724" s="105"/>
      <c r="FO724" s="105"/>
      <c r="FP724" s="105"/>
      <c r="FQ724" s="105"/>
      <c r="FR724" s="105"/>
      <c r="FS724" s="105"/>
      <c r="FT724" s="105"/>
      <c r="FU724" s="105"/>
      <c r="FV724" s="105"/>
      <c r="FW724" s="105"/>
      <c r="FX724" s="105"/>
      <c r="FY724" s="105"/>
      <c r="FZ724" s="105"/>
      <c r="GA724" s="105"/>
      <c r="GB724" s="105"/>
      <c r="GC724" s="105"/>
      <c r="GD724" s="105"/>
      <c r="GE724" s="105"/>
      <c r="GF724" s="105"/>
      <c r="GG724" s="105"/>
      <c r="GH724" s="105"/>
    </row>
    <row r="725" spans="30:190" ht="6.95" customHeight="1" x14ac:dyDescent="0.15">
      <c r="AD725" s="52"/>
      <c r="AE725" s="189"/>
      <c r="AF725" s="189"/>
      <c r="AG725" s="189"/>
      <c r="AH725" s="189"/>
      <c r="AI725" s="189"/>
      <c r="AJ725" s="189"/>
      <c r="AK725" s="84"/>
      <c r="AL725" s="84"/>
      <c r="AM725" s="88"/>
      <c r="AN725" s="88"/>
      <c r="AO725" s="103"/>
      <c r="AP725" s="103"/>
      <c r="AQ725" s="103"/>
      <c r="AR725" s="103"/>
      <c r="AS725" s="103"/>
      <c r="AT725" s="103"/>
      <c r="AU725" s="103"/>
      <c r="AV725" s="103"/>
      <c r="AW725" s="84"/>
      <c r="AX725" s="84"/>
      <c r="AY725" s="4"/>
      <c r="AZ725" s="4"/>
      <c r="BA725" s="4"/>
      <c r="BB725" s="4"/>
      <c r="BC725" s="4"/>
      <c r="BD725" s="4"/>
      <c r="BE725" s="4"/>
      <c r="BF725" s="4"/>
      <c r="BG725" s="4"/>
      <c r="BH725" s="1"/>
      <c r="BI725" s="1"/>
      <c r="BJ725" s="1"/>
      <c r="BK725" s="1"/>
      <c r="BL725" s="1"/>
      <c r="BM725" s="1"/>
      <c r="BN725" s="1"/>
      <c r="BO725" s="1"/>
      <c r="BP725" s="99"/>
      <c r="BQ725" s="93"/>
      <c r="BR725" s="56"/>
      <c r="BS725" s="3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3"/>
      <c r="CE725" s="103"/>
      <c r="CF725" s="103"/>
      <c r="CG725" s="103"/>
      <c r="CH725" s="103"/>
      <c r="CI725" s="103"/>
      <c r="CJ725" s="103"/>
      <c r="CK725" s="103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1"/>
      <c r="CW725" s="1"/>
      <c r="CX725" s="1"/>
      <c r="CY725" s="1"/>
      <c r="CZ725" s="1"/>
      <c r="DA725" s="1"/>
      <c r="DB725" s="1"/>
      <c r="DC725" s="1"/>
      <c r="DD725" s="99"/>
      <c r="DH725" s="105"/>
      <c r="DI725" s="105"/>
      <c r="DJ725" s="105"/>
      <c r="DK725" s="105"/>
      <c r="DL725" s="105"/>
      <c r="DM725" s="105"/>
      <c r="DN725" s="105"/>
      <c r="DO725" s="105"/>
      <c r="DP725" s="105"/>
      <c r="DQ725" s="105"/>
      <c r="DR725" s="105"/>
      <c r="DS725" s="105"/>
      <c r="DT725" s="105"/>
      <c r="DU725" s="105"/>
      <c r="DV725" s="105"/>
      <c r="DW725" s="105"/>
      <c r="DX725" s="105"/>
      <c r="DY725" s="105"/>
      <c r="DZ725" s="105"/>
      <c r="EA725" s="105"/>
      <c r="EB725" s="105"/>
      <c r="EC725" s="105"/>
      <c r="ED725" s="105"/>
      <c r="EE725" s="105"/>
      <c r="EF725" s="105"/>
      <c r="EG725" s="105"/>
      <c r="EH725" s="105"/>
      <c r="EI725" s="105"/>
      <c r="EJ725" s="105"/>
      <c r="EK725" s="105"/>
      <c r="EL725" s="105"/>
      <c r="EM725" s="105"/>
      <c r="EN725" s="105"/>
      <c r="EO725" s="105"/>
      <c r="EP725" s="105"/>
      <c r="EQ725" s="105"/>
      <c r="ER725" s="105"/>
      <c r="ES725" s="105"/>
      <c r="ET725" s="105"/>
      <c r="EU725" s="105"/>
      <c r="EV725" s="105"/>
      <c r="EW725" s="105"/>
      <c r="EX725" s="105"/>
      <c r="EY725" s="105"/>
      <c r="EZ725" s="105"/>
      <c r="FA725" s="105"/>
      <c r="FB725" s="105"/>
      <c r="FC725" s="105"/>
      <c r="FD725" s="105"/>
      <c r="FE725" s="105"/>
      <c r="FF725" s="105"/>
      <c r="FG725" s="105"/>
      <c r="FH725" s="105"/>
      <c r="FI725" s="105"/>
      <c r="FJ725" s="105"/>
      <c r="FK725" s="105"/>
      <c r="FL725" s="105"/>
      <c r="FM725" s="105"/>
      <c r="FN725" s="105"/>
      <c r="FO725" s="105"/>
      <c r="FP725" s="105"/>
      <c r="FQ725" s="105"/>
      <c r="FR725" s="105"/>
      <c r="FS725" s="105"/>
      <c r="FT725" s="105"/>
      <c r="FU725" s="105"/>
      <c r="FV725" s="105"/>
      <c r="FW725" s="105"/>
      <c r="FX725" s="105"/>
      <c r="FY725" s="105"/>
      <c r="FZ725" s="105"/>
      <c r="GA725" s="105"/>
      <c r="GB725" s="105"/>
      <c r="GC725" s="105"/>
      <c r="GD725" s="105"/>
      <c r="GE725" s="105"/>
      <c r="GF725" s="105"/>
      <c r="GG725" s="105"/>
      <c r="GH725" s="105"/>
    </row>
    <row r="726" spans="30:190" ht="6.95" customHeight="1" x14ac:dyDescent="0.15">
      <c r="AD726" s="56"/>
      <c r="AE726" s="3"/>
      <c r="AF726" s="189"/>
      <c r="AG726" s="189"/>
      <c r="AH726" s="189"/>
      <c r="AI726" s="189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1"/>
      <c r="BI726" s="1"/>
      <c r="BJ726" s="1"/>
      <c r="BK726" s="1"/>
      <c r="BL726" s="1"/>
      <c r="BM726" s="1"/>
      <c r="BN726" s="1"/>
      <c r="BO726" s="1"/>
      <c r="BP726" s="99"/>
      <c r="BQ726" s="93"/>
      <c r="BR726" s="56"/>
      <c r="BS726" s="3"/>
      <c r="BT726" s="107"/>
      <c r="BU726" s="107"/>
      <c r="BV726" s="107"/>
      <c r="BW726" s="107"/>
      <c r="BX726" s="106"/>
      <c r="BY726" s="106"/>
      <c r="BZ726" s="106"/>
      <c r="CA726" s="106"/>
      <c r="CB726" s="106"/>
      <c r="CC726" s="106"/>
      <c r="CD726" s="103"/>
      <c r="CE726" s="103"/>
      <c r="CF726" s="103"/>
      <c r="CG726" s="103"/>
      <c r="CH726" s="103"/>
      <c r="CI726" s="103"/>
      <c r="CJ726" s="103"/>
      <c r="CK726" s="103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1"/>
      <c r="CW726" s="1"/>
      <c r="CX726" s="1"/>
      <c r="CY726" s="1"/>
      <c r="CZ726" s="1"/>
      <c r="DA726" s="1"/>
      <c r="DB726" s="1"/>
      <c r="DC726" s="1"/>
      <c r="DD726" s="99"/>
      <c r="DH726" s="105"/>
      <c r="DI726" s="105"/>
      <c r="DJ726" s="105"/>
      <c r="DK726" s="105"/>
      <c r="DL726" s="105"/>
      <c r="DM726" s="105"/>
      <c r="DN726" s="105"/>
      <c r="DO726" s="105"/>
      <c r="DP726" s="105"/>
      <c r="DQ726" s="105"/>
      <c r="DR726" s="105"/>
      <c r="DS726" s="105"/>
      <c r="DT726" s="105"/>
      <c r="DU726" s="105"/>
      <c r="DV726" s="105"/>
      <c r="DW726" s="105"/>
      <c r="DX726" s="105"/>
      <c r="DY726" s="105"/>
      <c r="DZ726" s="105"/>
      <c r="EA726" s="105"/>
      <c r="EB726" s="105"/>
      <c r="EC726" s="105"/>
      <c r="ED726" s="105"/>
      <c r="EE726" s="105"/>
      <c r="EF726" s="105"/>
      <c r="EG726" s="105"/>
      <c r="EH726" s="105"/>
      <c r="EI726" s="105"/>
      <c r="EJ726" s="105"/>
      <c r="EK726" s="105"/>
      <c r="EL726" s="105"/>
      <c r="EM726" s="105"/>
      <c r="EN726" s="105"/>
      <c r="EO726" s="105"/>
      <c r="EP726" s="105"/>
      <c r="EQ726" s="105"/>
      <c r="ER726" s="105"/>
      <c r="ES726" s="105"/>
      <c r="ET726" s="105"/>
      <c r="EU726" s="105"/>
      <c r="EV726" s="105"/>
      <c r="EW726" s="105"/>
      <c r="EX726" s="105"/>
      <c r="EY726" s="105"/>
      <c r="EZ726" s="105"/>
      <c r="FA726" s="105"/>
      <c r="FB726" s="105"/>
      <c r="FC726" s="105"/>
      <c r="FD726" s="105"/>
      <c r="FE726" s="105"/>
      <c r="FF726" s="105"/>
      <c r="FG726" s="105"/>
      <c r="FH726" s="105"/>
      <c r="FI726" s="105"/>
      <c r="FJ726" s="105"/>
      <c r="FK726" s="105"/>
      <c r="FL726" s="105"/>
      <c r="FM726" s="105"/>
      <c r="FN726" s="105"/>
      <c r="FO726" s="105"/>
      <c r="FP726" s="105"/>
      <c r="FQ726" s="105"/>
      <c r="FR726" s="105"/>
      <c r="FS726" s="105"/>
      <c r="FT726" s="105"/>
      <c r="FU726" s="105"/>
      <c r="FV726" s="105"/>
      <c r="FW726" s="105"/>
      <c r="FX726" s="105"/>
      <c r="FY726" s="105"/>
      <c r="FZ726" s="105"/>
      <c r="GA726" s="105"/>
      <c r="GB726" s="105"/>
      <c r="GC726" s="105"/>
      <c r="GD726" s="105"/>
      <c r="GE726" s="105"/>
      <c r="GF726" s="105"/>
      <c r="GG726" s="105"/>
      <c r="GH726" s="105"/>
    </row>
    <row r="727" spans="30:190" ht="6.95" customHeight="1" x14ac:dyDescent="0.15">
      <c r="AD727" s="56"/>
      <c r="AE727" s="3"/>
      <c r="AF727" s="189"/>
      <c r="AG727" s="189"/>
      <c r="AH727" s="189"/>
      <c r="AI727" s="189"/>
      <c r="AJ727" s="106"/>
      <c r="AK727" s="106"/>
      <c r="AL727" s="106"/>
      <c r="AM727" s="106"/>
      <c r="AN727" s="106"/>
      <c r="AO727" s="106"/>
      <c r="AP727" s="103"/>
      <c r="AQ727" s="103"/>
      <c r="AR727" s="103"/>
      <c r="AS727" s="103"/>
      <c r="AT727" s="103"/>
      <c r="AU727" s="103"/>
      <c r="AV727" s="103"/>
      <c r="AW727" s="103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1"/>
      <c r="BI727" s="1"/>
      <c r="BJ727" s="1"/>
      <c r="BK727" s="1"/>
      <c r="BL727" s="1"/>
      <c r="BM727" s="1"/>
      <c r="BN727" s="1"/>
      <c r="BO727" s="1"/>
      <c r="BP727" s="147"/>
      <c r="BQ727" s="93"/>
      <c r="BR727" s="56"/>
      <c r="BS727" s="3"/>
      <c r="BT727" s="193" t="s">
        <v>44</v>
      </c>
      <c r="BU727" s="193"/>
      <c r="BV727" s="193"/>
      <c r="BW727" s="193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1"/>
      <c r="CW727" s="1"/>
      <c r="CX727" s="199">
        <f>CHOOSE(SUM((BR685&gt;={700,750,800,850,900,950})*1), 140,190,240,290,340,390)</f>
        <v>190</v>
      </c>
      <c r="CY727" s="199"/>
      <c r="CZ727" s="199"/>
      <c r="DA727" s="199"/>
      <c r="DB727" s="1"/>
      <c r="DC727" s="1"/>
      <c r="DD727" s="99"/>
      <c r="DH727" s="105"/>
      <c r="DI727" s="105"/>
      <c r="DJ727" s="105"/>
      <c r="DK727" s="105"/>
      <c r="DL727" s="105"/>
      <c r="DM727" s="105"/>
      <c r="DN727" s="105"/>
      <c r="DO727" s="105"/>
      <c r="DP727" s="105"/>
      <c r="DQ727" s="105"/>
      <c r="DR727" s="105"/>
      <c r="DS727" s="105"/>
      <c r="DT727" s="105"/>
      <c r="DU727" s="105"/>
      <c r="DV727" s="105"/>
      <c r="DW727" s="105"/>
      <c r="DX727" s="105"/>
      <c r="DY727" s="105"/>
      <c r="DZ727" s="105"/>
      <c r="EA727" s="105"/>
      <c r="EB727" s="105"/>
      <c r="EC727" s="105"/>
      <c r="ED727" s="105"/>
      <c r="EE727" s="105"/>
      <c r="EF727" s="105"/>
      <c r="EG727" s="105"/>
      <c r="EH727" s="105"/>
      <c r="EI727" s="105"/>
      <c r="EJ727" s="105"/>
      <c r="EK727" s="105"/>
      <c r="EL727" s="105"/>
      <c r="EM727" s="105"/>
      <c r="EN727" s="105"/>
      <c r="EO727" s="105"/>
      <c r="EP727" s="105"/>
      <c r="EQ727" s="105"/>
      <c r="ER727" s="105"/>
      <c r="ES727" s="105"/>
      <c r="ET727" s="105"/>
      <c r="EU727" s="105"/>
      <c r="EV727" s="105"/>
      <c r="EW727" s="105"/>
      <c r="EX727" s="105"/>
      <c r="EY727" s="105"/>
      <c r="EZ727" s="105"/>
      <c r="FA727" s="105"/>
      <c r="FB727" s="105"/>
      <c r="FC727" s="105"/>
      <c r="FD727" s="105"/>
      <c r="FE727" s="105"/>
      <c r="FF727" s="105"/>
      <c r="FG727" s="105"/>
      <c r="FH727" s="105"/>
      <c r="FI727" s="105"/>
      <c r="FJ727" s="105"/>
      <c r="FK727" s="105"/>
      <c r="FL727" s="105"/>
      <c r="FM727" s="105"/>
      <c r="FN727" s="105"/>
      <c r="FO727" s="105"/>
      <c r="FP727" s="105"/>
      <c r="FQ727" s="105"/>
      <c r="FR727" s="105"/>
      <c r="FS727" s="105"/>
      <c r="FT727" s="105"/>
      <c r="FU727" s="105"/>
      <c r="FV727" s="105"/>
      <c r="FW727" s="105"/>
      <c r="FX727" s="105"/>
      <c r="FY727" s="105"/>
      <c r="FZ727" s="105"/>
      <c r="GA727" s="105"/>
      <c r="GB727" s="105"/>
      <c r="GC727" s="105"/>
      <c r="GD727" s="105"/>
      <c r="GE727" s="105"/>
      <c r="GF727" s="105"/>
      <c r="GG727" s="105"/>
      <c r="GH727" s="105"/>
    </row>
    <row r="728" spans="30:190" ht="6.95" customHeight="1" x14ac:dyDescent="0.15">
      <c r="AD728" s="56"/>
      <c r="AE728" s="3"/>
      <c r="AF728" s="189"/>
      <c r="AG728" s="189"/>
      <c r="AH728" s="189"/>
      <c r="AI728" s="189"/>
      <c r="AJ728" s="106"/>
      <c r="AK728" s="106"/>
      <c r="AL728" s="106"/>
      <c r="AM728" s="106"/>
      <c r="AN728" s="106"/>
      <c r="AO728" s="106"/>
      <c r="AP728" s="103"/>
      <c r="AQ728" s="103"/>
      <c r="AR728" s="103"/>
      <c r="AS728" s="103"/>
      <c r="AT728" s="103"/>
      <c r="AU728" s="103"/>
      <c r="AV728" s="103"/>
      <c r="AW728" s="103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1"/>
      <c r="BI728" s="1"/>
      <c r="BJ728" s="1"/>
      <c r="BK728" s="1"/>
      <c r="BL728" s="1"/>
      <c r="BM728" s="1"/>
      <c r="BN728" s="1"/>
      <c r="BO728" s="1"/>
      <c r="BP728" s="147"/>
      <c r="BQ728" s="93"/>
      <c r="BR728" s="56"/>
      <c r="BS728" s="3"/>
      <c r="BT728" s="193"/>
      <c r="BU728" s="193"/>
      <c r="BV728" s="193"/>
      <c r="BW728" s="193"/>
      <c r="BX728" s="104"/>
      <c r="BY728" s="105"/>
      <c r="BZ728" s="105"/>
      <c r="CA728" s="105"/>
      <c r="CB728" s="105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1"/>
      <c r="CW728" s="1"/>
      <c r="CX728" s="199"/>
      <c r="CY728" s="199"/>
      <c r="CZ728" s="199"/>
      <c r="DA728" s="199"/>
      <c r="DB728" s="1"/>
      <c r="DC728" s="1"/>
      <c r="DD728" s="99"/>
      <c r="DH728" s="105"/>
      <c r="DI728" s="105"/>
      <c r="DJ728" s="105"/>
      <c r="DK728" s="105"/>
      <c r="DL728" s="105"/>
      <c r="DM728" s="105"/>
      <c r="DN728" s="105"/>
      <c r="DO728" s="105"/>
      <c r="DP728" s="105"/>
      <c r="DQ728" s="105"/>
      <c r="DR728" s="105"/>
      <c r="DS728" s="105"/>
      <c r="DT728" s="105"/>
      <c r="DU728" s="105"/>
      <c r="DV728" s="105"/>
      <c r="DW728" s="105"/>
      <c r="DX728" s="105"/>
      <c r="DY728" s="105"/>
      <c r="DZ728" s="105"/>
      <c r="EA728" s="105"/>
      <c r="EB728" s="105"/>
      <c r="EC728" s="105"/>
      <c r="ED728" s="105"/>
      <c r="EE728" s="105"/>
      <c r="EF728" s="105"/>
      <c r="EG728" s="105"/>
      <c r="EH728" s="105"/>
      <c r="EI728" s="105"/>
      <c r="EJ728" s="105"/>
      <c r="EK728" s="105"/>
      <c r="EL728" s="105"/>
      <c r="EM728" s="105"/>
      <c r="EN728" s="105"/>
      <c r="EO728" s="105"/>
      <c r="EP728" s="105"/>
      <c r="EQ728" s="105"/>
      <c r="ER728" s="105"/>
      <c r="ES728" s="105"/>
      <c r="ET728" s="105"/>
      <c r="EU728" s="105"/>
      <c r="EV728" s="105"/>
      <c r="EW728" s="105"/>
      <c r="EX728" s="105"/>
      <c r="EY728" s="105"/>
      <c r="EZ728" s="105"/>
      <c r="FA728" s="105"/>
      <c r="FB728" s="105"/>
      <c r="FC728" s="105"/>
      <c r="FD728" s="105"/>
      <c r="FE728" s="105"/>
      <c r="FF728" s="105"/>
      <c r="FG728" s="105"/>
      <c r="FH728" s="105"/>
      <c r="FI728" s="105"/>
      <c r="FJ728" s="105"/>
      <c r="FK728" s="105"/>
      <c r="FL728" s="105"/>
      <c r="FM728" s="105"/>
      <c r="FN728" s="105"/>
      <c r="FO728" s="105"/>
      <c r="FP728" s="105"/>
      <c r="FQ728" s="105"/>
      <c r="FR728" s="105"/>
      <c r="FS728" s="105"/>
      <c r="FT728" s="105"/>
      <c r="FU728" s="105"/>
      <c r="FV728" s="105"/>
      <c r="FW728" s="105"/>
      <c r="FX728" s="105"/>
      <c r="FY728" s="105"/>
      <c r="FZ728" s="105"/>
      <c r="GA728" s="105"/>
      <c r="GB728" s="105"/>
      <c r="GC728" s="105"/>
      <c r="GD728" s="105"/>
      <c r="GE728" s="105"/>
      <c r="GF728" s="105"/>
      <c r="GG728" s="105"/>
      <c r="GH728" s="105"/>
    </row>
    <row r="729" spans="30:190" ht="6.95" customHeight="1" x14ac:dyDescent="0.15">
      <c r="AD729" s="56"/>
      <c r="AE729" s="3"/>
      <c r="AF729" s="193" t="s">
        <v>44</v>
      </c>
      <c r="AG729" s="193"/>
      <c r="AH729" s="193"/>
      <c r="AI729" s="193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1"/>
      <c r="BI729" s="1"/>
      <c r="BJ729" s="199">
        <f>CHOOSE(SUM((AD685&gt;={700,750,800,850,900,950})*1), 140,190,240,290,340,390)</f>
        <v>190</v>
      </c>
      <c r="BK729" s="199"/>
      <c r="BL729" s="199"/>
      <c r="BM729" s="199"/>
      <c r="BN729" s="1"/>
      <c r="BO729" s="1"/>
      <c r="BP729" s="147"/>
      <c r="BQ729" s="93"/>
      <c r="BR729" s="56"/>
      <c r="BS729" s="3"/>
      <c r="BT729" s="2"/>
      <c r="BU729" s="2"/>
      <c r="BV729" s="2"/>
      <c r="BW729" s="2"/>
      <c r="BX729" s="104"/>
      <c r="BY729" s="105"/>
      <c r="BZ729" s="105"/>
      <c r="CA729" s="105"/>
      <c r="CB729" s="105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1"/>
      <c r="CW729" s="1"/>
      <c r="CX729" s="96"/>
      <c r="CY729" s="96"/>
      <c r="CZ729" s="96"/>
      <c r="DA729" s="96"/>
      <c r="DB729" s="110"/>
      <c r="DC729" s="1"/>
      <c r="DD729" s="99"/>
      <c r="DH729" s="105"/>
      <c r="DI729" s="105"/>
      <c r="DJ729" s="105"/>
      <c r="DK729" s="105"/>
      <c r="DL729" s="105"/>
      <c r="DM729" s="105"/>
      <c r="DN729" s="105"/>
      <c r="DO729" s="105"/>
      <c r="DP729" s="105"/>
      <c r="DQ729" s="105"/>
      <c r="DR729" s="105"/>
      <c r="DS729" s="105"/>
      <c r="DT729" s="105"/>
      <c r="DU729" s="105"/>
      <c r="DV729" s="105"/>
      <c r="DW729" s="105"/>
      <c r="DX729" s="105"/>
      <c r="DY729" s="105"/>
      <c r="DZ729" s="105"/>
      <c r="EA729" s="105"/>
      <c r="EB729" s="105"/>
      <c r="EC729" s="105"/>
      <c r="ED729" s="105"/>
      <c r="EE729" s="105"/>
      <c r="EF729" s="105"/>
      <c r="EG729" s="105"/>
      <c r="EH729" s="105"/>
      <c r="EI729" s="105"/>
      <c r="EJ729" s="105"/>
      <c r="EK729" s="105"/>
      <c r="EL729" s="105"/>
      <c r="EM729" s="105"/>
      <c r="EN729" s="105"/>
      <c r="EO729" s="105"/>
      <c r="EP729" s="105"/>
      <c r="EQ729" s="105"/>
      <c r="ER729" s="105"/>
      <c r="ES729" s="105"/>
      <c r="ET729" s="105"/>
      <c r="EU729" s="105"/>
      <c r="EV729" s="105"/>
      <c r="EW729" s="105"/>
      <c r="EX729" s="105"/>
      <c r="EY729" s="105"/>
      <c r="EZ729" s="105"/>
      <c r="FA729" s="105"/>
      <c r="FB729" s="105"/>
      <c r="FC729" s="105"/>
      <c r="FD729" s="105"/>
      <c r="FE729" s="105"/>
      <c r="FF729" s="105"/>
      <c r="FG729" s="105"/>
      <c r="FH729" s="105"/>
      <c r="FI729" s="105"/>
      <c r="FJ729" s="105"/>
      <c r="FK729" s="105"/>
      <c r="FL729" s="105"/>
      <c r="FM729" s="105"/>
      <c r="FN729" s="105"/>
      <c r="FO729" s="105"/>
      <c r="FP729" s="105"/>
      <c r="FQ729" s="105"/>
      <c r="FR729" s="105"/>
      <c r="FS729" s="105"/>
      <c r="FT729" s="105"/>
      <c r="FU729" s="105"/>
      <c r="FV729" s="105"/>
      <c r="FW729" s="105"/>
      <c r="FX729" s="105"/>
      <c r="FY729" s="105"/>
      <c r="FZ729" s="105"/>
      <c r="GA729" s="105"/>
      <c r="GB729" s="105"/>
      <c r="GC729" s="105"/>
      <c r="GD729" s="105"/>
      <c r="GE729" s="105"/>
      <c r="GF729" s="105"/>
      <c r="GG729" s="105"/>
      <c r="GH729" s="105"/>
    </row>
    <row r="730" spans="30:190" ht="6.95" customHeight="1" x14ac:dyDescent="0.15">
      <c r="AD730" s="56"/>
      <c r="AE730" s="3"/>
      <c r="AF730" s="193"/>
      <c r="AG730" s="193"/>
      <c r="AH730" s="193"/>
      <c r="AI730" s="193"/>
      <c r="AJ730" s="104"/>
      <c r="AK730" s="105"/>
      <c r="AL730" s="105"/>
      <c r="AM730" s="105"/>
      <c r="AN730" s="105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1"/>
      <c r="BI730" s="1"/>
      <c r="BJ730" s="199"/>
      <c r="BK730" s="199"/>
      <c r="BL730" s="199"/>
      <c r="BM730" s="199"/>
      <c r="BN730" s="1"/>
      <c r="BO730" s="1"/>
      <c r="BP730" s="147"/>
      <c r="BQ730" s="93"/>
      <c r="BR730" s="56"/>
      <c r="BS730" s="3"/>
      <c r="BT730" s="2"/>
      <c r="BU730" s="2"/>
      <c r="BV730" s="2"/>
      <c r="BW730" s="2"/>
      <c r="BX730" s="4"/>
      <c r="BY730" s="4"/>
      <c r="BZ730" s="105"/>
      <c r="CA730" s="105"/>
      <c r="CB730" s="105"/>
      <c r="CC730" s="105"/>
      <c r="CD730" s="105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1"/>
      <c r="CW730" s="1"/>
      <c r="CX730" s="1"/>
      <c r="CY730" s="1"/>
      <c r="CZ730" s="110"/>
      <c r="DA730" s="110"/>
      <c r="DB730" s="110"/>
      <c r="DC730" s="1"/>
      <c r="DD730" s="99"/>
      <c r="DH730" s="105"/>
      <c r="DI730" s="105"/>
      <c r="DJ730" s="105"/>
      <c r="DK730" s="105"/>
      <c r="DL730" s="105"/>
      <c r="DM730" s="105"/>
      <c r="DN730" s="105"/>
      <c r="DO730" s="105"/>
      <c r="DP730" s="105"/>
      <c r="DQ730" s="105"/>
      <c r="DR730" s="105"/>
      <c r="DS730" s="105"/>
      <c r="DT730" s="105"/>
      <c r="DU730" s="105"/>
      <c r="DV730" s="105"/>
      <c r="DW730" s="105"/>
      <c r="DX730" s="105"/>
      <c r="DY730" s="105"/>
      <c r="DZ730" s="105"/>
      <c r="EA730" s="105"/>
      <c r="EB730" s="105"/>
      <c r="EC730" s="105"/>
      <c r="ED730" s="105"/>
      <c r="EE730" s="105"/>
      <c r="EF730" s="105"/>
      <c r="EG730" s="105"/>
      <c r="EH730" s="105"/>
      <c r="EI730" s="105"/>
      <c r="EJ730" s="105"/>
      <c r="EK730" s="105"/>
      <c r="EL730" s="105"/>
      <c r="EM730" s="105"/>
      <c r="EN730" s="105"/>
      <c r="EO730" s="105"/>
      <c r="EP730" s="105"/>
      <c r="EQ730" s="105"/>
      <c r="ER730" s="105"/>
      <c r="ES730" s="105"/>
      <c r="ET730" s="105"/>
      <c r="EU730" s="105"/>
      <c r="EV730" s="105"/>
      <c r="EW730" s="105"/>
      <c r="EX730" s="105"/>
      <c r="EY730" s="105"/>
      <c r="EZ730" s="105"/>
      <c r="FA730" s="105"/>
      <c r="FB730" s="105"/>
      <c r="FC730" s="105"/>
      <c r="FD730" s="105"/>
      <c r="FE730" s="105"/>
      <c r="FF730" s="105"/>
      <c r="FG730" s="105"/>
      <c r="FH730" s="105"/>
      <c r="FI730" s="105"/>
      <c r="FJ730" s="105"/>
      <c r="FK730" s="105"/>
      <c r="FL730" s="105"/>
      <c r="FM730" s="105"/>
      <c r="FN730" s="105"/>
      <c r="FO730" s="105"/>
      <c r="FP730" s="105"/>
      <c r="FQ730" s="105"/>
      <c r="FR730" s="105"/>
      <c r="FS730" s="105"/>
      <c r="FT730" s="105"/>
      <c r="FU730" s="105"/>
      <c r="FV730" s="105"/>
      <c r="FW730" s="105"/>
      <c r="FX730" s="105"/>
      <c r="FY730" s="105"/>
      <c r="FZ730" s="105"/>
      <c r="GA730" s="105"/>
      <c r="GB730" s="105"/>
      <c r="GC730" s="105"/>
      <c r="GD730" s="105"/>
      <c r="GE730" s="105"/>
      <c r="GF730" s="105"/>
      <c r="GG730" s="105"/>
      <c r="GH730" s="105"/>
    </row>
    <row r="731" spans="30:190" ht="6.95" customHeight="1" x14ac:dyDescent="0.15">
      <c r="AD731" s="56"/>
      <c r="AE731" s="3"/>
      <c r="AF731" s="189"/>
      <c r="AG731" s="189"/>
      <c r="AH731" s="189"/>
      <c r="AI731" s="189"/>
      <c r="AJ731" s="104"/>
      <c r="AK731" s="105"/>
      <c r="AL731" s="105"/>
      <c r="AM731" s="105"/>
      <c r="AN731" s="105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1"/>
      <c r="BI731" s="1"/>
      <c r="BJ731" s="96"/>
      <c r="BK731" s="96"/>
      <c r="BL731" s="96"/>
      <c r="BM731" s="96"/>
      <c r="BN731" s="110"/>
      <c r="BO731" s="1"/>
      <c r="BP731" s="147"/>
      <c r="BQ731" s="93"/>
      <c r="BR731" s="56"/>
      <c r="BS731" s="3"/>
      <c r="BT731" s="193" t="s">
        <v>44</v>
      </c>
      <c r="BU731" s="193"/>
      <c r="BV731" s="193"/>
      <c r="BW731" s="193"/>
      <c r="BX731" s="4"/>
      <c r="BY731" s="4"/>
      <c r="BZ731" s="105"/>
      <c r="CA731" s="105"/>
      <c r="CB731" s="105"/>
      <c r="CC731" s="105"/>
      <c r="CD731" s="105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196" t="s">
        <v>42</v>
      </c>
      <c r="CW731" s="196"/>
      <c r="CX731" s="196"/>
      <c r="CY731" s="196">
        <v>1</v>
      </c>
      <c r="CZ731" s="196"/>
      <c r="DA731" s="196" t="s">
        <v>43</v>
      </c>
      <c r="DB731" s="196"/>
      <c r="DC731" s="196"/>
      <c r="DD731" s="99"/>
      <c r="DH731" s="105"/>
      <c r="DI731" s="105"/>
      <c r="DJ731" s="105"/>
      <c r="DK731" s="105"/>
      <c r="DL731" s="105"/>
      <c r="DM731" s="105"/>
      <c r="DN731" s="105"/>
      <c r="DO731" s="105"/>
      <c r="DP731" s="105"/>
      <c r="DQ731" s="105"/>
      <c r="DR731" s="105"/>
      <c r="DS731" s="105"/>
      <c r="DT731" s="105"/>
      <c r="DU731" s="105"/>
      <c r="DV731" s="105"/>
      <c r="DW731" s="105"/>
      <c r="DX731" s="105"/>
      <c r="DY731" s="105"/>
      <c r="DZ731" s="105"/>
      <c r="EA731" s="105"/>
      <c r="EB731" s="105"/>
      <c r="EC731" s="105"/>
      <c r="ED731" s="105"/>
      <c r="EE731" s="105"/>
      <c r="EF731" s="105"/>
      <c r="EG731" s="105"/>
      <c r="EH731" s="105"/>
      <c r="EI731" s="105"/>
      <c r="EJ731" s="105"/>
      <c r="EK731" s="105"/>
      <c r="EL731" s="105"/>
      <c r="EM731" s="105"/>
      <c r="EN731" s="105"/>
      <c r="EO731" s="105"/>
      <c r="EP731" s="105"/>
      <c r="EQ731" s="105"/>
      <c r="ER731" s="105"/>
      <c r="ES731" s="105"/>
      <c r="ET731" s="105"/>
      <c r="EU731" s="105"/>
      <c r="EV731" s="105"/>
      <c r="EW731" s="105"/>
      <c r="EX731" s="105"/>
      <c r="EY731" s="105"/>
      <c r="EZ731" s="105"/>
      <c r="FA731" s="105"/>
      <c r="FB731" s="105"/>
      <c r="FC731" s="105"/>
      <c r="FD731" s="105"/>
      <c r="FE731" s="105"/>
      <c r="FF731" s="105"/>
      <c r="FG731" s="105"/>
      <c r="FH731" s="105"/>
      <c r="FI731" s="105"/>
      <c r="FJ731" s="105"/>
      <c r="FK731" s="105"/>
      <c r="FL731" s="105"/>
      <c r="FM731" s="105"/>
      <c r="FN731" s="105"/>
      <c r="FO731" s="105"/>
      <c r="FP731" s="105"/>
      <c r="FQ731" s="105"/>
      <c r="FR731" s="105"/>
      <c r="FS731" s="105"/>
      <c r="FT731" s="105"/>
      <c r="FU731" s="105"/>
      <c r="FV731" s="105"/>
      <c r="FW731" s="105"/>
      <c r="FX731" s="105"/>
      <c r="FY731" s="105"/>
      <c r="FZ731" s="105"/>
      <c r="GA731" s="105"/>
      <c r="GB731" s="105"/>
      <c r="GC731" s="105"/>
      <c r="GD731" s="105"/>
      <c r="GE731" s="105"/>
      <c r="GF731" s="105"/>
      <c r="GG731" s="105"/>
      <c r="GH731" s="105"/>
    </row>
    <row r="732" spans="30:190" ht="6.95" customHeight="1" x14ac:dyDescent="0.15">
      <c r="AD732" s="56"/>
      <c r="AE732" s="3"/>
      <c r="AF732" s="189"/>
      <c r="AG732" s="189"/>
      <c r="AH732" s="189"/>
      <c r="AI732" s="189"/>
      <c r="AJ732" s="4"/>
      <c r="AK732" s="4"/>
      <c r="AL732" s="105"/>
      <c r="AM732" s="105"/>
      <c r="AN732" s="105"/>
      <c r="AO732" s="105"/>
      <c r="AP732" s="105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1"/>
      <c r="BI732" s="1"/>
      <c r="BJ732" s="1"/>
      <c r="BK732" s="1"/>
      <c r="BL732" s="110"/>
      <c r="BM732" s="110"/>
      <c r="BN732" s="110"/>
      <c r="BO732" s="1"/>
      <c r="BP732" s="147"/>
      <c r="BQ732" s="93"/>
      <c r="BR732" s="56"/>
      <c r="BS732" s="3"/>
      <c r="BT732" s="193"/>
      <c r="BU732" s="193"/>
      <c r="BV732" s="193"/>
      <c r="BW732" s="193"/>
      <c r="BX732" s="105"/>
      <c r="BY732" s="105"/>
      <c r="BZ732" s="4"/>
      <c r="CA732" s="4"/>
      <c r="CB732" s="4"/>
      <c r="CC732" s="103"/>
      <c r="CD732" s="103"/>
      <c r="CE732" s="103"/>
      <c r="CF732" s="103"/>
      <c r="CG732" s="103"/>
      <c r="CH732" s="103"/>
      <c r="CI732" s="103"/>
      <c r="CJ732" s="103"/>
      <c r="CK732" s="103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196"/>
      <c r="CW732" s="196"/>
      <c r="CX732" s="196"/>
      <c r="CY732" s="196"/>
      <c r="CZ732" s="196"/>
      <c r="DA732" s="196"/>
      <c r="DB732" s="196"/>
      <c r="DC732" s="196"/>
      <c r="DD732" s="99"/>
      <c r="DH732" s="105"/>
      <c r="DI732" s="105"/>
      <c r="DJ732" s="105"/>
      <c r="DK732" s="105"/>
      <c r="DL732" s="105"/>
      <c r="DM732" s="105"/>
      <c r="DN732" s="105"/>
      <c r="DO732" s="105"/>
      <c r="DP732" s="105"/>
      <c r="DQ732" s="105"/>
      <c r="DR732" s="105"/>
      <c r="DS732" s="105"/>
      <c r="DT732" s="105"/>
      <c r="DU732" s="105"/>
      <c r="DV732" s="105"/>
      <c r="DW732" s="105"/>
      <c r="DX732" s="105"/>
      <c r="DY732" s="105"/>
      <c r="DZ732" s="105"/>
      <c r="EA732" s="105"/>
      <c r="EB732" s="105"/>
      <c r="EC732" s="105"/>
      <c r="ED732" s="105"/>
      <c r="EE732" s="105"/>
      <c r="EF732" s="105"/>
      <c r="EG732" s="105"/>
      <c r="EH732" s="105"/>
      <c r="EI732" s="105"/>
      <c r="EJ732" s="105"/>
      <c r="EK732" s="105"/>
      <c r="EL732" s="105"/>
      <c r="EM732" s="105"/>
      <c r="EN732" s="105"/>
      <c r="EO732" s="105"/>
      <c r="EP732" s="105"/>
      <c r="EQ732" s="105"/>
      <c r="ER732" s="105"/>
      <c r="ES732" s="105"/>
      <c r="ET732" s="105"/>
      <c r="EU732" s="105"/>
      <c r="EV732" s="105"/>
      <c r="EW732" s="105"/>
      <c r="EX732" s="105"/>
      <c r="EY732" s="105"/>
      <c r="EZ732" s="105"/>
      <c r="FA732" s="105"/>
      <c r="FB732" s="105"/>
      <c r="FC732" s="105"/>
      <c r="FD732" s="105"/>
      <c r="FE732" s="105"/>
      <c r="FF732" s="105"/>
      <c r="FG732" s="105"/>
      <c r="FH732" s="105"/>
      <c r="FI732" s="105"/>
      <c r="FJ732" s="105"/>
      <c r="FK732" s="105"/>
      <c r="FL732" s="105"/>
      <c r="FM732" s="105"/>
      <c r="FN732" s="105"/>
      <c r="FO732" s="105"/>
      <c r="FP732" s="105"/>
      <c r="FQ732" s="105"/>
      <c r="FR732" s="105"/>
      <c r="FS732" s="105"/>
      <c r="FT732" s="105"/>
      <c r="FU732" s="105"/>
      <c r="FV732" s="105"/>
      <c r="FW732" s="105"/>
      <c r="FX732" s="105"/>
      <c r="FY732" s="105"/>
      <c r="FZ732" s="105"/>
      <c r="GA732" s="105"/>
      <c r="GB732" s="105"/>
      <c r="GC732" s="105"/>
      <c r="GD732" s="105"/>
      <c r="GE732" s="105"/>
      <c r="GF732" s="105"/>
      <c r="GG732" s="105"/>
      <c r="GH732" s="105"/>
    </row>
    <row r="733" spans="30:190" ht="6.95" customHeight="1" x14ac:dyDescent="0.15">
      <c r="AD733" s="56"/>
      <c r="AE733" s="3"/>
      <c r="AF733" s="193" t="s">
        <v>44</v>
      </c>
      <c r="AG733" s="193"/>
      <c r="AH733" s="193"/>
      <c r="AI733" s="193"/>
      <c r="AJ733" s="4"/>
      <c r="AK733" s="4"/>
      <c r="AL733" s="105"/>
      <c r="AM733" s="105"/>
      <c r="AN733" s="105"/>
      <c r="AO733" s="105"/>
      <c r="AP733" s="105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196" t="s">
        <v>42</v>
      </c>
      <c r="BI733" s="196"/>
      <c r="BJ733" s="196"/>
      <c r="BK733" s="196">
        <v>1</v>
      </c>
      <c r="BL733" s="196"/>
      <c r="BM733" s="196" t="s">
        <v>43</v>
      </c>
      <c r="BN733" s="196"/>
      <c r="BO733" s="196"/>
      <c r="BP733" s="147"/>
      <c r="BQ733" s="93"/>
      <c r="BR733" s="56"/>
      <c r="BS733" s="3"/>
      <c r="BT733" s="193" t="s">
        <v>26</v>
      </c>
      <c r="BU733" s="193"/>
      <c r="BV733" s="193"/>
      <c r="BW733" s="193"/>
      <c r="BX733" s="4"/>
      <c r="BY733" s="193" t="s">
        <v>51</v>
      </c>
      <c r="BZ733" s="193"/>
      <c r="CA733" s="193"/>
      <c r="CB733" s="193"/>
      <c r="CC733" s="193"/>
      <c r="CD733" s="193"/>
      <c r="CE733" s="193"/>
      <c r="CF733" s="193"/>
      <c r="CG733" s="103"/>
      <c r="CH733" s="196" t="s">
        <v>42</v>
      </c>
      <c r="CI733" s="196"/>
      <c r="CJ733" s="196"/>
      <c r="CK733" s="196">
        <v>2</v>
      </c>
      <c r="CL733" s="196"/>
      <c r="CM733" s="196" t="s">
        <v>43</v>
      </c>
      <c r="CN733" s="196"/>
      <c r="CO733" s="196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99"/>
      <c r="DH733" s="105"/>
      <c r="DI733" s="105"/>
      <c r="DJ733" s="105"/>
      <c r="DK733" s="105"/>
      <c r="DL733" s="105"/>
      <c r="DM733" s="105"/>
      <c r="DN733" s="105"/>
      <c r="DO733" s="105"/>
      <c r="DP733" s="105"/>
      <c r="DQ733" s="105"/>
      <c r="DR733" s="105"/>
      <c r="DS733" s="105"/>
      <c r="DT733" s="105"/>
      <c r="DU733" s="105"/>
      <c r="DV733" s="105"/>
      <c r="DW733" s="105"/>
      <c r="DX733" s="105"/>
      <c r="DY733" s="105"/>
      <c r="DZ733" s="105"/>
      <c r="EA733" s="105"/>
      <c r="EB733" s="105"/>
      <c r="EC733" s="105"/>
      <c r="ED733" s="105"/>
      <c r="EE733" s="105"/>
      <c r="EF733" s="105"/>
      <c r="EG733" s="105"/>
      <c r="EH733" s="105"/>
      <c r="EI733" s="105"/>
      <c r="EJ733" s="105"/>
      <c r="EK733" s="105"/>
      <c r="EL733" s="105"/>
      <c r="EM733" s="105"/>
      <c r="EN733" s="105"/>
      <c r="EO733" s="105"/>
      <c r="EP733" s="105"/>
      <c r="EQ733" s="105"/>
      <c r="ER733" s="105"/>
      <c r="ES733" s="105"/>
      <c r="ET733" s="105"/>
      <c r="EU733" s="105"/>
      <c r="EV733" s="105"/>
      <c r="EW733" s="105"/>
      <c r="EX733" s="105"/>
      <c r="EY733" s="105"/>
      <c r="EZ733" s="105"/>
      <c r="FA733" s="105"/>
      <c r="FB733" s="105"/>
      <c r="FC733" s="105"/>
      <c r="FD733" s="105"/>
      <c r="FE733" s="105"/>
      <c r="FF733" s="105"/>
      <c r="FG733" s="105"/>
      <c r="FH733" s="105"/>
      <c r="FI733" s="105"/>
      <c r="FJ733" s="105"/>
      <c r="FK733" s="105"/>
      <c r="FL733" s="105"/>
      <c r="FM733" s="105"/>
      <c r="FN733" s="105"/>
      <c r="FO733" s="105"/>
      <c r="FP733" s="105"/>
      <c r="FQ733" s="105"/>
      <c r="FR733" s="105"/>
      <c r="FS733" s="105"/>
      <c r="FT733" s="105"/>
      <c r="FU733" s="105"/>
      <c r="FV733" s="105"/>
      <c r="FW733" s="105"/>
      <c r="FX733" s="105"/>
      <c r="FY733" s="105"/>
      <c r="FZ733" s="105"/>
      <c r="GA733" s="105"/>
      <c r="GB733" s="105"/>
      <c r="GC733" s="105"/>
      <c r="GD733" s="105"/>
      <c r="GE733" s="105"/>
      <c r="GF733" s="105"/>
      <c r="GG733" s="105"/>
      <c r="GH733" s="105"/>
    </row>
    <row r="734" spans="30:190" ht="6.95" customHeight="1" x14ac:dyDescent="0.15">
      <c r="AD734" s="56"/>
      <c r="AE734" s="3"/>
      <c r="AF734" s="193"/>
      <c r="AG734" s="193"/>
      <c r="AH734" s="193"/>
      <c r="AI734" s="193"/>
      <c r="AJ734" s="105"/>
      <c r="AK734" s="105"/>
      <c r="AL734" s="4"/>
      <c r="AM734" s="4"/>
      <c r="AN734" s="4"/>
      <c r="AO734" s="103"/>
      <c r="AP734" s="103"/>
      <c r="AQ734" s="103"/>
      <c r="AR734" s="103"/>
      <c r="AS734" s="103"/>
      <c r="AT734" s="103"/>
      <c r="AU734" s="103"/>
      <c r="AV734" s="103"/>
      <c r="AW734" s="103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196"/>
      <c r="BI734" s="196"/>
      <c r="BJ734" s="196"/>
      <c r="BK734" s="196"/>
      <c r="BL734" s="196"/>
      <c r="BM734" s="196"/>
      <c r="BN734" s="196"/>
      <c r="BO734" s="196"/>
      <c r="BP734" s="147"/>
      <c r="BQ734" s="93"/>
      <c r="BR734" s="56"/>
      <c r="BS734" s="3"/>
      <c r="BT734" s="193"/>
      <c r="BU734" s="193"/>
      <c r="BV734" s="193"/>
      <c r="BW734" s="193"/>
      <c r="BX734" s="4"/>
      <c r="BY734" s="193"/>
      <c r="BZ734" s="193"/>
      <c r="CA734" s="193"/>
      <c r="CB734" s="193"/>
      <c r="CC734" s="193"/>
      <c r="CD734" s="193"/>
      <c r="CE734" s="193"/>
      <c r="CF734" s="193"/>
      <c r="CG734" s="103"/>
      <c r="CH734" s="196"/>
      <c r="CI734" s="196"/>
      <c r="CJ734" s="196"/>
      <c r="CK734" s="196"/>
      <c r="CL734" s="196"/>
      <c r="CM734" s="196"/>
      <c r="CN734" s="196"/>
      <c r="CO734" s="196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99"/>
      <c r="DH734" s="105"/>
      <c r="DI734" s="105"/>
      <c r="DJ734" s="105"/>
      <c r="DK734" s="105"/>
      <c r="DL734" s="105"/>
      <c r="DM734" s="105"/>
      <c r="DN734" s="105"/>
      <c r="DO734" s="105"/>
      <c r="DP734" s="105"/>
      <c r="DQ734" s="105"/>
      <c r="DR734" s="105"/>
      <c r="DS734" s="105"/>
      <c r="DT734" s="105"/>
      <c r="DU734" s="105"/>
      <c r="DV734" s="105"/>
      <c r="DW734" s="105"/>
      <c r="DX734" s="105"/>
      <c r="DY734" s="105"/>
      <c r="DZ734" s="105"/>
      <c r="EA734" s="105"/>
      <c r="EB734" s="105"/>
      <c r="EC734" s="105"/>
      <c r="ED734" s="105"/>
      <c r="EE734" s="105"/>
      <c r="EF734" s="105"/>
      <c r="EG734" s="105"/>
      <c r="EH734" s="105"/>
      <c r="EI734" s="105"/>
      <c r="EJ734" s="105"/>
      <c r="EK734" s="105"/>
      <c r="EL734" s="105"/>
      <c r="EM734" s="105"/>
      <c r="EN734" s="105"/>
      <c r="EO734" s="105"/>
      <c r="EP734" s="105"/>
      <c r="EQ734" s="105"/>
      <c r="ER734" s="105"/>
      <c r="ES734" s="105"/>
      <c r="ET734" s="105"/>
      <c r="EU734" s="105"/>
      <c r="EV734" s="105"/>
      <c r="EW734" s="105"/>
      <c r="EX734" s="105"/>
      <c r="EY734" s="105"/>
      <c r="EZ734" s="105"/>
      <c r="FA734" s="105"/>
      <c r="FB734" s="105"/>
      <c r="FC734" s="105"/>
      <c r="FD734" s="105"/>
      <c r="FE734" s="105"/>
      <c r="FF734" s="105"/>
      <c r="FG734" s="105"/>
      <c r="FH734" s="105"/>
      <c r="FI734" s="105"/>
      <c r="FJ734" s="105"/>
      <c r="FK734" s="105"/>
      <c r="FL734" s="105"/>
      <c r="FM734" s="105"/>
      <c r="FN734" s="105"/>
      <c r="FO734" s="105"/>
      <c r="FP734" s="105"/>
      <c r="FQ734" s="105"/>
      <c r="FR734" s="105"/>
      <c r="FS734" s="105"/>
      <c r="FT734" s="105"/>
      <c r="FU734" s="105"/>
      <c r="FV734" s="105"/>
      <c r="FW734" s="105"/>
      <c r="FX734" s="105"/>
      <c r="FY734" s="105"/>
      <c r="FZ734" s="105"/>
      <c r="GA734" s="105"/>
      <c r="GB734" s="105"/>
      <c r="GC734" s="105"/>
      <c r="GD734" s="105"/>
      <c r="GE734" s="105"/>
      <c r="GF734" s="105"/>
      <c r="GG734" s="105"/>
      <c r="GH734" s="105"/>
    </row>
    <row r="735" spans="30:190" ht="6.95" customHeight="1" x14ac:dyDescent="0.15">
      <c r="AD735" s="56"/>
      <c r="AE735" s="3"/>
      <c r="AF735" s="193" t="s">
        <v>26</v>
      </c>
      <c r="AG735" s="193"/>
      <c r="AH735" s="193"/>
      <c r="AI735" s="193"/>
      <c r="AJ735" s="4"/>
      <c r="AK735" s="193">
        <v>2000</v>
      </c>
      <c r="AL735" s="193"/>
      <c r="AM735" s="193"/>
      <c r="AN735" s="193"/>
      <c r="AO735" s="193"/>
      <c r="AP735" s="193"/>
      <c r="AQ735" s="193"/>
      <c r="AR735" s="193"/>
      <c r="AS735" s="103"/>
      <c r="AT735" s="196" t="s">
        <v>42</v>
      </c>
      <c r="AU735" s="196"/>
      <c r="AV735" s="196"/>
      <c r="AW735" s="196">
        <v>2</v>
      </c>
      <c r="AX735" s="196"/>
      <c r="AY735" s="196" t="s">
        <v>43</v>
      </c>
      <c r="AZ735" s="196"/>
      <c r="BA735" s="196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147"/>
      <c r="BQ735" s="93"/>
      <c r="BR735" s="56"/>
      <c r="BS735" s="3"/>
      <c r="BT735" s="105"/>
      <c r="BU735" s="105"/>
      <c r="BV735" s="105"/>
      <c r="BW735" s="105"/>
      <c r="BX735" s="105"/>
      <c r="BY735" s="105"/>
      <c r="BZ735" s="105"/>
      <c r="CA735" s="105"/>
      <c r="CB735" s="105"/>
      <c r="CC735" s="105"/>
      <c r="CD735" s="105"/>
      <c r="CE735" s="105"/>
      <c r="CF735" s="105"/>
      <c r="CG735" s="103"/>
      <c r="CH735" s="103"/>
      <c r="CI735" s="103"/>
      <c r="CJ735" s="103"/>
      <c r="CK735" s="103"/>
      <c r="CL735" s="103"/>
      <c r="CM735" s="103"/>
      <c r="CN735" s="103"/>
      <c r="CO735" s="103"/>
      <c r="CP735" s="4"/>
      <c r="CQ735" s="4"/>
      <c r="CR735" s="4"/>
      <c r="CS735" s="4"/>
      <c r="CT735" s="4"/>
      <c r="CU735" s="4"/>
      <c r="CV735" s="103"/>
      <c r="CW735" s="103"/>
      <c r="CX735" s="103"/>
      <c r="CY735" s="103"/>
      <c r="CZ735" s="103"/>
      <c r="DA735" s="103"/>
      <c r="DB735" s="103"/>
      <c r="DC735" s="103"/>
      <c r="DD735" s="99"/>
      <c r="DH735" s="105"/>
      <c r="DI735" s="105"/>
      <c r="DJ735" s="105"/>
      <c r="DK735" s="105"/>
      <c r="DL735" s="105"/>
      <c r="DM735" s="105"/>
      <c r="DN735" s="105"/>
      <c r="DO735" s="105"/>
      <c r="DP735" s="105"/>
      <c r="DQ735" s="105"/>
      <c r="DR735" s="105"/>
      <c r="DS735" s="105"/>
      <c r="DT735" s="105"/>
      <c r="DU735" s="105"/>
      <c r="DV735" s="105"/>
      <c r="DW735" s="105"/>
      <c r="DX735" s="105"/>
      <c r="DY735" s="105"/>
      <c r="DZ735" s="105"/>
      <c r="EA735" s="105"/>
      <c r="EB735" s="105"/>
      <c r="EC735" s="105"/>
      <c r="ED735" s="105"/>
      <c r="EE735" s="105"/>
      <c r="EF735" s="105"/>
      <c r="EG735" s="105"/>
      <c r="EH735" s="105"/>
      <c r="EI735" s="105"/>
      <c r="EJ735" s="105"/>
      <c r="EK735" s="105"/>
      <c r="EL735" s="105"/>
      <c r="EM735" s="105"/>
      <c r="EN735" s="105"/>
      <c r="EO735" s="105"/>
      <c r="EP735" s="105"/>
      <c r="EQ735" s="105"/>
      <c r="ER735" s="105"/>
      <c r="ES735" s="105"/>
      <c r="ET735" s="105"/>
      <c r="EU735" s="105"/>
      <c r="EV735" s="105"/>
      <c r="EW735" s="105"/>
      <c r="EX735" s="105"/>
      <c r="EY735" s="105"/>
      <c r="EZ735" s="105"/>
      <c r="FA735" s="105"/>
      <c r="FB735" s="105"/>
      <c r="FC735" s="105"/>
      <c r="FD735" s="105"/>
      <c r="FE735" s="105"/>
      <c r="FF735" s="105"/>
      <c r="FG735" s="105"/>
      <c r="FH735" s="105"/>
      <c r="FI735" s="105"/>
      <c r="FJ735" s="105"/>
      <c r="FK735" s="105"/>
      <c r="FL735" s="105"/>
      <c r="FM735" s="105"/>
      <c r="FN735" s="105"/>
      <c r="FO735" s="105"/>
      <c r="FP735" s="105"/>
      <c r="FQ735" s="105"/>
      <c r="FR735" s="105"/>
      <c r="FS735" s="105"/>
      <c r="FT735" s="105"/>
      <c r="FU735" s="105"/>
      <c r="FV735" s="105"/>
      <c r="FW735" s="105"/>
      <c r="FX735" s="105"/>
      <c r="FY735" s="105"/>
      <c r="FZ735" s="105"/>
      <c r="GA735" s="105"/>
      <c r="GB735" s="105"/>
      <c r="GC735" s="105"/>
      <c r="GD735" s="105"/>
      <c r="GE735" s="105"/>
      <c r="GF735" s="105"/>
      <c r="GG735" s="105"/>
      <c r="GH735" s="105"/>
    </row>
    <row r="736" spans="30:190" ht="6.95" customHeight="1" x14ac:dyDescent="0.15">
      <c r="AD736" s="56"/>
      <c r="AE736" s="3"/>
      <c r="AF736" s="193"/>
      <c r="AG736" s="193"/>
      <c r="AH736" s="193"/>
      <c r="AI736" s="193"/>
      <c r="AJ736" s="4"/>
      <c r="AK736" s="193"/>
      <c r="AL736" s="193"/>
      <c r="AM736" s="193"/>
      <c r="AN736" s="193"/>
      <c r="AO736" s="193"/>
      <c r="AP736" s="193"/>
      <c r="AQ736" s="193"/>
      <c r="AR736" s="193"/>
      <c r="AS736" s="103"/>
      <c r="AT736" s="196"/>
      <c r="AU736" s="196"/>
      <c r="AV736" s="196"/>
      <c r="AW736" s="196"/>
      <c r="AX736" s="196"/>
      <c r="AY736" s="196"/>
      <c r="AZ736" s="196"/>
      <c r="BA736" s="196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147"/>
      <c r="BQ736" s="93"/>
      <c r="BR736" s="56"/>
      <c r="BS736" s="3"/>
      <c r="BT736" s="193" t="s">
        <v>44</v>
      </c>
      <c r="BU736" s="193"/>
      <c r="BV736" s="193"/>
      <c r="BW736" s="193"/>
      <c r="BX736" s="2"/>
      <c r="BY736" s="2"/>
      <c r="BZ736" s="2"/>
      <c r="CA736" s="105"/>
      <c r="CB736" s="105"/>
      <c r="CC736" s="105"/>
      <c r="CD736" s="105"/>
      <c r="CE736" s="105"/>
      <c r="CF736" s="105"/>
      <c r="CG736" s="103"/>
      <c r="CH736" s="103"/>
      <c r="CI736" s="103"/>
      <c r="CJ736" s="103"/>
      <c r="CK736" s="103"/>
      <c r="CL736" s="103"/>
      <c r="CM736" s="103"/>
      <c r="CN736" s="103"/>
      <c r="CO736" s="103"/>
      <c r="CP736" s="4"/>
      <c r="CQ736" s="4"/>
      <c r="CR736" s="4"/>
      <c r="CS736" s="4"/>
      <c r="CT736" s="4"/>
      <c r="CU736" s="4"/>
      <c r="CV736" s="1"/>
      <c r="CW736" s="1"/>
      <c r="CX736" s="1"/>
      <c r="CY736" s="1"/>
      <c r="CZ736" s="1"/>
      <c r="DA736" s="1"/>
      <c r="DB736" s="1"/>
      <c r="DC736" s="1"/>
      <c r="DD736" s="99"/>
      <c r="DH736" s="105"/>
      <c r="DI736" s="105"/>
      <c r="DJ736" s="105"/>
      <c r="DK736" s="105"/>
      <c r="DL736" s="105"/>
      <c r="DM736" s="105"/>
      <c r="DN736" s="105"/>
      <c r="DO736" s="105"/>
      <c r="DP736" s="105"/>
      <c r="DQ736" s="105"/>
      <c r="DR736" s="105"/>
      <c r="DS736" s="105"/>
      <c r="DT736" s="105"/>
      <c r="DU736" s="105"/>
      <c r="DV736" s="105"/>
      <c r="DW736" s="105"/>
      <c r="DX736" s="105"/>
      <c r="DY736" s="105"/>
      <c r="DZ736" s="105"/>
      <c r="EA736" s="105"/>
      <c r="EB736" s="105"/>
      <c r="EC736" s="105"/>
      <c r="ED736" s="105"/>
      <c r="EE736" s="105"/>
      <c r="EF736" s="105"/>
      <c r="EG736" s="105"/>
      <c r="EH736" s="105"/>
      <c r="EI736" s="105"/>
      <c r="EJ736" s="105"/>
      <c r="EK736" s="105"/>
      <c r="EL736" s="105"/>
      <c r="EM736" s="105"/>
      <c r="EN736" s="105"/>
      <c r="EO736" s="105"/>
      <c r="EP736" s="105"/>
      <c r="EQ736" s="105"/>
      <c r="ER736" s="105"/>
      <c r="ES736" s="105"/>
      <c r="ET736" s="105"/>
      <c r="EU736" s="105"/>
      <c r="EV736" s="105"/>
      <c r="EW736" s="105"/>
      <c r="EX736" s="105"/>
      <c r="EY736" s="105"/>
      <c r="EZ736" s="105"/>
      <c r="FA736" s="105"/>
      <c r="FB736" s="105"/>
      <c r="FC736" s="105"/>
      <c r="FD736" s="105"/>
      <c r="FE736" s="105"/>
      <c r="FF736" s="105"/>
      <c r="FG736" s="105"/>
      <c r="FH736" s="105"/>
      <c r="FI736" s="105"/>
      <c r="FJ736" s="105"/>
      <c r="FK736" s="105"/>
      <c r="FL736" s="105"/>
      <c r="FM736" s="105"/>
      <c r="FN736" s="105"/>
      <c r="FO736" s="105"/>
      <c r="FP736" s="105"/>
      <c r="FQ736" s="105"/>
      <c r="FR736" s="105"/>
      <c r="FS736" s="105"/>
      <c r="FT736" s="105"/>
      <c r="FU736" s="105"/>
      <c r="FV736" s="105"/>
      <c r="FW736" s="105"/>
      <c r="FX736" s="105"/>
      <c r="FY736" s="105"/>
      <c r="FZ736" s="105"/>
      <c r="GA736" s="105"/>
      <c r="GB736" s="105"/>
      <c r="GC736" s="105"/>
      <c r="GD736" s="105"/>
      <c r="GE736" s="105"/>
      <c r="GF736" s="105"/>
      <c r="GG736" s="105"/>
      <c r="GH736" s="105"/>
    </row>
    <row r="737" spans="30:190" ht="6.95" customHeight="1" x14ac:dyDescent="0.15">
      <c r="AD737" s="56"/>
      <c r="AE737" s="3"/>
      <c r="AF737" s="193" t="s">
        <v>26</v>
      </c>
      <c r="AG737" s="193"/>
      <c r="AH737" s="193"/>
      <c r="AI737" s="193"/>
      <c r="AJ737" s="4"/>
      <c r="AK737" s="193">
        <v>1800</v>
      </c>
      <c r="AL737" s="193"/>
      <c r="AM737" s="193"/>
      <c r="AN737" s="193"/>
      <c r="AO737" s="193"/>
      <c r="AP737" s="193"/>
      <c r="AQ737" s="193"/>
      <c r="AR737" s="193"/>
      <c r="AS737" s="103"/>
      <c r="AT737" s="196" t="s">
        <v>42</v>
      </c>
      <c r="AU737" s="196"/>
      <c r="AV737" s="196"/>
      <c r="AW737" s="196"/>
      <c r="AX737" s="196"/>
      <c r="AY737" s="196" t="s">
        <v>43</v>
      </c>
      <c r="AZ737" s="196"/>
      <c r="BA737" s="196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147"/>
      <c r="BQ737" s="93"/>
      <c r="BR737" s="56"/>
      <c r="BS737" s="3"/>
      <c r="BT737" s="193"/>
      <c r="BU737" s="193"/>
      <c r="BV737" s="193"/>
      <c r="BW737" s="193"/>
      <c r="BX737" s="194">
        <f>CHOOSE(SUM((BR685&gt;={700,750,800,850,900,950})*1), 205,255,305,355,405,455)</f>
        <v>255</v>
      </c>
      <c r="BY737" s="194"/>
      <c r="BZ737" s="19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1"/>
      <c r="CW737" s="1"/>
      <c r="CX737" s="1"/>
      <c r="CY737" s="1"/>
      <c r="CZ737" s="1"/>
      <c r="DA737" s="1"/>
      <c r="DB737" s="1"/>
      <c r="DC737" s="1"/>
      <c r="DD737" s="156"/>
      <c r="DH737" s="105"/>
      <c r="DI737" s="105"/>
      <c r="DJ737" s="105"/>
      <c r="DK737" s="105"/>
      <c r="DL737" s="105"/>
      <c r="DM737" s="105"/>
      <c r="DN737" s="105"/>
      <c r="DO737" s="105"/>
      <c r="DP737" s="105"/>
      <c r="DQ737" s="105"/>
      <c r="DR737" s="105"/>
      <c r="DS737" s="105"/>
      <c r="DT737" s="105"/>
      <c r="DU737" s="105"/>
      <c r="DV737" s="105"/>
      <c r="DW737" s="105"/>
      <c r="DX737" s="105"/>
      <c r="DY737" s="105"/>
      <c r="DZ737" s="105"/>
      <c r="EA737" s="105"/>
      <c r="EB737" s="105"/>
      <c r="EC737" s="105"/>
      <c r="ED737" s="105"/>
      <c r="EE737" s="105"/>
      <c r="EF737" s="105"/>
      <c r="EG737" s="105"/>
      <c r="EH737" s="105"/>
      <c r="EI737" s="105"/>
      <c r="EJ737" s="105"/>
      <c r="EK737" s="105"/>
      <c r="EL737" s="105"/>
      <c r="EM737" s="105"/>
      <c r="EN737" s="105"/>
      <c r="EO737" s="105"/>
      <c r="EP737" s="105"/>
      <c r="EQ737" s="105"/>
      <c r="ER737" s="105"/>
      <c r="ES737" s="105"/>
      <c r="ET737" s="105"/>
      <c r="EU737" s="105"/>
      <c r="EV737" s="105"/>
      <c r="EW737" s="105"/>
      <c r="EX737" s="105"/>
      <c r="EY737" s="105"/>
      <c r="EZ737" s="105"/>
      <c r="FA737" s="105"/>
      <c r="FB737" s="105"/>
      <c r="FC737" s="105"/>
      <c r="FD737" s="105"/>
      <c r="FE737" s="105"/>
      <c r="FF737" s="105"/>
      <c r="FG737" s="105"/>
      <c r="FH737" s="105"/>
      <c r="FI737" s="105"/>
      <c r="FJ737" s="105"/>
      <c r="FK737" s="105"/>
      <c r="FL737" s="105"/>
      <c r="FM737" s="105"/>
      <c r="FN737" s="105"/>
      <c r="FO737" s="105"/>
      <c r="FP737" s="105"/>
      <c r="FQ737" s="105"/>
      <c r="FR737" s="105"/>
      <c r="FS737" s="105"/>
      <c r="FT737" s="105"/>
      <c r="FU737" s="105"/>
      <c r="FV737" s="105"/>
      <c r="FW737" s="105"/>
      <c r="FX737" s="105"/>
      <c r="FY737" s="105"/>
      <c r="FZ737" s="105"/>
      <c r="GA737" s="105"/>
      <c r="GB737" s="105"/>
      <c r="GC737" s="105"/>
      <c r="GD737" s="105"/>
      <c r="GE737" s="105"/>
      <c r="GF737" s="105"/>
      <c r="GG737" s="105"/>
      <c r="GH737" s="105"/>
    </row>
    <row r="738" spans="30:190" ht="6.95" customHeight="1" x14ac:dyDescent="0.15">
      <c r="AD738" s="56"/>
      <c r="AE738" s="3"/>
      <c r="AF738" s="193"/>
      <c r="AG738" s="193"/>
      <c r="AH738" s="193"/>
      <c r="AI738" s="193"/>
      <c r="AJ738" s="4"/>
      <c r="AK738" s="193"/>
      <c r="AL738" s="193"/>
      <c r="AM738" s="193"/>
      <c r="AN738" s="193"/>
      <c r="AO738" s="193"/>
      <c r="AP738" s="193"/>
      <c r="AQ738" s="193"/>
      <c r="AR738" s="193"/>
      <c r="AS738" s="103"/>
      <c r="AT738" s="196"/>
      <c r="AU738" s="196"/>
      <c r="AV738" s="196"/>
      <c r="AW738" s="196"/>
      <c r="AX738" s="196"/>
      <c r="AY738" s="196"/>
      <c r="AZ738" s="196"/>
      <c r="BA738" s="196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147"/>
      <c r="BQ738" s="93"/>
      <c r="BR738" s="56"/>
      <c r="BS738" s="3"/>
      <c r="BT738" s="105"/>
      <c r="BU738" s="105"/>
      <c r="BV738" s="105"/>
      <c r="BW738" s="105"/>
      <c r="BX738" s="194"/>
      <c r="BY738" s="194"/>
      <c r="BZ738" s="19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195">
        <f>CHOOSE(SUM((BR685&gt;={700,750,800,850,900,950})*1), 290,360,430,500,570,640)</f>
        <v>360</v>
      </c>
      <c r="CQ738" s="195"/>
      <c r="CR738" s="195"/>
      <c r="CS738" s="4"/>
      <c r="CT738" s="4"/>
      <c r="CU738" s="4"/>
      <c r="CV738" s="196" t="s">
        <v>42</v>
      </c>
      <c r="CW738" s="196"/>
      <c r="CX738" s="196"/>
      <c r="CY738" s="196">
        <v>2</v>
      </c>
      <c r="CZ738" s="196"/>
      <c r="DA738" s="196" t="s">
        <v>43</v>
      </c>
      <c r="DB738" s="196"/>
      <c r="DC738" s="196"/>
      <c r="DD738" s="156"/>
      <c r="DH738" s="105"/>
      <c r="DI738" s="105"/>
      <c r="DJ738" s="105"/>
      <c r="DK738" s="105"/>
      <c r="DL738" s="105"/>
      <c r="DM738" s="105"/>
      <c r="DN738" s="105"/>
      <c r="DO738" s="105"/>
      <c r="DP738" s="105"/>
      <c r="DQ738" s="105"/>
      <c r="DR738" s="105"/>
      <c r="DS738" s="105"/>
      <c r="DT738" s="105"/>
      <c r="DU738" s="105"/>
      <c r="DV738" s="105"/>
      <c r="DW738" s="105"/>
      <c r="DX738" s="105"/>
      <c r="DY738" s="105"/>
      <c r="DZ738" s="105"/>
      <c r="EA738" s="105"/>
      <c r="EB738" s="105"/>
      <c r="EC738" s="105"/>
      <c r="ED738" s="105"/>
      <c r="EE738" s="105"/>
      <c r="EF738" s="105"/>
      <c r="EG738" s="105"/>
      <c r="EH738" s="105"/>
      <c r="EI738" s="105"/>
      <c r="EJ738" s="105"/>
      <c r="EK738" s="105"/>
      <c r="EL738" s="105"/>
      <c r="EM738" s="105"/>
      <c r="EN738" s="105"/>
      <c r="EO738" s="105"/>
      <c r="EP738" s="105"/>
      <c r="EQ738" s="105"/>
      <c r="ER738" s="105"/>
      <c r="ES738" s="105"/>
      <c r="ET738" s="105"/>
      <c r="EU738" s="105"/>
      <c r="EV738" s="105"/>
      <c r="EW738" s="105"/>
      <c r="EX738" s="105"/>
      <c r="EY738" s="105"/>
      <c r="EZ738" s="105"/>
      <c r="FA738" s="105"/>
      <c r="FB738" s="105"/>
      <c r="FC738" s="105"/>
      <c r="FD738" s="105"/>
      <c r="FE738" s="105"/>
      <c r="FF738" s="105"/>
      <c r="FG738" s="105"/>
      <c r="FH738" s="105"/>
      <c r="FI738" s="105"/>
      <c r="FJ738" s="105"/>
      <c r="FK738" s="105"/>
      <c r="FL738" s="105"/>
      <c r="FM738" s="105"/>
      <c r="FN738" s="105"/>
      <c r="FO738" s="105"/>
      <c r="FP738" s="105"/>
      <c r="FQ738" s="105"/>
      <c r="FR738" s="105"/>
      <c r="FS738" s="105"/>
      <c r="FT738" s="105"/>
      <c r="FU738" s="105"/>
      <c r="FV738" s="105"/>
      <c r="FW738" s="105"/>
      <c r="FX738" s="105"/>
      <c r="FY738" s="105"/>
      <c r="FZ738" s="105"/>
      <c r="GA738" s="105"/>
      <c r="GB738" s="105"/>
      <c r="GC738" s="105"/>
      <c r="GD738" s="105"/>
      <c r="GE738" s="105"/>
      <c r="GF738" s="105"/>
      <c r="GG738" s="105"/>
      <c r="GH738" s="105"/>
    </row>
    <row r="739" spans="30:190" ht="6.95" customHeight="1" x14ac:dyDescent="0.15">
      <c r="AD739" s="56"/>
      <c r="AE739" s="3"/>
      <c r="AF739" s="193" t="s">
        <v>28</v>
      </c>
      <c r="AG739" s="193"/>
      <c r="AH739" s="193"/>
      <c r="AI739" s="193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1"/>
      <c r="BI739" s="1"/>
      <c r="BJ739" s="1"/>
      <c r="BK739" s="1"/>
      <c r="BL739" s="1"/>
      <c r="BM739" s="1"/>
      <c r="BN739" s="1"/>
      <c r="BO739" s="1"/>
      <c r="BP739" s="99"/>
      <c r="BQ739" s="93"/>
      <c r="BR739" s="56"/>
      <c r="BS739" s="3"/>
      <c r="BT739" s="3"/>
      <c r="BU739" s="3"/>
      <c r="BV739" s="3"/>
      <c r="BW739" s="4"/>
      <c r="BX739" s="194"/>
      <c r="BY739" s="194"/>
      <c r="BZ739" s="194"/>
      <c r="CA739" s="2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195"/>
      <c r="CQ739" s="195"/>
      <c r="CR739" s="195"/>
      <c r="CS739" s="4"/>
      <c r="CT739" s="4"/>
      <c r="CU739" s="4"/>
      <c r="CV739" s="196"/>
      <c r="CW739" s="196"/>
      <c r="CX739" s="196"/>
      <c r="CY739" s="196"/>
      <c r="CZ739" s="196"/>
      <c r="DA739" s="196"/>
      <c r="DB739" s="196"/>
      <c r="DC739" s="196"/>
      <c r="DD739" s="156"/>
      <c r="DH739" s="105"/>
      <c r="DI739" s="105"/>
      <c r="DJ739" s="105"/>
      <c r="DK739" s="105"/>
      <c r="DL739" s="105"/>
      <c r="DM739" s="105"/>
      <c r="DN739" s="105"/>
      <c r="DO739" s="105"/>
      <c r="DP739" s="105"/>
      <c r="DQ739" s="105"/>
      <c r="DR739" s="105"/>
      <c r="DS739" s="105"/>
      <c r="DT739" s="105"/>
      <c r="DU739" s="105"/>
      <c r="DV739" s="105"/>
      <c r="DW739" s="105"/>
      <c r="DX739" s="105"/>
      <c r="DY739" s="105"/>
      <c r="DZ739" s="105"/>
      <c r="EA739" s="105"/>
      <c r="EB739" s="105"/>
      <c r="EC739" s="105"/>
      <c r="ED739" s="105"/>
      <c r="EE739" s="105"/>
      <c r="EF739" s="105"/>
      <c r="EG739" s="105"/>
      <c r="EH739" s="105"/>
      <c r="EI739" s="105"/>
      <c r="EJ739" s="105"/>
      <c r="EK739" s="105"/>
      <c r="EL739" s="105"/>
      <c r="EM739" s="105"/>
      <c r="EN739" s="105"/>
      <c r="EO739" s="105"/>
      <c r="EP739" s="105"/>
      <c r="EQ739" s="105"/>
      <c r="ER739" s="105"/>
      <c r="ES739" s="105"/>
      <c r="ET739" s="105"/>
      <c r="EU739" s="105"/>
      <c r="EV739" s="105"/>
      <c r="EW739" s="105"/>
      <c r="EX739" s="105"/>
      <c r="EY739" s="105"/>
      <c r="EZ739" s="105"/>
      <c r="FA739" s="105"/>
      <c r="FB739" s="105"/>
      <c r="FC739" s="105"/>
      <c r="FD739" s="105"/>
      <c r="FE739" s="105"/>
      <c r="FF739" s="105"/>
      <c r="FG739" s="105"/>
      <c r="FH739" s="105"/>
      <c r="FI739" s="105"/>
      <c r="FJ739" s="105"/>
      <c r="FK739" s="105"/>
      <c r="FL739" s="105"/>
      <c r="FM739" s="105"/>
      <c r="FN739" s="105"/>
      <c r="FO739" s="105"/>
      <c r="FP739" s="105"/>
      <c r="FQ739" s="105"/>
      <c r="FR739" s="105"/>
      <c r="FS739" s="105"/>
      <c r="FT739" s="105"/>
      <c r="FU739" s="105"/>
      <c r="FV739" s="105"/>
      <c r="FW739" s="105"/>
      <c r="FX739" s="105"/>
      <c r="FY739" s="105"/>
      <c r="FZ739" s="105"/>
      <c r="GA739" s="105"/>
      <c r="GB739" s="105"/>
      <c r="GC739" s="105"/>
      <c r="GD739" s="105"/>
      <c r="GE739" s="105"/>
      <c r="GF739" s="105"/>
      <c r="GG739" s="105"/>
      <c r="GH739" s="105"/>
    </row>
    <row r="740" spans="30:190" ht="6.95" customHeight="1" x14ac:dyDescent="0.15">
      <c r="AD740" s="56"/>
      <c r="AE740" s="3"/>
      <c r="AF740" s="193"/>
      <c r="AG740" s="193"/>
      <c r="AH740" s="193"/>
      <c r="AI740" s="193"/>
      <c r="AJ740" s="189"/>
      <c r="AK740" s="189"/>
      <c r="AL740" s="189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1"/>
      <c r="BI740" s="1"/>
      <c r="BJ740" s="1"/>
      <c r="BK740" s="1"/>
      <c r="BL740" s="1"/>
      <c r="BM740" s="1"/>
      <c r="BN740" s="1"/>
      <c r="BO740" s="1"/>
      <c r="BP740" s="99"/>
      <c r="BQ740" s="93"/>
      <c r="BR740" s="56"/>
      <c r="BS740" s="3"/>
      <c r="BT740" s="3"/>
      <c r="BU740" s="3"/>
      <c r="BV740" s="3"/>
      <c r="BW740" s="4"/>
      <c r="BX740" s="194"/>
      <c r="BY740" s="194"/>
      <c r="BZ740" s="194"/>
      <c r="CA740" s="2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111"/>
      <c r="CQ740" s="111"/>
      <c r="CR740" s="111"/>
      <c r="CS740" s="88"/>
      <c r="CT740" s="88"/>
      <c r="CU740" s="88"/>
      <c r="CV740" s="103"/>
      <c r="CW740" s="103"/>
      <c r="CX740" s="103"/>
      <c r="CY740" s="103"/>
      <c r="CZ740" s="103"/>
      <c r="DA740" s="103"/>
      <c r="DB740" s="103"/>
      <c r="DC740" s="103"/>
      <c r="DD740" s="156"/>
      <c r="DH740" s="105"/>
      <c r="DI740" s="105"/>
      <c r="DJ740" s="105"/>
      <c r="DK740" s="105"/>
      <c r="DL740" s="105"/>
      <c r="DM740" s="105"/>
      <c r="DN740" s="105"/>
      <c r="DO740" s="105"/>
      <c r="DP740" s="105"/>
      <c r="DQ740" s="105"/>
      <c r="DR740" s="105"/>
      <c r="DS740" s="105"/>
      <c r="DT740" s="105"/>
      <c r="DU740" s="105"/>
      <c r="DV740" s="105"/>
      <c r="DW740" s="105"/>
      <c r="DX740" s="105"/>
      <c r="DY740" s="105"/>
      <c r="DZ740" s="105"/>
      <c r="EA740" s="105"/>
      <c r="EB740" s="105"/>
      <c r="EC740" s="105"/>
      <c r="ED740" s="105"/>
      <c r="EE740" s="105"/>
      <c r="EF740" s="105"/>
      <c r="EG740" s="105"/>
      <c r="EH740" s="105"/>
      <c r="EI740" s="105"/>
      <c r="EJ740" s="105"/>
      <c r="EK740" s="105"/>
      <c r="EL740" s="105"/>
      <c r="EM740" s="105"/>
      <c r="EN740" s="105"/>
      <c r="EO740" s="105"/>
      <c r="EP740" s="105"/>
      <c r="EQ740" s="105"/>
      <c r="ER740" s="105"/>
      <c r="ES740" s="105"/>
      <c r="ET740" s="105"/>
      <c r="EU740" s="105"/>
      <c r="EV740" s="105"/>
      <c r="EW740" s="105"/>
      <c r="EX740" s="105"/>
      <c r="EY740" s="105"/>
      <c r="EZ740" s="105"/>
      <c r="FA740" s="105"/>
      <c r="FB740" s="105"/>
      <c r="FC740" s="105"/>
      <c r="FD740" s="105"/>
      <c r="FE740" s="105"/>
      <c r="FF740" s="105"/>
      <c r="FG740" s="105"/>
      <c r="FH740" s="105"/>
      <c r="FI740" s="105"/>
      <c r="FJ740" s="105"/>
      <c r="FK740" s="105"/>
      <c r="FL740" s="105"/>
      <c r="FM740" s="105"/>
      <c r="FN740" s="105"/>
      <c r="FO740" s="105"/>
      <c r="FP740" s="105"/>
      <c r="FQ740" s="105"/>
      <c r="FR740" s="105"/>
      <c r="FS740" s="105"/>
      <c r="FT740" s="105"/>
      <c r="FU740" s="105"/>
      <c r="FV740" s="105"/>
      <c r="FW740" s="105"/>
      <c r="FX740" s="105"/>
      <c r="FY740" s="105"/>
      <c r="FZ740" s="105"/>
      <c r="GA740" s="105"/>
      <c r="GB740" s="105"/>
      <c r="GC740" s="105"/>
      <c r="GD740" s="105"/>
      <c r="GE740" s="105"/>
      <c r="GF740" s="105"/>
      <c r="GG740" s="105"/>
      <c r="GH740" s="105"/>
    </row>
    <row r="741" spans="30:190" ht="6.95" customHeight="1" x14ac:dyDescent="0.15">
      <c r="AD741" s="56"/>
      <c r="AE741" s="3"/>
      <c r="AF741" s="3"/>
      <c r="AG741" s="3"/>
      <c r="AH741" s="3"/>
      <c r="AI741" s="4"/>
      <c r="AJ741" s="194">
        <f>CHOOSE(SUM((AD685&gt;={700,750,800,850,900,950})*1), 205,255,305,355,405,455)</f>
        <v>255</v>
      </c>
      <c r="AK741" s="194"/>
      <c r="AL741" s="194"/>
      <c r="AM741" s="189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190"/>
      <c r="BC741" s="190"/>
      <c r="BD741" s="190"/>
      <c r="BE741" s="4"/>
      <c r="BF741" s="4"/>
      <c r="BG741" s="4"/>
      <c r="BH741" s="1"/>
      <c r="BI741" s="1"/>
      <c r="BJ741" s="1"/>
      <c r="BK741" s="1"/>
      <c r="BL741" s="1"/>
      <c r="BM741" s="1"/>
      <c r="BN741" s="1"/>
      <c r="BO741" s="1"/>
      <c r="BP741" s="99"/>
      <c r="BQ741" s="93"/>
      <c r="BR741" s="56"/>
      <c r="BS741" s="3"/>
      <c r="BT741" s="193" t="s">
        <v>44</v>
      </c>
      <c r="BU741" s="193"/>
      <c r="BV741" s="193"/>
      <c r="BW741" s="193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111"/>
      <c r="CQ741" s="111"/>
      <c r="CR741" s="111"/>
      <c r="CS741" s="88"/>
      <c r="CT741" s="88"/>
      <c r="CU741" s="88"/>
      <c r="CV741" s="103"/>
      <c r="CW741" s="103"/>
      <c r="CX741" s="103"/>
      <c r="CY741" s="103"/>
      <c r="CZ741" s="103"/>
      <c r="DA741" s="103"/>
      <c r="DB741" s="103"/>
      <c r="DC741" s="103"/>
      <c r="DD741" s="156"/>
      <c r="DH741" s="105"/>
      <c r="DI741" s="105"/>
      <c r="DJ741" s="105"/>
      <c r="DK741" s="105"/>
      <c r="DL741" s="105"/>
      <c r="DM741" s="105"/>
      <c r="DN741" s="105"/>
      <c r="DO741" s="105"/>
      <c r="DP741" s="105"/>
      <c r="DQ741" s="105"/>
      <c r="DR741" s="105"/>
      <c r="DS741" s="105"/>
      <c r="DT741" s="105"/>
      <c r="DU741" s="105"/>
      <c r="DV741" s="105"/>
      <c r="DW741" s="105"/>
      <c r="DX741" s="105"/>
      <c r="DY741" s="105"/>
      <c r="DZ741" s="105"/>
      <c r="EA741" s="105"/>
      <c r="EB741" s="105"/>
      <c r="EC741" s="105"/>
      <c r="ED741" s="105"/>
      <c r="EE741" s="105"/>
      <c r="EF741" s="105"/>
      <c r="EG741" s="105"/>
      <c r="EH741" s="105"/>
      <c r="EI741" s="105"/>
      <c r="EJ741" s="105"/>
      <c r="EK741" s="105"/>
      <c r="EL741" s="105"/>
      <c r="EM741" s="105"/>
      <c r="EN741" s="105"/>
      <c r="EO741" s="105"/>
      <c r="EP741" s="105"/>
      <c r="EQ741" s="105"/>
      <c r="ER741" s="105"/>
      <c r="ES741" s="105"/>
      <c r="ET741" s="105"/>
      <c r="EU741" s="105"/>
      <c r="EV741" s="105"/>
      <c r="EW741" s="105"/>
      <c r="EX741" s="105"/>
      <c r="EY741" s="105"/>
      <c r="EZ741" s="105"/>
      <c r="FA741" s="105"/>
      <c r="FB741" s="105"/>
      <c r="FC741" s="105"/>
      <c r="FD741" s="105"/>
      <c r="FE741" s="105"/>
      <c r="FF741" s="105"/>
      <c r="FG741" s="105"/>
      <c r="FH741" s="105"/>
      <c r="FI741" s="105"/>
      <c r="FJ741" s="105"/>
      <c r="FK741" s="105"/>
      <c r="FL741" s="105"/>
      <c r="FM741" s="105"/>
      <c r="FN741" s="105"/>
      <c r="FO741" s="105"/>
      <c r="FP741" s="105"/>
      <c r="FQ741" s="105"/>
      <c r="FR741" s="105"/>
      <c r="FS741" s="105"/>
      <c r="FT741" s="105"/>
      <c r="FU741" s="105"/>
      <c r="FV741" s="105"/>
      <c r="FW741" s="105"/>
      <c r="FX741" s="105"/>
      <c r="FY741" s="105"/>
      <c r="FZ741" s="105"/>
      <c r="GA741" s="105"/>
      <c r="GB741" s="105"/>
      <c r="GC741" s="105"/>
      <c r="GD741" s="105"/>
      <c r="GE741" s="105"/>
      <c r="GF741" s="105"/>
      <c r="GG741" s="105"/>
      <c r="GH741" s="105"/>
    </row>
    <row r="742" spans="30:190" ht="6.95" customHeight="1" x14ac:dyDescent="0.15">
      <c r="AD742" s="56"/>
      <c r="AE742" s="3"/>
      <c r="AF742" s="3"/>
      <c r="AG742" s="3"/>
      <c r="AH742" s="3"/>
      <c r="AI742" s="4"/>
      <c r="AJ742" s="194"/>
      <c r="AK742" s="194"/>
      <c r="AL742" s="194"/>
      <c r="AM742" s="189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195">
        <f>CHOOSE(SUM((AD685&gt;={700,750,800,850,900,950})*1), 290,360,430,500,570,640)</f>
        <v>360</v>
      </c>
      <c r="BC742" s="195"/>
      <c r="BD742" s="195"/>
      <c r="BE742" s="88"/>
      <c r="BF742" s="88"/>
      <c r="BG742" s="88"/>
      <c r="BH742" s="196" t="s">
        <v>42</v>
      </c>
      <c r="BI742" s="196"/>
      <c r="BJ742" s="196"/>
      <c r="BK742" s="196">
        <v>2</v>
      </c>
      <c r="BL742" s="196"/>
      <c r="BM742" s="196" t="s">
        <v>43</v>
      </c>
      <c r="BN742" s="196"/>
      <c r="BO742" s="196"/>
      <c r="BP742" s="99"/>
      <c r="BQ742" s="93"/>
      <c r="BR742" s="56"/>
      <c r="BS742" s="3"/>
      <c r="BT742" s="193"/>
      <c r="BU742" s="193"/>
      <c r="BV742" s="193"/>
      <c r="BW742" s="193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1"/>
      <c r="CW742" s="1"/>
      <c r="CX742" s="1"/>
      <c r="CY742" s="1"/>
      <c r="CZ742" s="1"/>
      <c r="DA742" s="1"/>
      <c r="DB742" s="1"/>
      <c r="DC742" s="1"/>
      <c r="DD742" s="156"/>
      <c r="DH742" s="105"/>
      <c r="DI742" s="105"/>
      <c r="DJ742" s="105"/>
      <c r="DK742" s="105"/>
      <c r="DL742" s="105"/>
      <c r="DM742" s="105"/>
      <c r="DN742" s="105"/>
      <c r="DO742" s="105"/>
      <c r="DP742" s="105"/>
      <c r="DQ742" s="105"/>
      <c r="DR742" s="105"/>
      <c r="DS742" s="105"/>
      <c r="DT742" s="105"/>
      <c r="DU742" s="105"/>
      <c r="DV742" s="105"/>
      <c r="DW742" s="105"/>
      <c r="DX742" s="105"/>
      <c r="DY742" s="105"/>
      <c r="DZ742" s="105"/>
      <c r="EA742" s="105"/>
      <c r="EB742" s="105"/>
      <c r="EC742" s="105"/>
      <c r="ED742" s="105"/>
      <c r="EE742" s="105"/>
      <c r="EF742" s="105"/>
      <c r="EG742" s="105"/>
      <c r="EH742" s="105"/>
      <c r="EI742" s="105"/>
      <c r="EJ742" s="105"/>
      <c r="EK742" s="105"/>
      <c r="EL742" s="105"/>
      <c r="EM742" s="105"/>
      <c r="EN742" s="105"/>
      <c r="EO742" s="105"/>
      <c r="EP742" s="105"/>
      <c r="EQ742" s="105"/>
      <c r="ER742" s="105"/>
      <c r="ES742" s="105"/>
      <c r="ET742" s="105"/>
      <c r="EU742" s="105"/>
      <c r="EV742" s="105"/>
      <c r="EW742" s="105"/>
      <c r="EX742" s="105"/>
      <c r="EY742" s="105"/>
      <c r="EZ742" s="105"/>
      <c r="FA742" s="105"/>
      <c r="FB742" s="105"/>
      <c r="FC742" s="105"/>
      <c r="FD742" s="105"/>
      <c r="FE742" s="105"/>
      <c r="FF742" s="105"/>
      <c r="FG742" s="105"/>
      <c r="FH742" s="105"/>
      <c r="FI742" s="105"/>
      <c r="FJ742" s="105"/>
      <c r="FK742" s="105"/>
      <c r="FL742" s="105"/>
      <c r="FM742" s="105"/>
      <c r="FN742" s="105"/>
      <c r="FO742" s="105"/>
      <c r="FP742" s="105"/>
      <c r="FQ742" s="105"/>
      <c r="FR742" s="105"/>
      <c r="FS742" s="105"/>
      <c r="FT742" s="105"/>
      <c r="FU742" s="105"/>
      <c r="FV742" s="105"/>
      <c r="FW742" s="105"/>
      <c r="FX742" s="105"/>
      <c r="FY742" s="105"/>
      <c r="FZ742" s="105"/>
      <c r="GA742" s="105"/>
      <c r="GB742" s="105"/>
      <c r="GC742" s="105"/>
      <c r="GD742" s="105"/>
      <c r="GE742" s="105"/>
      <c r="GF742" s="105"/>
      <c r="GG742" s="105"/>
      <c r="GH742" s="105"/>
    </row>
    <row r="743" spans="30:190" ht="6.95" customHeight="1" x14ac:dyDescent="0.15">
      <c r="AD743" s="115"/>
      <c r="AE743" s="116"/>
      <c r="AF743" s="3"/>
      <c r="AG743" s="3"/>
      <c r="AH743" s="3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195"/>
      <c r="BC743" s="195"/>
      <c r="BD743" s="195"/>
      <c r="BE743" s="88"/>
      <c r="BF743" s="88"/>
      <c r="BG743" s="88"/>
      <c r="BH743" s="196"/>
      <c r="BI743" s="196"/>
      <c r="BJ743" s="196"/>
      <c r="BK743" s="196"/>
      <c r="BL743" s="196"/>
      <c r="BM743" s="196"/>
      <c r="BN743" s="196"/>
      <c r="BO743" s="196"/>
      <c r="BP743" s="99"/>
      <c r="BQ743" s="93"/>
      <c r="BR743" s="148"/>
      <c r="BS743" s="90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49"/>
      <c r="DH743" s="105"/>
      <c r="DI743" s="105"/>
      <c r="DJ743" s="105"/>
      <c r="DK743" s="105"/>
      <c r="DL743" s="105"/>
      <c r="DM743" s="105"/>
      <c r="DN743" s="105"/>
      <c r="DO743" s="105"/>
      <c r="DP743" s="105"/>
      <c r="DQ743" s="105"/>
      <c r="DR743" s="105"/>
      <c r="DS743" s="105"/>
      <c r="DT743" s="105"/>
      <c r="DU743" s="105"/>
      <c r="DV743" s="105"/>
      <c r="DW743" s="105"/>
      <c r="DX743" s="105"/>
      <c r="DY743" s="105"/>
      <c r="DZ743" s="105"/>
      <c r="EA743" s="105"/>
      <c r="EB743" s="105"/>
      <c r="EC743" s="105"/>
      <c r="ED743" s="105"/>
      <c r="EE743" s="105"/>
      <c r="EF743" s="105"/>
      <c r="EG743" s="105"/>
      <c r="EH743" s="105"/>
      <c r="EI743" s="105"/>
      <c r="EJ743" s="105"/>
      <c r="EK743" s="105"/>
      <c r="EL743" s="105"/>
      <c r="EM743" s="105"/>
      <c r="EN743" s="105"/>
      <c r="EO743" s="105"/>
      <c r="EP743" s="105"/>
      <c r="EQ743" s="105"/>
      <c r="ER743" s="105"/>
      <c r="ES743" s="105"/>
      <c r="ET743" s="105"/>
      <c r="EU743" s="105"/>
      <c r="EV743" s="105"/>
      <c r="EW743" s="105"/>
      <c r="EX743" s="105"/>
      <c r="EY743" s="105"/>
      <c r="EZ743" s="105"/>
      <c r="FA743" s="105"/>
      <c r="FB743" s="105"/>
      <c r="FC743" s="105"/>
      <c r="FD743" s="105"/>
      <c r="FE743" s="105"/>
      <c r="FF743" s="105"/>
      <c r="FG743" s="105"/>
      <c r="FH743" s="105"/>
      <c r="FI743" s="105"/>
      <c r="FJ743" s="105"/>
      <c r="FK743" s="105"/>
      <c r="FL743" s="105"/>
      <c r="FM743" s="105"/>
      <c r="FN743" s="105"/>
      <c r="FO743" s="105"/>
      <c r="FP743" s="105"/>
      <c r="FQ743" s="105"/>
      <c r="FR743" s="105"/>
      <c r="FS743" s="105"/>
      <c r="FT743" s="105"/>
      <c r="FU743" s="105"/>
      <c r="FV743" s="105"/>
      <c r="FW743" s="105"/>
      <c r="FX743" s="105"/>
      <c r="FY743" s="105"/>
      <c r="FZ743" s="105"/>
      <c r="GA743" s="105"/>
      <c r="GB743" s="105"/>
      <c r="GC743" s="105"/>
      <c r="GD743" s="105"/>
      <c r="GE743" s="105"/>
      <c r="GF743" s="105"/>
      <c r="GG743" s="105"/>
      <c r="GH743" s="105"/>
    </row>
    <row r="744" spans="30:190" ht="6.95" customHeight="1" thickBot="1" x14ac:dyDescent="0.2">
      <c r="AD744" s="114"/>
      <c r="AE744" s="117"/>
      <c r="AF744" s="51"/>
      <c r="AG744" s="51"/>
      <c r="AH744" s="51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100"/>
      <c r="BI744" s="100"/>
      <c r="BJ744" s="100"/>
      <c r="BK744" s="100"/>
      <c r="BL744" s="100"/>
      <c r="BM744" s="100"/>
      <c r="BN744" s="100"/>
      <c r="BO744" s="100"/>
      <c r="BP744" s="101"/>
      <c r="BQ744" s="93"/>
      <c r="BR744" s="148"/>
      <c r="BS744" s="90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96" t="s">
        <v>42</v>
      </c>
      <c r="CW744" s="196"/>
      <c r="CX744" s="196"/>
      <c r="CY744" s="196">
        <v>2</v>
      </c>
      <c r="CZ744" s="196"/>
      <c r="DA744" s="196" t="s">
        <v>43</v>
      </c>
      <c r="DB744" s="196"/>
      <c r="DC744" s="196"/>
      <c r="DD744" s="149"/>
      <c r="DH744" s="105"/>
      <c r="DI744" s="105"/>
      <c r="DJ744" s="105"/>
      <c r="DK744" s="105"/>
      <c r="DL744" s="105"/>
      <c r="DM744" s="105"/>
      <c r="DN744" s="105"/>
      <c r="DO744" s="105"/>
      <c r="DP744" s="105"/>
      <c r="DQ744" s="105"/>
      <c r="DR744" s="105"/>
      <c r="DS744" s="105"/>
      <c r="DT744" s="105"/>
      <c r="DU744" s="105"/>
      <c r="DV744" s="105"/>
      <c r="DW744" s="105"/>
      <c r="DX744" s="105"/>
      <c r="DY744" s="105"/>
      <c r="DZ744" s="105"/>
      <c r="EA744" s="105"/>
      <c r="EB744" s="105"/>
      <c r="EC744" s="105"/>
      <c r="ED744" s="105"/>
      <c r="EE744" s="105"/>
      <c r="EF744" s="105"/>
      <c r="EG744" s="105"/>
      <c r="EH744" s="105"/>
      <c r="EI744" s="105"/>
      <c r="EJ744" s="105"/>
      <c r="EK744" s="105"/>
      <c r="EL744" s="105"/>
      <c r="EM744" s="105"/>
      <c r="EN744" s="105"/>
      <c r="EO744" s="105"/>
      <c r="EP744" s="105"/>
      <c r="EQ744" s="105"/>
      <c r="ER744" s="105"/>
      <c r="ES744" s="105"/>
      <c r="ET744" s="105"/>
      <c r="EU744" s="105"/>
      <c r="EV744" s="105"/>
      <c r="EW744" s="105"/>
      <c r="EX744" s="105"/>
      <c r="EY744" s="105"/>
      <c r="EZ744" s="105"/>
      <c r="FA744" s="105"/>
      <c r="FB744" s="105"/>
      <c r="FC744" s="105"/>
      <c r="FD744" s="105"/>
      <c r="FE744" s="105"/>
      <c r="FF744" s="105"/>
      <c r="FG744" s="105"/>
      <c r="FH744" s="105"/>
      <c r="FI744" s="105"/>
      <c r="FJ744" s="105"/>
      <c r="FK744" s="105"/>
      <c r="FL744" s="105"/>
      <c r="FM744" s="105"/>
      <c r="FN744" s="105"/>
      <c r="FO744" s="105"/>
      <c r="FP744" s="105"/>
      <c r="FQ744" s="105"/>
      <c r="FR744" s="105"/>
      <c r="FS744" s="105"/>
      <c r="FT744" s="105"/>
      <c r="FU744" s="105"/>
      <c r="FV744" s="105"/>
      <c r="FW744" s="105"/>
      <c r="FX744" s="105"/>
      <c r="FY744" s="105"/>
      <c r="FZ744" s="105"/>
      <c r="GA744" s="105"/>
      <c r="GB744" s="105"/>
      <c r="GC744" s="105"/>
      <c r="GD744" s="105"/>
      <c r="GE744" s="105"/>
      <c r="GF744" s="105"/>
      <c r="GG744" s="105"/>
      <c r="GH744" s="105"/>
    </row>
    <row r="745" spans="30:190" ht="6.95" customHeight="1" x14ac:dyDescent="0.15">
      <c r="AD745" s="148"/>
      <c r="AE745" s="90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03"/>
      <c r="BI745" s="103"/>
      <c r="BJ745" s="103"/>
      <c r="BK745" s="103"/>
      <c r="BL745" s="103"/>
      <c r="BM745" s="103"/>
      <c r="BN745" s="103"/>
      <c r="BO745" s="103"/>
      <c r="BP745" s="149"/>
      <c r="BQ745" s="93"/>
      <c r="BR745" s="148"/>
      <c r="BS745" s="90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96"/>
      <c r="CW745" s="196"/>
      <c r="CX745" s="196"/>
      <c r="CY745" s="196"/>
      <c r="CZ745" s="196"/>
      <c r="DA745" s="196"/>
      <c r="DB745" s="196"/>
      <c r="DC745" s="196"/>
      <c r="DD745" s="149"/>
      <c r="DH745" s="105"/>
      <c r="DI745" s="105"/>
      <c r="DJ745" s="105"/>
      <c r="DK745" s="105"/>
      <c r="DL745" s="105"/>
      <c r="DM745" s="105"/>
      <c r="DN745" s="105"/>
      <c r="DO745" s="105"/>
      <c r="DP745" s="105"/>
      <c r="DQ745" s="105"/>
      <c r="DR745" s="105"/>
      <c r="DS745" s="105"/>
      <c r="DT745" s="105"/>
      <c r="DU745" s="105"/>
      <c r="DV745" s="105"/>
      <c r="DW745" s="105"/>
      <c r="DX745" s="105"/>
      <c r="DY745" s="105"/>
      <c r="DZ745" s="105"/>
      <c r="EA745" s="105"/>
      <c r="EB745" s="105"/>
      <c r="EC745" s="105"/>
      <c r="ED745" s="105"/>
      <c r="EE745" s="105"/>
      <c r="EF745" s="105"/>
      <c r="EG745" s="105"/>
      <c r="EH745" s="105"/>
      <c r="EI745" s="105"/>
      <c r="EJ745" s="105"/>
      <c r="EK745" s="105"/>
      <c r="EL745" s="105"/>
      <c r="EM745" s="105"/>
      <c r="EN745" s="105"/>
      <c r="EO745" s="105"/>
      <c r="EP745" s="105"/>
      <c r="EQ745" s="105"/>
      <c r="ER745" s="105"/>
      <c r="ES745" s="105"/>
      <c r="ET745" s="105"/>
      <c r="EU745" s="105"/>
      <c r="EV745" s="105"/>
      <c r="EW745" s="105"/>
      <c r="EX745" s="105"/>
      <c r="EY745" s="105"/>
      <c r="EZ745" s="105"/>
      <c r="FA745" s="105"/>
      <c r="FB745" s="105"/>
      <c r="FC745" s="105"/>
      <c r="FD745" s="105"/>
      <c r="FE745" s="105"/>
      <c r="FF745" s="105"/>
      <c r="FG745" s="105"/>
      <c r="FH745" s="105"/>
      <c r="FI745" s="105"/>
      <c r="FJ745" s="105"/>
      <c r="FK745" s="105"/>
      <c r="FL745" s="105"/>
      <c r="FM745" s="105"/>
      <c r="FN745" s="105"/>
      <c r="FO745" s="105"/>
      <c r="FP745" s="105"/>
      <c r="FQ745" s="105"/>
      <c r="FR745" s="105"/>
      <c r="FS745" s="105"/>
      <c r="FT745" s="105"/>
      <c r="FU745" s="105"/>
      <c r="FV745" s="105"/>
      <c r="FW745" s="105"/>
      <c r="FX745" s="105"/>
      <c r="FY745" s="105"/>
      <c r="FZ745" s="105"/>
      <c r="GA745" s="105"/>
      <c r="GB745" s="105"/>
      <c r="GC745" s="105"/>
      <c r="GD745" s="105"/>
      <c r="GE745" s="105"/>
      <c r="GF745" s="105"/>
      <c r="GG745" s="105"/>
      <c r="GH745" s="105"/>
    </row>
    <row r="746" spans="30:190" ht="6.95" customHeight="1" x14ac:dyDescent="0.15">
      <c r="AD746" s="148"/>
      <c r="AE746" s="90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49"/>
      <c r="BQ746" s="93"/>
      <c r="BR746" s="148"/>
      <c r="BS746" s="90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49"/>
      <c r="DH746" s="105"/>
      <c r="DI746" s="105"/>
      <c r="DJ746" s="105"/>
      <c r="DK746" s="105"/>
      <c r="DL746" s="105"/>
      <c r="DM746" s="105"/>
      <c r="DN746" s="105"/>
      <c r="DO746" s="105"/>
      <c r="DP746" s="105"/>
      <c r="DQ746" s="105"/>
      <c r="DR746" s="105"/>
      <c r="DS746" s="105"/>
      <c r="DT746" s="105"/>
      <c r="DU746" s="105"/>
      <c r="DV746" s="105"/>
      <c r="DW746" s="105"/>
      <c r="DX746" s="105"/>
      <c r="DY746" s="105"/>
      <c r="DZ746" s="105"/>
      <c r="EA746" s="105"/>
      <c r="EB746" s="105"/>
      <c r="EC746" s="105"/>
      <c r="ED746" s="105"/>
      <c r="EE746" s="105"/>
      <c r="EF746" s="105"/>
      <c r="EG746" s="105"/>
      <c r="EH746" s="105"/>
      <c r="EI746" s="105"/>
      <c r="EJ746" s="105"/>
      <c r="EK746" s="105"/>
      <c r="EL746" s="105"/>
      <c r="EM746" s="105"/>
      <c r="EN746" s="105"/>
      <c r="EO746" s="105"/>
      <c r="EP746" s="105"/>
      <c r="EQ746" s="105"/>
      <c r="ER746" s="105"/>
      <c r="ES746" s="105"/>
      <c r="ET746" s="105"/>
      <c r="EU746" s="105"/>
      <c r="EV746" s="105"/>
      <c r="EW746" s="105"/>
      <c r="EX746" s="105"/>
      <c r="EY746" s="105"/>
      <c r="EZ746" s="105"/>
      <c r="FA746" s="105"/>
      <c r="FB746" s="105"/>
      <c r="FC746" s="105"/>
      <c r="FD746" s="105"/>
      <c r="FE746" s="105"/>
      <c r="FF746" s="105"/>
      <c r="FG746" s="105"/>
      <c r="FH746" s="105"/>
      <c r="FI746" s="105"/>
      <c r="FJ746" s="105"/>
      <c r="FK746" s="105"/>
      <c r="FL746" s="105"/>
      <c r="FM746" s="105"/>
      <c r="FN746" s="105"/>
      <c r="FO746" s="105"/>
      <c r="FP746" s="105"/>
      <c r="FQ746" s="105"/>
      <c r="FR746" s="105"/>
      <c r="FS746" s="105"/>
      <c r="FT746" s="105"/>
      <c r="FU746" s="105"/>
      <c r="FV746" s="105"/>
      <c r="FW746" s="105"/>
      <c r="FX746" s="105"/>
      <c r="FY746" s="105"/>
      <c r="FZ746" s="105"/>
      <c r="GA746" s="105"/>
      <c r="GB746" s="105"/>
      <c r="GC746" s="105"/>
      <c r="GD746" s="105"/>
      <c r="GE746" s="105"/>
      <c r="GF746" s="105"/>
      <c r="GG746" s="105"/>
      <c r="GH746" s="105"/>
    </row>
    <row r="747" spans="30:190" ht="6.95" customHeight="1" thickBot="1" x14ac:dyDescent="0.2">
      <c r="AD747" s="150"/>
      <c r="AE747" s="151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  <c r="BB747" s="100"/>
      <c r="BC747" s="100"/>
      <c r="BD747" s="100"/>
      <c r="BE747" s="100"/>
      <c r="BF747" s="100"/>
      <c r="BG747" s="100"/>
      <c r="BH747" s="100"/>
      <c r="BI747" s="100"/>
      <c r="BJ747" s="100"/>
      <c r="BK747" s="100"/>
      <c r="BL747" s="100"/>
      <c r="BM747" s="100"/>
      <c r="BN747" s="100"/>
      <c r="BO747" s="100"/>
      <c r="BP747" s="152"/>
      <c r="BQ747" s="93"/>
      <c r="BR747" s="150"/>
      <c r="BS747" s="151"/>
      <c r="BT747" s="100"/>
      <c r="BU747" s="100"/>
      <c r="BV747" s="100"/>
      <c r="BW747" s="100"/>
      <c r="BX747" s="100"/>
      <c r="BY747" s="100"/>
      <c r="BZ747" s="100"/>
      <c r="CA747" s="100"/>
      <c r="CB747" s="100"/>
      <c r="CC747" s="100"/>
      <c r="CD747" s="100"/>
      <c r="CE747" s="100"/>
      <c r="CF747" s="100"/>
      <c r="CG747" s="100"/>
      <c r="CH747" s="100"/>
      <c r="CI747" s="100"/>
      <c r="CJ747" s="100"/>
      <c r="CK747" s="100"/>
      <c r="CL747" s="100"/>
      <c r="CM747" s="100"/>
      <c r="CN747" s="100"/>
      <c r="CO747" s="100"/>
      <c r="CP747" s="100"/>
      <c r="CQ747" s="100"/>
      <c r="CR747" s="100"/>
      <c r="CS747" s="100"/>
      <c r="CT747" s="100"/>
      <c r="CU747" s="100"/>
      <c r="CV747" s="100"/>
      <c r="CW747" s="100"/>
      <c r="CX747" s="100"/>
      <c r="CY747" s="100"/>
      <c r="CZ747" s="100"/>
      <c r="DA747" s="100"/>
      <c r="DB747" s="100"/>
      <c r="DC747" s="100"/>
      <c r="DD747" s="152"/>
      <c r="DH747" s="105"/>
      <c r="DI747" s="105"/>
      <c r="DJ747" s="105"/>
      <c r="DK747" s="105"/>
      <c r="DL747" s="105"/>
      <c r="DM747" s="105"/>
      <c r="DN747" s="105"/>
      <c r="DO747" s="105"/>
      <c r="DP747" s="105"/>
      <c r="DQ747" s="105"/>
      <c r="DR747" s="105"/>
      <c r="DS747" s="105"/>
      <c r="DT747" s="105"/>
      <c r="DU747" s="105"/>
      <c r="DV747" s="105"/>
      <c r="DW747" s="105"/>
      <c r="DX747" s="105"/>
      <c r="DY747" s="105"/>
      <c r="DZ747" s="105"/>
      <c r="EA747" s="105"/>
      <c r="EB747" s="105"/>
      <c r="EC747" s="105"/>
      <c r="ED747" s="105"/>
      <c r="EE747" s="105"/>
      <c r="EF747" s="105"/>
      <c r="EG747" s="105"/>
      <c r="EH747" s="105"/>
      <c r="EI747" s="105"/>
      <c r="EJ747" s="105"/>
      <c r="EK747" s="105"/>
      <c r="EL747" s="105"/>
      <c r="EM747" s="105"/>
      <c r="EN747" s="105"/>
      <c r="EO747" s="105"/>
      <c r="EP747" s="105"/>
      <c r="EQ747" s="105"/>
      <c r="ER747" s="105"/>
      <c r="ES747" s="105"/>
      <c r="ET747" s="105"/>
      <c r="EU747" s="105"/>
      <c r="EV747" s="105"/>
      <c r="EW747" s="105"/>
      <c r="EX747" s="105"/>
      <c r="EY747" s="105"/>
      <c r="EZ747" s="105"/>
      <c r="FA747" s="105"/>
      <c r="FB747" s="105"/>
      <c r="FC747" s="105"/>
      <c r="FD747" s="105"/>
      <c r="FE747" s="105"/>
      <c r="FF747" s="105"/>
      <c r="FG747" s="105"/>
      <c r="FH747" s="105"/>
      <c r="FI747" s="105"/>
      <c r="FJ747" s="105"/>
      <c r="FK747" s="105"/>
      <c r="FL747" s="105"/>
      <c r="FM747" s="105"/>
      <c r="FN747" s="105"/>
      <c r="FO747" s="105"/>
      <c r="FP747" s="105"/>
      <c r="FQ747" s="105"/>
      <c r="FR747" s="105"/>
      <c r="FS747" s="105"/>
      <c r="FT747" s="105"/>
      <c r="FU747" s="105"/>
      <c r="FV747" s="105"/>
      <c r="FW747" s="105"/>
      <c r="FX747" s="105"/>
      <c r="FY747" s="105"/>
      <c r="FZ747" s="105"/>
      <c r="GA747" s="105"/>
      <c r="GB747" s="105"/>
      <c r="GC747" s="105"/>
      <c r="GD747" s="105"/>
      <c r="GE747" s="105"/>
      <c r="GF747" s="105"/>
      <c r="GG747" s="105"/>
      <c r="GH747" s="105"/>
    </row>
    <row r="748" spans="30:190" ht="6.95" customHeight="1" x14ac:dyDescent="0.15"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  <c r="AZ748" s="93"/>
      <c r="BA748" s="93"/>
      <c r="BB748" s="93"/>
      <c r="BC748" s="93"/>
      <c r="BD748" s="93"/>
      <c r="BE748" s="93"/>
      <c r="BF748" s="93"/>
      <c r="BG748" s="93"/>
      <c r="BH748" s="93"/>
      <c r="BI748" s="93"/>
      <c r="BJ748" s="93"/>
      <c r="BK748" s="93"/>
      <c r="BL748" s="93"/>
      <c r="BM748" s="93"/>
      <c r="BN748" s="93"/>
      <c r="BO748" s="93"/>
      <c r="BP748" s="93"/>
      <c r="BQ748" s="93"/>
      <c r="BR748" s="93"/>
      <c r="BS748" s="93"/>
      <c r="BT748" s="93"/>
      <c r="BU748" s="93"/>
      <c r="BV748" s="93"/>
      <c r="BW748" s="93"/>
      <c r="BX748" s="93"/>
      <c r="BY748" s="93"/>
      <c r="BZ748" s="93"/>
      <c r="CA748" s="93"/>
      <c r="CB748" s="93"/>
      <c r="CC748" s="93"/>
      <c r="CD748" s="93"/>
      <c r="CE748" s="93"/>
      <c r="CF748" s="93"/>
      <c r="CG748" s="93"/>
      <c r="CH748" s="93"/>
      <c r="CI748" s="93"/>
      <c r="CJ748" s="93"/>
      <c r="CK748" s="93"/>
      <c r="CL748" s="93"/>
      <c r="CM748" s="93"/>
      <c r="CN748" s="93"/>
      <c r="CO748" s="93"/>
      <c r="CP748" s="93"/>
      <c r="CQ748" s="93"/>
      <c r="CR748" s="93"/>
      <c r="CS748" s="93"/>
      <c r="CT748" s="93"/>
      <c r="CU748" s="93"/>
      <c r="CV748" s="93"/>
      <c r="CW748" s="93"/>
      <c r="CX748" s="93"/>
      <c r="CY748" s="93"/>
      <c r="CZ748" s="93"/>
      <c r="DA748" s="93"/>
      <c r="DB748" s="93"/>
      <c r="DC748" s="93"/>
      <c r="DD748" s="93"/>
      <c r="DH748" s="105"/>
      <c r="DI748" s="105"/>
      <c r="DJ748" s="105"/>
      <c r="DK748" s="105"/>
      <c r="DL748" s="105"/>
      <c r="DM748" s="105"/>
      <c r="DN748" s="105"/>
      <c r="DO748" s="105"/>
      <c r="DP748" s="105"/>
      <c r="DQ748" s="105"/>
      <c r="DR748" s="105"/>
      <c r="DS748" s="105"/>
      <c r="DT748" s="105"/>
      <c r="DU748" s="105"/>
      <c r="DV748" s="105"/>
      <c r="DW748" s="105"/>
      <c r="DX748" s="105"/>
      <c r="DY748" s="105"/>
      <c r="DZ748" s="105"/>
      <c r="EA748" s="105"/>
      <c r="EB748" s="105"/>
      <c r="EC748" s="105"/>
      <c r="ED748" s="105"/>
      <c r="EE748" s="105"/>
      <c r="EF748" s="105"/>
      <c r="EG748" s="105"/>
      <c r="EH748" s="105"/>
      <c r="EI748" s="105"/>
      <c r="EJ748" s="105"/>
      <c r="EK748" s="105"/>
      <c r="EL748" s="105"/>
      <c r="EM748" s="105"/>
      <c r="EN748" s="105"/>
      <c r="EO748" s="105"/>
      <c r="EP748" s="105"/>
      <c r="EQ748" s="105"/>
      <c r="ER748" s="105"/>
      <c r="ES748" s="105"/>
      <c r="ET748" s="105"/>
      <c r="EU748" s="105"/>
      <c r="EV748" s="105"/>
      <c r="EW748" s="105"/>
      <c r="EX748" s="105"/>
      <c r="EY748" s="105"/>
      <c r="EZ748" s="105"/>
      <c r="FA748" s="105"/>
      <c r="FB748" s="105"/>
      <c r="FC748" s="105"/>
      <c r="FD748" s="105"/>
      <c r="FE748" s="105"/>
      <c r="FF748" s="105"/>
      <c r="FG748" s="105"/>
      <c r="FH748" s="105"/>
      <c r="FI748" s="105"/>
      <c r="FJ748" s="105"/>
      <c r="FK748" s="105"/>
      <c r="FL748" s="105"/>
      <c r="FM748" s="105"/>
      <c r="FN748" s="105"/>
      <c r="FO748" s="105"/>
      <c r="FP748" s="105"/>
      <c r="FQ748" s="105"/>
      <c r="FR748" s="105"/>
      <c r="FS748" s="105"/>
      <c r="FT748" s="105"/>
      <c r="FU748" s="105"/>
      <c r="FV748" s="105"/>
      <c r="FW748" s="105"/>
      <c r="FX748" s="105"/>
      <c r="FY748" s="105"/>
      <c r="FZ748" s="105"/>
      <c r="GA748" s="105"/>
      <c r="GB748" s="105"/>
      <c r="GC748" s="105"/>
      <c r="GD748" s="105"/>
      <c r="GE748" s="105"/>
      <c r="GF748" s="105"/>
      <c r="GG748" s="105"/>
      <c r="GH748" s="105"/>
    </row>
    <row r="749" spans="30:190" ht="6.95" customHeight="1" x14ac:dyDescent="0.15"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  <c r="AZ749" s="93"/>
      <c r="BA749" s="93"/>
      <c r="BB749" s="93"/>
      <c r="BC749" s="93"/>
      <c r="BD749" s="93"/>
      <c r="BE749" s="93"/>
      <c r="BF749" s="93"/>
      <c r="BG749" s="93"/>
      <c r="BH749" s="93"/>
      <c r="BI749" s="93"/>
      <c r="BJ749" s="93"/>
      <c r="BK749" s="93"/>
      <c r="BL749" s="93"/>
      <c r="BM749" s="93"/>
      <c r="BN749" s="93"/>
      <c r="BO749" s="93"/>
      <c r="BP749" s="93"/>
      <c r="BQ749" s="93"/>
      <c r="BR749" s="93"/>
      <c r="BS749" s="93"/>
      <c r="BT749" s="93"/>
      <c r="BU749" s="93"/>
      <c r="BV749" s="93"/>
      <c r="BW749" s="93"/>
      <c r="BX749" s="93"/>
      <c r="BY749" s="93"/>
      <c r="BZ749" s="93"/>
      <c r="CA749" s="93"/>
      <c r="CB749" s="93"/>
      <c r="CC749" s="93"/>
      <c r="CD749" s="93"/>
      <c r="CE749" s="93"/>
      <c r="CF749" s="93"/>
      <c r="CG749" s="93"/>
      <c r="CH749" s="93"/>
      <c r="CI749" s="93"/>
      <c r="CJ749" s="93"/>
      <c r="CK749" s="93"/>
      <c r="CL749" s="93"/>
      <c r="CM749" s="93"/>
      <c r="CN749" s="93"/>
      <c r="CO749" s="93"/>
      <c r="CP749" s="93"/>
      <c r="CQ749" s="93"/>
      <c r="CR749" s="93"/>
      <c r="CS749" s="93"/>
      <c r="CT749" s="93"/>
      <c r="CU749" s="93"/>
      <c r="CV749" s="93"/>
      <c r="CW749" s="93"/>
      <c r="CX749" s="93"/>
      <c r="CY749" s="93"/>
      <c r="CZ749" s="93"/>
      <c r="DA749" s="93"/>
      <c r="DB749" s="93"/>
      <c r="DC749" s="93"/>
      <c r="DD749" s="93"/>
      <c r="DH749" s="105"/>
      <c r="DI749" s="105"/>
      <c r="DJ749" s="105"/>
      <c r="DK749" s="105"/>
      <c r="DL749" s="105"/>
      <c r="DM749" s="105"/>
      <c r="DN749" s="105"/>
      <c r="DO749" s="105"/>
      <c r="DP749" s="105"/>
      <c r="DQ749" s="105"/>
      <c r="DR749" s="105"/>
      <c r="DS749" s="105"/>
      <c r="DT749" s="105"/>
      <c r="DU749" s="105"/>
      <c r="DV749" s="105"/>
      <c r="DW749" s="105"/>
      <c r="DX749" s="105"/>
      <c r="DY749" s="105"/>
      <c r="DZ749" s="105"/>
      <c r="EA749" s="105"/>
      <c r="EB749" s="105"/>
      <c r="EC749" s="105"/>
      <c r="ED749" s="105"/>
      <c r="EE749" s="105"/>
      <c r="EF749" s="105"/>
      <c r="EG749" s="105"/>
      <c r="EH749" s="105"/>
      <c r="EI749" s="105"/>
      <c r="EJ749" s="105"/>
      <c r="EK749" s="105"/>
      <c r="EL749" s="105"/>
      <c r="EM749" s="105"/>
      <c r="EN749" s="105"/>
      <c r="EO749" s="105"/>
      <c r="EP749" s="105"/>
      <c r="EQ749" s="105"/>
      <c r="ER749" s="105"/>
      <c r="ES749" s="105"/>
      <c r="ET749" s="105"/>
      <c r="EU749" s="105"/>
      <c r="EV749" s="105"/>
      <c r="EW749" s="105"/>
      <c r="EX749" s="105"/>
      <c r="EY749" s="105"/>
      <c r="EZ749" s="105"/>
      <c r="FA749" s="105"/>
      <c r="FB749" s="105"/>
      <c r="FC749" s="105"/>
      <c r="FD749" s="105"/>
      <c r="FE749" s="105"/>
      <c r="FF749" s="105"/>
      <c r="FG749" s="105"/>
      <c r="FH749" s="105"/>
      <c r="FI749" s="105"/>
      <c r="FJ749" s="105"/>
      <c r="FK749" s="105"/>
      <c r="FL749" s="105"/>
      <c r="FM749" s="105"/>
      <c r="FN749" s="105"/>
      <c r="FO749" s="105"/>
      <c r="FP749" s="105"/>
      <c r="FQ749" s="105"/>
      <c r="FR749" s="105"/>
      <c r="FS749" s="105"/>
      <c r="FT749" s="105"/>
      <c r="FU749" s="105"/>
      <c r="FV749" s="105"/>
      <c r="FW749" s="105"/>
      <c r="FX749" s="105"/>
      <c r="FY749" s="105"/>
      <c r="FZ749" s="105"/>
      <c r="GA749" s="105"/>
      <c r="GB749" s="105"/>
      <c r="GC749" s="105"/>
      <c r="GD749" s="105"/>
      <c r="GE749" s="105"/>
      <c r="GF749" s="105"/>
      <c r="GG749" s="105"/>
      <c r="GH749" s="105"/>
    </row>
    <row r="750" spans="30:190" ht="6.95" customHeight="1" x14ac:dyDescent="0.15"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  <c r="AZ750" s="93"/>
      <c r="BA750" s="93"/>
      <c r="BB750" s="93"/>
      <c r="BC750" s="93"/>
      <c r="BD750" s="93"/>
      <c r="BE750" s="93"/>
      <c r="BF750" s="93"/>
      <c r="BG750" s="93"/>
      <c r="BH750" s="93"/>
      <c r="BI750" s="93"/>
      <c r="BJ750" s="93"/>
      <c r="BK750" s="93"/>
      <c r="BL750" s="93"/>
      <c r="BM750" s="93"/>
      <c r="BN750" s="93"/>
      <c r="BO750" s="93"/>
      <c r="BP750" s="93"/>
      <c r="BQ750" s="93"/>
      <c r="BR750" s="93"/>
      <c r="BS750" s="93"/>
      <c r="BT750" s="93"/>
      <c r="BU750" s="93"/>
      <c r="BV750" s="93"/>
      <c r="BW750" s="93"/>
      <c r="BX750" s="93"/>
      <c r="BY750" s="93"/>
      <c r="BZ750" s="93"/>
      <c r="CA750" s="93"/>
      <c r="CB750" s="93"/>
      <c r="CC750" s="93"/>
      <c r="CD750" s="93"/>
      <c r="CE750" s="93"/>
      <c r="CF750" s="93"/>
      <c r="CG750" s="93"/>
      <c r="CH750" s="93"/>
      <c r="CI750" s="93"/>
      <c r="CJ750" s="93"/>
      <c r="CK750" s="93"/>
      <c r="CL750" s="93"/>
      <c r="CM750" s="93"/>
      <c r="CN750" s="93"/>
      <c r="CO750" s="93"/>
      <c r="CP750" s="93"/>
      <c r="CQ750" s="93"/>
      <c r="CR750" s="93"/>
      <c r="CS750" s="93"/>
      <c r="CT750" s="93"/>
      <c r="CU750" s="93"/>
      <c r="CV750" s="93"/>
      <c r="CW750" s="93"/>
      <c r="CX750" s="93"/>
      <c r="CY750" s="93"/>
      <c r="CZ750" s="93"/>
      <c r="DA750" s="93"/>
      <c r="DB750" s="93"/>
      <c r="DC750" s="93"/>
      <c r="DD750" s="93"/>
      <c r="DH750" s="105"/>
      <c r="DI750" s="105"/>
      <c r="DJ750" s="105"/>
      <c r="DK750" s="105"/>
      <c r="DL750" s="105"/>
      <c r="DM750" s="105"/>
      <c r="DN750" s="105"/>
      <c r="DO750" s="105"/>
      <c r="DP750" s="105"/>
      <c r="DQ750" s="105"/>
      <c r="DR750" s="105"/>
      <c r="DS750" s="105"/>
      <c r="DT750" s="105"/>
      <c r="DU750" s="105"/>
      <c r="DV750" s="105"/>
      <c r="DW750" s="105"/>
      <c r="DX750" s="105"/>
      <c r="DY750" s="105"/>
      <c r="DZ750" s="105"/>
      <c r="EA750" s="105"/>
      <c r="EB750" s="105"/>
      <c r="EC750" s="105"/>
      <c r="ED750" s="105"/>
      <c r="EE750" s="105"/>
      <c r="EF750" s="105"/>
      <c r="EG750" s="105"/>
      <c r="EH750" s="105"/>
      <c r="EI750" s="105"/>
      <c r="EJ750" s="105"/>
      <c r="EK750" s="105"/>
      <c r="EL750" s="105"/>
      <c r="EM750" s="105"/>
      <c r="EN750" s="105"/>
      <c r="EO750" s="105"/>
      <c r="EP750" s="105"/>
      <c r="EQ750" s="105"/>
      <c r="ER750" s="105"/>
      <c r="ES750" s="105"/>
      <c r="ET750" s="105"/>
      <c r="EU750" s="105"/>
      <c r="EV750" s="105"/>
      <c r="EW750" s="105"/>
      <c r="EX750" s="105"/>
      <c r="EY750" s="105"/>
      <c r="EZ750" s="105"/>
      <c r="FA750" s="105"/>
      <c r="FB750" s="105"/>
      <c r="FC750" s="105"/>
      <c r="FD750" s="105"/>
      <c r="FE750" s="105"/>
      <c r="FF750" s="105"/>
      <c r="FG750" s="105"/>
      <c r="FH750" s="105"/>
      <c r="FI750" s="105"/>
      <c r="FJ750" s="105"/>
      <c r="FK750" s="105"/>
      <c r="FL750" s="105"/>
      <c r="FM750" s="105"/>
      <c r="FN750" s="105"/>
      <c r="FO750" s="105"/>
      <c r="FP750" s="105"/>
      <c r="FQ750" s="105"/>
      <c r="FR750" s="105"/>
      <c r="FS750" s="105"/>
      <c r="FT750" s="105"/>
      <c r="FU750" s="105"/>
      <c r="FV750" s="105"/>
      <c r="FW750" s="105"/>
      <c r="FX750" s="105"/>
      <c r="FY750" s="105"/>
      <c r="FZ750" s="105"/>
      <c r="GA750" s="105"/>
      <c r="GB750" s="105"/>
      <c r="GC750" s="105"/>
      <c r="GD750" s="105"/>
      <c r="GE750" s="105"/>
      <c r="GF750" s="105"/>
      <c r="GG750" s="105"/>
      <c r="GH750" s="105"/>
    </row>
    <row r="751" spans="30:190" ht="6.95" customHeight="1" x14ac:dyDescent="0.15"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  <c r="AZ751" s="93"/>
      <c r="BA751" s="93"/>
      <c r="BB751" s="93"/>
      <c r="BC751" s="93"/>
      <c r="BD751" s="93"/>
      <c r="BE751" s="93"/>
      <c r="BF751" s="93"/>
      <c r="BG751" s="93"/>
      <c r="BH751" s="93"/>
      <c r="BI751" s="93"/>
      <c r="BJ751" s="93"/>
      <c r="BK751" s="93"/>
      <c r="BL751" s="93"/>
      <c r="BM751" s="93"/>
      <c r="BN751" s="93"/>
      <c r="BO751" s="93"/>
      <c r="BP751" s="93"/>
      <c r="BQ751" s="93"/>
      <c r="BR751" s="93"/>
      <c r="BS751" s="93"/>
      <c r="BT751" s="93"/>
      <c r="BU751" s="93"/>
      <c r="BV751" s="93"/>
      <c r="BW751" s="93"/>
      <c r="BX751" s="93"/>
      <c r="BY751" s="93"/>
      <c r="BZ751" s="93"/>
      <c r="CA751" s="93"/>
      <c r="CB751" s="93"/>
      <c r="CC751" s="93"/>
      <c r="CD751" s="93"/>
      <c r="CE751" s="93"/>
      <c r="CF751" s="93"/>
      <c r="CG751" s="93"/>
      <c r="CH751" s="93"/>
      <c r="CI751" s="93"/>
      <c r="CJ751" s="93"/>
      <c r="CK751" s="93"/>
      <c r="CL751" s="93"/>
      <c r="CM751" s="93"/>
      <c r="CN751" s="93"/>
      <c r="CO751" s="93"/>
      <c r="CP751" s="93"/>
      <c r="CQ751" s="93"/>
      <c r="CR751" s="93"/>
      <c r="CS751" s="93"/>
      <c r="CT751" s="93"/>
      <c r="CU751" s="93"/>
      <c r="CV751" s="93"/>
      <c r="CW751" s="93"/>
      <c r="CX751" s="93"/>
      <c r="CY751" s="93"/>
      <c r="CZ751" s="93"/>
      <c r="DA751" s="93"/>
      <c r="DB751" s="93"/>
      <c r="DC751" s="93"/>
      <c r="DD751" s="93"/>
      <c r="DH751" s="105"/>
      <c r="DI751" s="105"/>
      <c r="DJ751" s="105"/>
      <c r="DK751" s="105"/>
      <c r="DL751" s="105"/>
      <c r="DM751" s="105"/>
      <c r="DN751" s="105"/>
      <c r="DO751" s="105"/>
      <c r="DP751" s="105"/>
      <c r="DQ751" s="105"/>
      <c r="DR751" s="105"/>
      <c r="DS751" s="105"/>
      <c r="DT751" s="105"/>
      <c r="DU751" s="105"/>
      <c r="DV751" s="105"/>
      <c r="DW751" s="105"/>
      <c r="DX751" s="105"/>
      <c r="DY751" s="105"/>
      <c r="DZ751" s="105"/>
      <c r="EA751" s="105"/>
      <c r="EB751" s="105"/>
      <c r="EC751" s="105"/>
      <c r="ED751" s="105"/>
      <c r="EE751" s="105"/>
      <c r="EF751" s="105"/>
      <c r="EG751" s="105"/>
      <c r="EH751" s="105"/>
      <c r="EI751" s="105"/>
      <c r="EJ751" s="105"/>
      <c r="EK751" s="105"/>
      <c r="EL751" s="105"/>
      <c r="EM751" s="105"/>
      <c r="EN751" s="105"/>
      <c r="EO751" s="105"/>
      <c r="EP751" s="105"/>
      <c r="EQ751" s="105"/>
      <c r="ER751" s="105"/>
      <c r="ES751" s="105"/>
      <c r="ET751" s="105"/>
      <c r="EU751" s="105"/>
      <c r="EV751" s="105"/>
      <c r="EW751" s="105"/>
      <c r="EX751" s="105"/>
      <c r="EY751" s="105"/>
      <c r="EZ751" s="105"/>
      <c r="FA751" s="105"/>
      <c r="FB751" s="105"/>
      <c r="FC751" s="105"/>
      <c r="FD751" s="105"/>
      <c r="FE751" s="105"/>
      <c r="FF751" s="105"/>
      <c r="FG751" s="105"/>
      <c r="FH751" s="105"/>
      <c r="FI751" s="105"/>
      <c r="FJ751" s="105"/>
      <c r="FK751" s="105"/>
      <c r="FL751" s="105"/>
      <c r="FM751" s="105"/>
      <c r="FN751" s="105"/>
      <c r="FO751" s="105"/>
      <c r="FP751" s="105"/>
      <c r="FQ751" s="105"/>
      <c r="FR751" s="105"/>
      <c r="FS751" s="105"/>
      <c r="FT751" s="105"/>
      <c r="FU751" s="105"/>
      <c r="FV751" s="105"/>
      <c r="FW751" s="105"/>
      <c r="FX751" s="105"/>
      <c r="FY751" s="105"/>
      <c r="FZ751" s="105"/>
      <c r="GA751" s="105"/>
      <c r="GB751" s="105"/>
      <c r="GC751" s="105"/>
      <c r="GD751" s="105"/>
      <c r="GE751" s="105"/>
      <c r="GF751" s="105"/>
      <c r="GG751" s="105"/>
      <c r="GH751" s="105"/>
    </row>
    <row r="752" spans="30:190" ht="6.95" customHeight="1" x14ac:dyDescent="0.15"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3"/>
      <c r="BF752" s="93"/>
      <c r="BG752" s="93"/>
      <c r="BH752" s="93"/>
      <c r="BI752" s="93"/>
      <c r="BJ752" s="93"/>
      <c r="BK752" s="93"/>
      <c r="BL752" s="93"/>
      <c r="BM752" s="93"/>
      <c r="BN752" s="93"/>
      <c r="BO752" s="93"/>
      <c r="BP752" s="93"/>
      <c r="BQ752" s="93"/>
      <c r="BR752" s="93"/>
      <c r="BS752" s="93"/>
      <c r="BT752" s="93"/>
      <c r="BU752" s="93"/>
      <c r="BV752" s="93"/>
      <c r="BW752" s="93"/>
      <c r="BX752" s="93"/>
      <c r="BY752" s="93"/>
      <c r="BZ752" s="93"/>
      <c r="CA752" s="93"/>
      <c r="CB752" s="93"/>
      <c r="CC752" s="93"/>
      <c r="CD752" s="93"/>
      <c r="CE752" s="93"/>
      <c r="CF752" s="93"/>
      <c r="CG752" s="93"/>
      <c r="CH752" s="93"/>
      <c r="CI752" s="93"/>
      <c r="CJ752" s="93"/>
      <c r="CK752" s="93"/>
      <c r="CL752" s="93"/>
      <c r="CM752" s="93"/>
      <c r="CN752" s="93"/>
      <c r="CO752" s="93"/>
      <c r="CP752" s="93"/>
      <c r="CQ752" s="93"/>
      <c r="CR752" s="93"/>
      <c r="CS752" s="93"/>
      <c r="CT752" s="93"/>
      <c r="CU752" s="93"/>
      <c r="CV752" s="93"/>
      <c r="CW752" s="93"/>
      <c r="CX752" s="93"/>
      <c r="CY752" s="93"/>
      <c r="CZ752" s="93"/>
      <c r="DA752" s="93"/>
      <c r="DB752" s="93"/>
      <c r="DC752" s="93"/>
      <c r="DD752" s="93"/>
      <c r="DH752" s="105"/>
      <c r="DI752" s="105"/>
      <c r="DJ752" s="105"/>
      <c r="DK752" s="105"/>
      <c r="DL752" s="105"/>
      <c r="DM752" s="105"/>
      <c r="DN752" s="105"/>
      <c r="DO752" s="105"/>
      <c r="DP752" s="105"/>
      <c r="DQ752" s="105"/>
      <c r="DR752" s="105"/>
      <c r="DS752" s="105"/>
      <c r="DT752" s="105"/>
      <c r="DU752" s="105"/>
      <c r="DV752" s="105"/>
      <c r="DW752" s="105"/>
      <c r="DX752" s="105"/>
      <c r="DY752" s="105"/>
      <c r="DZ752" s="105"/>
      <c r="EA752" s="105"/>
      <c r="EB752" s="105"/>
      <c r="EC752" s="105"/>
      <c r="ED752" s="105"/>
      <c r="EE752" s="105"/>
      <c r="EF752" s="105"/>
      <c r="EG752" s="105"/>
      <c r="EH752" s="105"/>
      <c r="EI752" s="105"/>
      <c r="EJ752" s="105"/>
      <c r="EK752" s="105"/>
      <c r="EL752" s="105"/>
      <c r="EM752" s="105"/>
      <c r="EN752" s="105"/>
      <c r="EO752" s="105"/>
      <c r="EP752" s="105"/>
      <c r="EQ752" s="105"/>
      <c r="ER752" s="105"/>
      <c r="ES752" s="105"/>
      <c r="ET752" s="105"/>
      <c r="EU752" s="105"/>
      <c r="EV752" s="105"/>
      <c r="EW752" s="105"/>
      <c r="EX752" s="105"/>
      <c r="EY752" s="105"/>
      <c r="EZ752" s="105"/>
      <c r="FA752" s="105"/>
      <c r="FB752" s="105"/>
      <c r="FC752" s="105"/>
      <c r="FD752" s="105"/>
      <c r="FE752" s="105"/>
      <c r="FF752" s="105"/>
      <c r="FG752" s="105"/>
      <c r="FH752" s="105"/>
      <c r="FI752" s="105"/>
      <c r="FJ752" s="105"/>
      <c r="FK752" s="105"/>
      <c r="FL752" s="105"/>
      <c r="FM752" s="105"/>
      <c r="FN752" s="105"/>
      <c r="FO752" s="105"/>
      <c r="FP752" s="105"/>
      <c r="FQ752" s="105"/>
      <c r="FR752" s="105"/>
      <c r="FS752" s="105"/>
      <c r="FT752" s="105"/>
      <c r="FU752" s="105"/>
      <c r="FV752" s="105"/>
      <c r="FW752" s="105"/>
      <c r="FX752" s="105"/>
      <c r="FY752" s="105"/>
      <c r="FZ752" s="105"/>
      <c r="GA752" s="105"/>
      <c r="GB752" s="105"/>
      <c r="GC752" s="105"/>
      <c r="GD752" s="105"/>
      <c r="GE752" s="105"/>
      <c r="GF752" s="105"/>
      <c r="GG752" s="105"/>
      <c r="GH752" s="105"/>
    </row>
    <row r="753" spans="30:190" ht="6.95" customHeight="1" x14ac:dyDescent="0.15"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  <c r="AZ753" s="93"/>
      <c r="BA753" s="93"/>
      <c r="BB753" s="93"/>
      <c r="BC753" s="93"/>
      <c r="BD753" s="93"/>
      <c r="BE753" s="93"/>
      <c r="BF753" s="93"/>
      <c r="BG753" s="93"/>
      <c r="BH753" s="93"/>
      <c r="BI753" s="93"/>
      <c r="BJ753" s="93"/>
      <c r="BK753" s="93"/>
      <c r="BL753" s="93"/>
      <c r="BM753" s="93"/>
      <c r="BN753" s="93"/>
      <c r="BO753" s="93"/>
      <c r="BP753" s="93"/>
      <c r="BQ753" s="93"/>
      <c r="BR753" s="93"/>
      <c r="BS753" s="93"/>
      <c r="BT753" s="93"/>
      <c r="BU753" s="93"/>
      <c r="BV753" s="93"/>
      <c r="BW753" s="93"/>
      <c r="BX753" s="93"/>
      <c r="BY753" s="93"/>
      <c r="BZ753" s="93"/>
      <c r="CA753" s="93"/>
      <c r="CB753" s="93"/>
      <c r="CC753" s="93"/>
      <c r="CD753" s="93"/>
      <c r="CE753" s="93"/>
      <c r="CF753" s="93"/>
      <c r="CG753" s="93"/>
      <c r="CH753" s="93"/>
      <c r="CI753" s="93"/>
      <c r="CJ753" s="93"/>
      <c r="CK753" s="93"/>
      <c r="CL753" s="93"/>
      <c r="CM753" s="93"/>
      <c r="CN753" s="93"/>
      <c r="CO753" s="93"/>
      <c r="CP753" s="93"/>
      <c r="CQ753" s="93"/>
      <c r="CR753" s="93"/>
      <c r="CS753" s="93"/>
      <c r="CT753" s="93"/>
      <c r="CU753" s="93"/>
      <c r="CV753" s="93"/>
      <c r="CW753" s="93"/>
      <c r="CX753" s="93"/>
      <c r="CY753" s="93"/>
      <c r="CZ753" s="93"/>
      <c r="DA753" s="93"/>
      <c r="DB753" s="93"/>
      <c r="DC753" s="93"/>
      <c r="DD753" s="93"/>
      <c r="DH753" s="105"/>
      <c r="DI753" s="105"/>
      <c r="DJ753" s="105"/>
      <c r="DK753" s="105"/>
      <c r="DL753" s="105"/>
      <c r="DM753" s="105"/>
      <c r="DN753" s="105"/>
      <c r="DO753" s="105"/>
      <c r="DP753" s="105"/>
      <c r="DQ753" s="105"/>
      <c r="DR753" s="105"/>
      <c r="DS753" s="105"/>
      <c r="DT753" s="105"/>
      <c r="DU753" s="105"/>
      <c r="DV753" s="105"/>
      <c r="DW753" s="105"/>
      <c r="DX753" s="105"/>
      <c r="DY753" s="105"/>
      <c r="DZ753" s="105"/>
      <c r="EA753" s="105"/>
      <c r="EB753" s="105"/>
      <c r="EC753" s="105"/>
      <c r="ED753" s="105"/>
      <c r="EE753" s="105"/>
      <c r="EF753" s="105"/>
      <c r="EG753" s="105"/>
      <c r="EH753" s="105"/>
      <c r="EI753" s="105"/>
      <c r="EJ753" s="105"/>
      <c r="EK753" s="105"/>
      <c r="EL753" s="105"/>
      <c r="EM753" s="105"/>
      <c r="EN753" s="105"/>
      <c r="EO753" s="105"/>
      <c r="EP753" s="105"/>
      <c r="EQ753" s="105"/>
      <c r="ER753" s="105"/>
      <c r="ES753" s="105"/>
      <c r="ET753" s="105"/>
      <c r="EU753" s="105"/>
      <c r="EV753" s="105"/>
      <c r="EW753" s="105"/>
      <c r="EX753" s="105"/>
      <c r="EY753" s="105"/>
      <c r="EZ753" s="105"/>
      <c r="FA753" s="105"/>
      <c r="FB753" s="105"/>
      <c r="FC753" s="105"/>
      <c r="FD753" s="105"/>
      <c r="FE753" s="105"/>
      <c r="FF753" s="105"/>
      <c r="FG753" s="105"/>
      <c r="FH753" s="105"/>
      <c r="FI753" s="105"/>
      <c r="FJ753" s="105"/>
      <c r="FK753" s="105"/>
      <c r="FL753" s="105"/>
      <c r="FM753" s="105"/>
      <c r="FN753" s="105"/>
      <c r="FO753" s="105"/>
      <c r="FP753" s="105"/>
      <c r="FQ753" s="105"/>
      <c r="FR753" s="105"/>
      <c r="FS753" s="105"/>
      <c r="FT753" s="105"/>
      <c r="FU753" s="105"/>
      <c r="FV753" s="105"/>
      <c r="FW753" s="105"/>
      <c r="FX753" s="105"/>
      <c r="FY753" s="105"/>
      <c r="FZ753" s="105"/>
      <c r="GA753" s="105"/>
      <c r="GB753" s="105"/>
      <c r="GC753" s="105"/>
      <c r="GD753" s="105"/>
      <c r="GE753" s="105"/>
      <c r="GF753" s="105"/>
      <c r="GG753" s="105"/>
      <c r="GH753" s="105"/>
    </row>
    <row r="754" spans="30:190" ht="6.95" customHeight="1" x14ac:dyDescent="0.15"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  <c r="AZ754" s="93"/>
      <c r="BA754" s="93"/>
      <c r="BB754" s="93"/>
      <c r="BC754" s="93"/>
      <c r="BD754" s="93"/>
      <c r="BE754" s="93"/>
      <c r="BF754" s="93"/>
      <c r="BG754" s="93"/>
      <c r="BH754" s="93"/>
      <c r="BI754" s="93"/>
      <c r="BJ754" s="93"/>
      <c r="BK754" s="93"/>
      <c r="BL754" s="93"/>
      <c r="BM754" s="93"/>
      <c r="BN754" s="93"/>
      <c r="BO754" s="93"/>
      <c r="BP754" s="93"/>
      <c r="BQ754" s="93"/>
      <c r="BR754" s="93"/>
      <c r="BS754" s="93"/>
      <c r="BT754" s="93"/>
      <c r="BU754" s="93"/>
      <c r="BV754" s="93"/>
      <c r="BW754" s="93"/>
      <c r="BX754" s="93"/>
      <c r="BY754" s="93"/>
      <c r="BZ754" s="93"/>
      <c r="CA754" s="93"/>
      <c r="CB754" s="93"/>
      <c r="CC754" s="93"/>
      <c r="CD754" s="93"/>
      <c r="CE754" s="93"/>
      <c r="CF754" s="93"/>
      <c r="CG754" s="93"/>
      <c r="CH754" s="93"/>
      <c r="CI754" s="93"/>
      <c r="CJ754" s="93"/>
      <c r="CK754" s="93"/>
      <c r="CL754" s="93"/>
      <c r="CM754" s="93"/>
      <c r="CN754" s="93"/>
      <c r="CO754" s="93"/>
      <c r="CP754" s="93"/>
      <c r="CQ754" s="93"/>
      <c r="CR754" s="93"/>
      <c r="CS754" s="93"/>
      <c r="CT754" s="93"/>
      <c r="CU754" s="93"/>
      <c r="CV754" s="93"/>
      <c r="CW754" s="93"/>
      <c r="CX754" s="93"/>
      <c r="CY754" s="93"/>
      <c r="CZ754" s="93"/>
      <c r="DA754" s="93"/>
      <c r="DB754" s="93"/>
      <c r="DC754" s="93"/>
      <c r="DD754" s="93"/>
      <c r="DH754" s="105"/>
      <c r="DI754" s="105"/>
      <c r="DJ754" s="105"/>
      <c r="DK754" s="105"/>
      <c r="DL754" s="105"/>
      <c r="DM754" s="105"/>
      <c r="DN754" s="105"/>
      <c r="DO754" s="105"/>
      <c r="DP754" s="105"/>
      <c r="DQ754" s="105"/>
      <c r="DR754" s="105"/>
      <c r="DS754" s="105"/>
      <c r="DT754" s="105"/>
      <c r="DU754" s="105"/>
      <c r="DV754" s="105"/>
      <c r="DW754" s="105"/>
      <c r="DX754" s="105"/>
      <c r="DY754" s="105"/>
      <c r="DZ754" s="105"/>
      <c r="EA754" s="105"/>
      <c r="EB754" s="105"/>
      <c r="EC754" s="105"/>
      <c r="ED754" s="105"/>
      <c r="EE754" s="105"/>
      <c r="EF754" s="105"/>
      <c r="EG754" s="105"/>
      <c r="EH754" s="105"/>
      <c r="EI754" s="105"/>
      <c r="EJ754" s="105"/>
      <c r="EK754" s="105"/>
      <c r="EL754" s="105"/>
      <c r="EM754" s="105"/>
      <c r="EN754" s="105"/>
      <c r="EO754" s="105"/>
      <c r="EP754" s="105"/>
      <c r="EQ754" s="105"/>
      <c r="ER754" s="105"/>
      <c r="ES754" s="105"/>
      <c r="ET754" s="105"/>
      <c r="EU754" s="105"/>
      <c r="EV754" s="105"/>
      <c r="EW754" s="105"/>
      <c r="EX754" s="105"/>
      <c r="EY754" s="105"/>
      <c r="EZ754" s="105"/>
      <c r="FA754" s="105"/>
      <c r="FB754" s="105"/>
      <c r="FC754" s="105"/>
      <c r="FD754" s="105"/>
      <c r="FE754" s="105"/>
      <c r="FF754" s="105"/>
      <c r="FG754" s="105"/>
      <c r="FH754" s="105"/>
      <c r="FI754" s="105"/>
      <c r="FJ754" s="105"/>
      <c r="FK754" s="105"/>
      <c r="FL754" s="105"/>
      <c r="FM754" s="105"/>
      <c r="FN754" s="105"/>
      <c r="FO754" s="105"/>
      <c r="FP754" s="105"/>
      <c r="FQ754" s="105"/>
      <c r="FR754" s="105"/>
      <c r="FS754" s="105"/>
      <c r="FT754" s="105"/>
      <c r="FU754" s="105"/>
      <c r="FV754" s="105"/>
      <c r="FW754" s="105"/>
      <c r="FX754" s="105"/>
      <c r="FY754" s="105"/>
      <c r="FZ754" s="105"/>
      <c r="GA754" s="105"/>
      <c r="GB754" s="105"/>
      <c r="GC754" s="105"/>
      <c r="GD754" s="105"/>
      <c r="GE754" s="105"/>
      <c r="GF754" s="105"/>
      <c r="GG754" s="105"/>
      <c r="GH754" s="105"/>
    </row>
    <row r="755" spans="30:190" ht="6.95" customHeight="1" x14ac:dyDescent="0.15"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3"/>
      <c r="BF755" s="93"/>
      <c r="BG755" s="93"/>
      <c r="BH755" s="93"/>
      <c r="BI755" s="93"/>
      <c r="BJ755" s="93"/>
      <c r="BK755" s="93"/>
      <c r="BL755" s="93"/>
      <c r="BM755" s="93"/>
      <c r="BN755" s="93"/>
      <c r="BO755" s="93"/>
      <c r="BP755" s="93"/>
      <c r="BQ755" s="93"/>
      <c r="BR755" s="93"/>
      <c r="BS755" s="93"/>
      <c r="BT755" s="93"/>
      <c r="BU755" s="93"/>
      <c r="BV755" s="93"/>
      <c r="BW755" s="93"/>
      <c r="BX755" s="93"/>
      <c r="BY755" s="93"/>
      <c r="BZ755" s="93"/>
      <c r="CA755" s="93"/>
      <c r="CB755" s="93"/>
      <c r="CC755" s="93"/>
      <c r="CD755" s="93"/>
      <c r="CE755" s="93"/>
      <c r="CF755" s="93"/>
      <c r="CG755" s="93"/>
      <c r="CH755" s="93"/>
      <c r="CI755" s="93"/>
      <c r="CJ755" s="93"/>
      <c r="CK755" s="93"/>
      <c r="CL755" s="93"/>
      <c r="CM755" s="93"/>
      <c r="CN755" s="93"/>
      <c r="CO755" s="93"/>
      <c r="CP755" s="93"/>
      <c r="CQ755" s="93"/>
      <c r="CR755" s="93"/>
      <c r="CS755" s="93"/>
      <c r="CT755" s="93"/>
      <c r="CU755" s="93"/>
      <c r="CV755" s="93"/>
      <c r="CW755" s="93"/>
      <c r="CX755" s="93"/>
      <c r="CY755" s="93"/>
      <c r="CZ755" s="93"/>
      <c r="DA755" s="93"/>
      <c r="DB755" s="93"/>
      <c r="DC755" s="93"/>
      <c r="DD755" s="93"/>
      <c r="DH755" s="105"/>
      <c r="DI755" s="105"/>
      <c r="DJ755" s="105"/>
      <c r="DK755" s="105"/>
      <c r="DL755" s="105"/>
      <c r="DM755" s="105"/>
      <c r="DN755" s="105"/>
      <c r="DO755" s="105"/>
      <c r="DP755" s="105"/>
      <c r="DQ755" s="105"/>
      <c r="DR755" s="105"/>
      <c r="DS755" s="105"/>
      <c r="DT755" s="105"/>
      <c r="DU755" s="105"/>
      <c r="DV755" s="105"/>
      <c r="DW755" s="105"/>
      <c r="DX755" s="105"/>
      <c r="DY755" s="105"/>
      <c r="DZ755" s="105"/>
      <c r="EA755" s="105"/>
      <c r="EB755" s="105"/>
      <c r="EC755" s="105"/>
      <c r="ED755" s="105"/>
      <c r="EE755" s="105"/>
      <c r="EF755" s="105"/>
      <c r="EG755" s="105"/>
      <c r="EH755" s="105"/>
      <c r="EI755" s="105"/>
      <c r="EJ755" s="105"/>
      <c r="EK755" s="105"/>
      <c r="EL755" s="105"/>
      <c r="EM755" s="105"/>
      <c r="EN755" s="105"/>
      <c r="EO755" s="105"/>
      <c r="EP755" s="105"/>
      <c r="EQ755" s="105"/>
      <c r="ER755" s="105"/>
      <c r="ES755" s="105"/>
      <c r="ET755" s="105"/>
      <c r="EU755" s="105"/>
      <c r="EV755" s="105"/>
      <c r="EW755" s="105"/>
      <c r="EX755" s="105"/>
      <c r="EY755" s="105"/>
      <c r="EZ755" s="105"/>
      <c r="FA755" s="105"/>
      <c r="FB755" s="105"/>
      <c r="FC755" s="105"/>
      <c r="FD755" s="105"/>
      <c r="FE755" s="105"/>
      <c r="FF755" s="105"/>
      <c r="FG755" s="105"/>
      <c r="FH755" s="105"/>
      <c r="FI755" s="105"/>
      <c r="FJ755" s="105"/>
      <c r="FK755" s="105"/>
      <c r="FL755" s="105"/>
      <c r="FM755" s="105"/>
      <c r="FN755" s="105"/>
      <c r="FO755" s="105"/>
      <c r="FP755" s="105"/>
      <c r="FQ755" s="105"/>
      <c r="FR755" s="105"/>
      <c r="FS755" s="105"/>
      <c r="FT755" s="105"/>
      <c r="FU755" s="105"/>
      <c r="FV755" s="105"/>
      <c r="FW755" s="105"/>
      <c r="FX755" s="105"/>
      <c r="FY755" s="105"/>
      <c r="FZ755" s="105"/>
      <c r="GA755" s="105"/>
      <c r="GB755" s="105"/>
      <c r="GC755" s="105"/>
      <c r="GD755" s="105"/>
      <c r="GE755" s="105"/>
      <c r="GF755" s="105"/>
      <c r="GG755" s="105"/>
      <c r="GH755" s="105"/>
    </row>
    <row r="756" spans="30:190" ht="6.95" customHeight="1" x14ac:dyDescent="0.15"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  <c r="AZ756" s="93"/>
      <c r="BA756" s="93"/>
      <c r="BB756" s="93"/>
      <c r="BC756" s="93"/>
      <c r="BD756" s="93"/>
      <c r="BE756" s="93"/>
      <c r="BF756" s="93"/>
      <c r="BG756" s="93"/>
      <c r="BH756" s="93"/>
      <c r="BI756" s="93"/>
      <c r="BJ756" s="93"/>
      <c r="BK756" s="93"/>
      <c r="BL756" s="93"/>
      <c r="BM756" s="93"/>
      <c r="BN756" s="93"/>
      <c r="BO756" s="93"/>
      <c r="BP756" s="93"/>
      <c r="BQ756" s="93"/>
      <c r="BR756" s="93"/>
      <c r="BS756" s="93"/>
      <c r="BT756" s="93"/>
      <c r="BU756" s="93"/>
      <c r="BV756" s="93"/>
      <c r="BW756" s="93"/>
      <c r="BX756" s="93"/>
      <c r="BY756" s="93"/>
      <c r="BZ756" s="93"/>
      <c r="CA756" s="93"/>
      <c r="CB756" s="93"/>
      <c r="CC756" s="93"/>
      <c r="CD756" s="93"/>
      <c r="CE756" s="93"/>
      <c r="CF756" s="93"/>
      <c r="CG756" s="93"/>
      <c r="CH756" s="93"/>
      <c r="CI756" s="93"/>
      <c r="CJ756" s="93"/>
      <c r="CK756" s="93"/>
      <c r="CL756" s="93"/>
      <c r="CM756" s="93"/>
      <c r="CN756" s="93"/>
      <c r="CO756" s="93"/>
      <c r="CP756" s="93"/>
      <c r="CQ756" s="93"/>
      <c r="CR756" s="93"/>
      <c r="CS756" s="93"/>
      <c r="CT756" s="93"/>
      <c r="CU756" s="93"/>
      <c r="CV756" s="93"/>
      <c r="CW756" s="93"/>
      <c r="CX756" s="93"/>
      <c r="CY756" s="93"/>
      <c r="CZ756" s="93"/>
      <c r="DA756" s="93"/>
      <c r="DB756" s="93"/>
      <c r="DC756" s="93"/>
      <c r="DD756" s="93"/>
      <c r="DH756" s="105"/>
      <c r="DI756" s="105"/>
      <c r="DJ756" s="105"/>
      <c r="DK756" s="105"/>
      <c r="DL756" s="105"/>
      <c r="DM756" s="105"/>
      <c r="DN756" s="105"/>
      <c r="DO756" s="105"/>
      <c r="DP756" s="105"/>
      <c r="DQ756" s="105"/>
      <c r="DR756" s="105"/>
      <c r="DS756" s="105"/>
      <c r="DT756" s="105"/>
      <c r="DU756" s="105"/>
      <c r="DV756" s="105"/>
      <c r="DW756" s="105"/>
      <c r="DX756" s="105"/>
      <c r="DY756" s="105"/>
      <c r="DZ756" s="105"/>
      <c r="EA756" s="105"/>
      <c r="EB756" s="105"/>
      <c r="EC756" s="105"/>
      <c r="ED756" s="105"/>
      <c r="EE756" s="105"/>
      <c r="EF756" s="105"/>
      <c r="EG756" s="105"/>
      <c r="EH756" s="105"/>
      <c r="EI756" s="105"/>
      <c r="EJ756" s="105"/>
      <c r="EK756" s="105"/>
      <c r="EL756" s="105"/>
      <c r="EM756" s="105"/>
      <c r="EN756" s="105"/>
      <c r="EO756" s="105"/>
      <c r="EP756" s="105"/>
      <c r="EQ756" s="105"/>
      <c r="ER756" s="105"/>
      <c r="ES756" s="105"/>
      <c r="ET756" s="105"/>
      <c r="EU756" s="105"/>
      <c r="EV756" s="105"/>
      <c r="EW756" s="105"/>
      <c r="EX756" s="105"/>
      <c r="EY756" s="105"/>
      <c r="EZ756" s="105"/>
      <c r="FA756" s="105"/>
      <c r="FB756" s="105"/>
      <c r="FC756" s="105"/>
      <c r="FD756" s="105"/>
      <c r="FE756" s="105"/>
      <c r="FF756" s="105"/>
      <c r="FG756" s="105"/>
      <c r="FH756" s="105"/>
      <c r="FI756" s="105"/>
      <c r="FJ756" s="105"/>
      <c r="FK756" s="105"/>
      <c r="FL756" s="105"/>
      <c r="FM756" s="105"/>
      <c r="FN756" s="105"/>
      <c r="FO756" s="105"/>
      <c r="FP756" s="105"/>
      <c r="FQ756" s="105"/>
      <c r="FR756" s="105"/>
      <c r="FS756" s="105"/>
      <c r="FT756" s="105"/>
      <c r="FU756" s="105"/>
      <c r="FV756" s="105"/>
      <c r="FW756" s="105"/>
      <c r="FX756" s="105"/>
      <c r="FY756" s="105"/>
      <c r="FZ756" s="105"/>
      <c r="GA756" s="105"/>
      <c r="GB756" s="105"/>
      <c r="GC756" s="105"/>
      <c r="GD756" s="105"/>
      <c r="GE756" s="105"/>
      <c r="GF756" s="105"/>
      <c r="GG756" s="105"/>
      <c r="GH756" s="105"/>
    </row>
    <row r="757" spans="30:190" ht="6.95" customHeight="1" x14ac:dyDescent="0.15"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93"/>
      <c r="BI757" s="93"/>
      <c r="BJ757" s="93"/>
      <c r="BK757" s="93"/>
      <c r="BL757" s="93"/>
      <c r="BM757" s="93"/>
      <c r="BN757" s="93"/>
      <c r="BO757" s="93"/>
      <c r="BP757" s="93"/>
      <c r="BQ757" s="93"/>
      <c r="BR757" s="93"/>
      <c r="BS757" s="93"/>
      <c r="BT757" s="93"/>
      <c r="BU757" s="93"/>
      <c r="BV757" s="93"/>
      <c r="BW757" s="93"/>
      <c r="BX757" s="93"/>
      <c r="BY757" s="93"/>
      <c r="BZ757" s="93"/>
      <c r="CA757" s="93"/>
      <c r="CB757" s="93"/>
      <c r="CC757" s="93"/>
      <c r="CD757" s="93"/>
      <c r="CE757" s="93"/>
      <c r="CF757" s="93"/>
      <c r="CG757" s="93"/>
      <c r="CH757" s="93"/>
      <c r="CI757" s="93"/>
      <c r="CJ757" s="93"/>
      <c r="CK757" s="93"/>
      <c r="CL757" s="93"/>
      <c r="CM757" s="93"/>
      <c r="CN757" s="93"/>
      <c r="CO757" s="93"/>
      <c r="CP757" s="93"/>
      <c r="CQ757" s="93"/>
      <c r="CR757" s="93"/>
      <c r="CS757" s="93"/>
      <c r="CT757" s="93"/>
      <c r="CU757" s="93"/>
      <c r="CV757" s="93"/>
      <c r="CW757" s="93"/>
      <c r="CX757" s="93"/>
      <c r="CY757" s="93"/>
      <c r="CZ757" s="93"/>
      <c r="DA757" s="93"/>
      <c r="DB757" s="93"/>
      <c r="DC757" s="93"/>
      <c r="DD757" s="93"/>
      <c r="DH757" s="105"/>
      <c r="DI757" s="105"/>
      <c r="DJ757" s="105"/>
      <c r="DK757" s="105"/>
      <c r="DL757" s="105"/>
      <c r="DM757" s="105"/>
      <c r="DN757" s="105"/>
      <c r="DO757" s="105"/>
      <c r="DP757" s="105"/>
      <c r="DQ757" s="105"/>
      <c r="DR757" s="105"/>
      <c r="DS757" s="105"/>
      <c r="DT757" s="105"/>
      <c r="DU757" s="105"/>
      <c r="DV757" s="105"/>
      <c r="DW757" s="105"/>
      <c r="DX757" s="105"/>
      <c r="DY757" s="105"/>
      <c r="DZ757" s="105"/>
      <c r="EA757" s="105"/>
      <c r="EB757" s="105"/>
      <c r="EC757" s="105"/>
      <c r="ED757" s="105"/>
      <c r="EE757" s="105"/>
      <c r="EF757" s="105"/>
      <c r="EG757" s="105"/>
      <c r="EH757" s="105"/>
      <c r="EI757" s="105"/>
      <c r="EJ757" s="105"/>
      <c r="EK757" s="105"/>
      <c r="EL757" s="105"/>
      <c r="EM757" s="105"/>
      <c r="EN757" s="105"/>
      <c r="EO757" s="105"/>
      <c r="EP757" s="105"/>
      <c r="EQ757" s="105"/>
      <c r="ER757" s="105"/>
      <c r="ES757" s="105"/>
      <c r="ET757" s="105"/>
      <c r="EU757" s="105"/>
      <c r="EV757" s="105"/>
      <c r="EW757" s="105"/>
      <c r="EX757" s="105"/>
      <c r="EY757" s="105"/>
      <c r="EZ757" s="105"/>
      <c r="FA757" s="105"/>
      <c r="FB757" s="105"/>
      <c r="FC757" s="105"/>
      <c r="FD757" s="105"/>
      <c r="FE757" s="105"/>
      <c r="FF757" s="105"/>
      <c r="FG757" s="105"/>
      <c r="FH757" s="105"/>
      <c r="FI757" s="105"/>
      <c r="FJ757" s="105"/>
      <c r="FK757" s="105"/>
      <c r="FL757" s="105"/>
      <c r="FM757" s="105"/>
      <c r="FN757" s="105"/>
      <c r="FO757" s="105"/>
      <c r="FP757" s="105"/>
      <c r="FQ757" s="105"/>
      <c r="FR757" s="105"/>
      <c r="FS757" s="105"/>
      <c r="FT757" s="105"/>
      <c r="FU757" s="105"/>
      <c r="FV757" s="105"/>
      <c r="FW757" s="105"/>
      <c r="FX757" s="105"/>
      <c r="FY757" s="105"/>
      <c r="FZ757" s="105"/>
      <c r="GA757" s="105"/>
      <c r="GB757" s="105"/>
      <c r="GC757" s="105"/>
      <c r="GD757" s="105"/>
      <c r="GE757" s="105"/>
      <c r="GF757" s="105"/>
      <c r="GG757" s="105"/>
      <c r="GH757" s="105"/>
    </row>
    <row r="758" spans="30:190" ht="6.95" customHeight="1" x14ac:dyDescent="0.15"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93"/>
      <c r="BI758" s="93"/>
      <c r="BJ758" s="93"/>
      <c r="BK758" s="93"/>
      <c r="BL758" s="93"/>
      <c r="BM758" s="93"/>
      <c r="BN758" s="93"/>
      <c r="BO758" s="93"/>
      <c r="BP758" s="93"/>
      <c r="BQ758" s="93"/>
      <c r="BR758" s="93"/>
      <c r="BS758" s="93"/>
      <c r="BT758" s="93"/>
      <c r="BU758" s="93"/>
      <c r="BV758" s="93"/>
      <c r="BW758" s="93"/>
      <c r="BX758" s="93"/>
      <c r="BY758" s="93"/>
      <c r="BZ758" s="93"/>
      <c r="CA758" s="93"/>
      <c r="CB758" s="93"/>
      <c r="CC758" s="93"/>
      <c r="CD758" s="93"/>
      <c r="CE758" s="93"/>
      <c r="CF758" s="93"/>
      <c r="CG758" s="93"/>
      <c r="CH758" s="93"/>
      <c r="CI758" s="93"/>
      <c r="CJ758" s="93"/>
      <c r="CK758" s="93"/>
      <c r="CL758" s="93"/>
      <c r="CM758" s="93"/>
      <c r="CN758" s="93"/>
      <c r="CO758" s="93"/>
      <c r="CP758" s="93"/>
      <c r="CQ758" s="93"/>
      <c r="CR758" s="93"/>
      <c r="CS758" s="93"/>
      <c r="CT758" s="93"/>
      <c r="CU758" s="93"/>
      <c r="CV758" s="93"/>
      <c r="CW758" s="93"/>
      <c r="CX758" s="93"/>
      <c r="CY758" s="93"/>
      <c r="CZ758" s="93"/>
      <c r="DA758" s="93"/>
      <c r="DB758" s="93"/>
      <c r="DC758" s="93"/>
      <c r="DD758" s="93"/>
      <c r="DH758" s="105"/>
      <c r="DI758" s="105"/>
      <c r="DJ758" s="105"/>
      <c r="DK758" s="105"/>
      <c r="DL758" s="105"/>
      <c r="DM758" s="105"/>
      <c r="DN758" s="105"/>
      <c r="DO758" s="105"/>
      <c r="DP758" s="105"/>
      <c r="DQ758" s="105"/>
      <c r="DR758" s="105"/>
      <c r="DS758" s="105"/>
      <c r="DT758" s="105"/>
      <c r="DU758" s="105"/>
      <c r="DV758" s="105"/>
      <c r="DW758" s="105"/>
      <c r="DX758" s="105"/>
      <c r="DY758" s="105"/>
      <c r="DZ758" s="105"/>
      <c r="EA758" s="105"/>
      <c r="EB758" s="105"/>
      <c r="EC758" s="105"/>
      <c r="ED758" s="105"/>
      <c r="EE758" s="105"/>
      <c r="EF758" s="105"/>
      <c r="EG758" s="105"/>
      <c r="EH758" s="105"/>
      <c r="EI758" s="105"/>
      <c r="EJ758" s="105"/>
      <c r="EK758" s="105"/>
      <c r="EL758" s="105"/>
      <c r="EM758" s="105"/>
      <c r="EN758" s="105"/>
      <c r="EO758" s="105"/>
      <c r="EP758" s="105"/>
      <c r="EQ758" s="105"/>
      <c r="ER758" s="105"/>
      <c r="ES758" s="105"/>
      <c r="ET758" s="105"/>
      <c r="EU758" s="105"/>
      <c r="EV758" s="105"/>
      <c r="EW758" s="105"/>
      <c r="EX758" s="105"/>
      <c r="EY758" s="105"/>
      <c r="EZ758" s="105"/>
      <c r="FA758" s="105"/>
      <c r="FB758" s="105"/>
      <c r="FC758" s="105"/>
      <c r="FD758" s="105"/>
      <c r="FE758" s="105"/>
      <c r="FF758" s="105"/>
      <c r="FG758" s="105"/>
      <c r="FH758" s="105"/>
      <c r="FI758" s="105"/>
      <c r="FJ758" s="105"/>
      <c r="FK758" s="105"/>
      <c r="FL758" s="105"/>
      <c r="FM758" s="105"/>
      <c r="FN758" s="105"/>
      <c r="FO758" s="105"/>
      <c r="FP758" s="105"/>
      <c r="FQ758" s="105"/>
      <c r="FR758" s="105"/>
      <c r="FS758" s="105"/>
      <c r="FT758" s="105"/>
      <c r="FU758" s="105"/>
      <c r="FV758" s="105"/>
      <c r="FW758" s="105"/>
      <c r="FX758" s="105"/>
      <c r="FY758" s="105"/>
      <c r="FZ758" s="105"/>
      <c r="GA758" s="105"/>
      <c r="GB758" s="105"/>
      <c r="GC758" s="105"/>
      <c r="GD758" s="105"/>
      <c r="GE758" s="105"/>
      <c r="GF758" s="105"/>
      <c r="GG758" s="105"/>
      <c r="GH758" s="105"/>
    </row>
    <row r="759" spans="30:190" ht="6.95" customHeight="1" x14ac:dyDescent="0.15"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93"/>
      <c r="BI759" s="93"/>
      <c r="BJ759" s="93"/>
      <c r="BK759" s="93"/>
      <c r="BL759" s="93"/>
      <c r="BM759" s="93"/>
      <c r="BN759" s="93"/>
      <c r="BO759" s="93"/>
      <c r="BP759" s="93"/>
      <c r="BQ759" s="93"/>
      <c r="BR759" s="93"/>
      <c r="BS759" s="93"/>
      <c r="BT759" s="93"/>
      <c r="BU759" s="93"/>
      <c r="BV759" s="93"/>
      <c r="BW759" s="93"/>
      <c r="BX759" s="93"/>
      <c r="BY759" s="93"/>
      <c r="BZ759" s="93"/>
      <c r="CA759" s="93"/>
      <c r="CB759" s="93"/>
      <c r="CC759" s="93"/>
      <c r="CD759" s="93"/>
      <c r="CE759" s="93"/>
      <c r="CF759" s="93"/>
      <c r="CG759" s="93"/>
      <c r="CH759" s="93"/>
      <c r="CI759" s="93"/>
      <c r="CJ759" s="93"/>
      <c r="CK759" s="93"/>
      <c r="CL759" s="93"/>
      <c r="CM759" s="93"/>
      <c r="CN759" s="93"/>
      <c r="CO759" s="93"/>
      <c r="CP759" s="93"/>
      <c r="CQ759" s="93"/>
      <c r="CR759" s="93"/>
      <c r="CS759" s="93"/>
      <c r="CT759" s="93"/>
      <c r="CU759" s="93"/>
      <c r="CV759" s="93"/>
      <c r="CW759" s="93"/>
      <c r="CX759" s="93"/>
      <c r="CY759" s="93"/>
      <c r="CZ759" s="93"/>
      <c r="DA759" s="93"/>
      <c r="DB759" s="93"/>
      <c r="DC759" s="93"/>
      <c r="DD759" s="93"/>
      <c r="DH759" s="105"/>
      <c r="DI759" s="105"/>
      <c r="DJ759" s="105"/>
      <c r="DK759" s="105"/>
      <c r="DL759" s="105"/>
      <c r="DM759" s="105"/>
      <c r="DN759" s="105"/>
      <c r="DO759" s="105"/>
      <c r="DP759" s="105"/>
      <c r="DQ759" s="105"/>
      <c r="DR759" s="105"/>
      <c r="DS759" s="105"/>
      <c r="DT759" s="105"/>
      <c r="DU759" s="105"/>
      <c r="DV759" s="105"/>
      <c r="DW759" s="105"/>
      <c r="DX759" s="105"/>
      <c r="DY759" s="105"/>
      <c r="DZ759" s="105"/>
      <c r="EA759" s="105"/>
      <c r="EB759" s="105"/>
      <c r="EC759" s="105"/>
      <c r="ED759" s="105"/>
      <c r="EE759" s="105"/>
      <c r="EF759" s="105"/>
      <c r="EG759" s="105"/>
      <c r="EH759" s="105"/>
      <c r="EI759" s="105"/>
      <c r="EJ759" s="105"/>
      <c r="EK759" s="105"/>
      <c r="EL759" s="105"/>
      <c r="EM759" s="105"/>
      <c r="EN759" s="105"/>
      <c r="EO759" s="105"/>
      <c r="EP759" s="105"/>
      <c r="EQ759" s="105"/>
      <c r="ER759" s="105"/>
      <c r="ES759" s="105"/>
      <c r="ET759" s="105"/>
      <c r="EU759" s="105"/>
      <c r="EV759" s="105"/>
      <c r="EW759" s="105"/>
      <c r="EX759" s="105"/>
      <c r="EY759" s="105"/>
      <c r="EZ759" s="105"/>
      <c r="FA759" s="105"/>
      <c r="FB759" s="105"/>
      <c r="FC759" s="105"/>
      <c r="FD759" s="105"/>
      <c r="FE759" s="105"/>
      <c r="FF759" s="105"/>
      <c r="FG759" s="105"/>
      <c r="FH759" s="105"/>
      <c r="FI759" s="105"/>
      <c r="FJ759" s="105"/>
      <c r="FK759" s="105"/>
      <c r="FL759" s="105"/>
      <c r="FM759" s="105"/>
      <c r="FN759" s="105"/>
      <c r="FO759" s="105"/>
      <c r="FP759" s="105"/>
      <c r="FQ759" s="105"/>
      <c r="FR759" s="105"/>
      <c r="FS759" s="105"/>
      <c r="FT759" s="105"/>
      <c r="FU759" s="105"/>
      <c r="FV759" s="105"/>
      <c r="FW759" s="105"/>
      <c r="FX759" s="105"/>
      <c r="FY759" s="105"/>
      <c r="FZ759" s="105"/>
      <c r="GA759" s="105"/>
      <c r="GB759" s="105"/>
      <c r="GC759" s="105"/>
      <c r="GD759" s="105"/>
      <c r="GE759" s="105"/>
      <c r="GF759" s="105"/>
      <c r="GG759" s="105"/>
      <c r="GH759" s="105"/>
    </row>
    <row r="760" spans="30:190" ht="6.95" customHeight="1" x14ac:dyDescent="0.15"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  <c r="AZ760" s="93"/>
      <c r="BA760" s="93"/>
      <c r="BB760" s="93"/>
      <c r="BC760" s="93"/>
      <c r="BD760" s="93"/>
      <c r="BE760" s="93"/>
      <c r="BF760" s="93"/>
      <c r="BG760" s="93"/>
      <c r="BH760" s="93"/>
      <c r="BI760" s="93"/>
      <c r="BJ760" s="93"/>
      <c r="BK760" s="93"/>
      <c r="BL760" s="93"/>
      <c r="BM760" s="93"/>
      <c r="BN760" s="93"/>
      <c r="BO760" s="93"/>
      <c r="BP760" s="93"/>
      <c r="BQ760" s="93"/>
      <c r="BR760" s="93"/>
      <c r="BS760" s="93"/>
      <c r="BT760" s="93"/>
      <c r="BU760" s="93"/>
      <c r="BV760" s="93"/>
      <c r="BW760" s="93"/>
      <c r="BX760" s="93"/>
      <c r="BY760" s="93"/>
      <c r="BZ760" s="93"/>
      <c r="CA760" s="93"/>
      <c r="CB760" s="93"/>
      <c r="CC760" s="93"/>
      <c r="CD760" s="93"/>
      <c r="CE760" s="93"/>
      <c r="CF760" s="93"/>
      <c r="CG760" s="93"/>
      <c r="CH760" s="93"/>
      <c r="CI760" s="93"/>
      <c r="CJ760" s="93"/>
      <c r="CK760" s="93"/>
      <c r="CL760" s="93"/>
      <c r="CM760" s="93"/>
      <c r="CN760" s="93"/>
      <c r="CO760" s="93"/>
      <c r="CP760" s="93"/>
      <c r="CQ760" s="93"/>
      <c r="CR760" s="93"/>
      <c r="CS760" s="93"/>
      <c r="CT760" s="93"/>
      <c r="CU760" s="93"/>
      <c r="CV760" s="93"/>
      <c r="CW760" s="93"/>
      <c r="CX760" s="93"/>
      <c r="CY760" s="93"/>
      <c r="CZ760" s="93"/>
      <c r="DA760" s="93"/>
      <c r="DB760" s="93"/>
      <c r="DC760" s="93"/>
      <c r="DD760" s="93"/>
      <c r="DH760" s="105"/>
      <c r="DI760" s="105"/>
      <c r="DJ760" s="105"/>
      <c r="DK760" s="105"/>
      <c r="DL760" s="105"/>
      <c r="DM760" s="105"/>
      <c r="DN760" s="105"/>
      <c r="DO760" s="105"/>
      <c r="DP760" s="105"/>
      <c r="DQ760" s="105"/>
      <c r="DR760" s="105"/>
      <c r="DS760" s="105"/>
      <c r="DT760" s="105"/>
      <c r="DU760" s="105"/>
      <c r="DV760" s="105"/>
      <c r="DW760" s="105"/>
      <c r="DX760" s="105"/>
      <c r="DY760" s="105"/>
      <c r="DZ760" s="105"/>
      <c r="EA760" s="105"/>
      <c r="EB760" s="105"/>
      <c r="EC760" s="105"/>
      <c r="ED760" s="105"/>
      <c r="EE760" s="105"/>
      <c r="EF760" s="105"/>
      <c r="EG760" s="105"/>
      <c r="EH760" s="105"/>
      <c r="EI760" s="105"/>
      <c r="EJ760" s="105"/>
      <c r="EK760" s="105"/>
      <c r="EL760" s="105"/>
      <c r="EM760" s="105"/>
      <c r="EN760" s="105"/>
      <c r="EO760" s="105"/>
      <c r="EP760" s="105"/>
      <c r="EQ760" s="105"/>
      <c r="ER760" s="105"/>
      <c r="ES760" s="105"/>
      <c r="ET760" s="105"/>
      <c r="EU760" s="105"/>
      <c r="EV760" s="105"/>
      <c r="EW760" s="105"/>
      <c r="EX760" s="105"/>
      <c r="EY760" s="105"/>
      <c r="EZ760" s="105"/>
      <c r="FA760" s="105"/>
      <c r="FB760" s="105"/>
      <c r="FC760" s="105"/>
      <c r="FD760" s="105"/>
      <c r="FE760" s="105"/>
      <c r="FF760" s="105"/>
      <c r="FG760" s="105"/>
      <c r="FH760" s="105"/>
      <c r="FI760" s="105"/>
      <c r="FJ760" s="105"/>
      <c r="FK760" s="105"/>
      <c r="FL760" s="105"/>
      <c r="FM760" s="105"/>
      <c r="FN760" s="105"/>
      <c r="FO760" s="105"/>
      <c r="FP760" s="105"/>
      <c r="FQ760" s="105"/>
      <c r="FR760" s="105"/>
      <c r="FS760" s="105"/>
      <c r="FT760" s="105"/>
      <c r="FU760" s="105"/>
      <c r="FV760" s="105"/>
      <c r="FW760" s="105"/>
      <c r="FX760" s="105"/>
      <c r="FY760" s="105"/>
      <c r="FZ760" s="105"/>
      <c r="GA760" s="105"/>
      <c r="GB760" s="105"/>
      <c r="GC760" s="105"/>
      <c r="GD760" s="105"/>
      <c r="GE760" s="105"/>
      <c r="GF760" s="105"/>
      <c r="GG760" s="105"/>
      <c r="GH760" s="105"/>
    </row>
    <row r="761" spans="30:190" ht="6.95" customHeight="1" x14ac:dyDescent="0.15"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3"/>
      <c r="BF761" s="93"/>
      <c r="BG761" s="93"/>
      <c r="BH761" s="93"/>
      <c r="BI761" s="93"/>
      <c r="BJ761" s="93"/>
      <c r="BK761" s="93"/>
      <c r="BL761" s="93"/>
      <c r="BM761" s="93"/>
      <c r="BN761" s="93"/>
      <c r="BO761" s="93"/>
      <c r="BP761" s="93"/>
      <c r="BQ761" s="93"/>
      <c r="BR761" s="93"/>
      <c r="BS761" s="93"/>
      <c r="BT761" s="93"/>
      <c r="BU761" s="93"/>
      <c r="BV761" s="93"/>
      <c r="BW761" s="93"/>
      <c r="BX761" s="93"/>
      <c r="BY761" s="93"/>
      <c r="BZ761" s="93"/>
      <c r="CA761" s="93"/>
      <c r="CB761" s="93"/>
      <c r="CC761" s="93"/>
      <c r="CD761" s="93"/>
      <c r="CE761" s="93"/>
      <c r="CF761" s="93"/>
      <c r="CG761" s="93"/>
      <c r="CH761" s="93"/>
      <c r="CI761" s="93"/>
      <c r="CJ761" s="93"/>
      <c r="CK761" s="93"/>
      <c r="CL761" s="93"/>
      <c r="CM761" s="93"/>
      <c r="CN761" s="93"/>
      <c r="CO761" s="93"/>
      <c r="CP761" s="93"/>
      <c r="CQ761" s="93"/>
      <c r="CR761" s="93"/>
      <c r="CS761" s="93"/>
      <c r="CT761" s="93"/>
      <c r="CU761" s="93"/>
      <c r="CV761" s="93"/>
      <c r="CW761" s="93"/>
      <c r="CX761" s="93"/>
      <c r="CY761" s="93"/>
      <c r="CZ761" s="93"/>
      <c r="DA761" s="93"/>
      <c r="DB761" s="93"/>
      <c r="DC761" s="93"/>
      <c r="DD761" s="93"/>
      <c r="DH761" s="105"/>
      <c r="DI761" s="105"/>
      <c r="DJ761" s="105"/>
      <c r="DK761" s="105"/>
      <c r="DL761" s="105"/>
      <c r="DM761" s="105"/>
      <c r="DN761" s="105"/>
      <c r="DO761" s="105"/>
      <c r="DP761" s="105"/>
      <c r="DQ761" s="105"/>
      <c r="DR761" s="105"/>
      <c r="DS761" s="105"/>
      <c r="DT761" s="105"/>
      <c r="DU761" s="105"/>
      <c r="DV761" s="105"/>
      <c r="DW761" s="105"/>
      <c r="DX761" s="105"/>
      <c r="DY761" s="105"/>
      <c r="DZ761" s="105"/>
      <c r="EA761" s="105"/>
      <c r="EB761" s="105"/>
      <c r="EC761" s="105"/>
      <c r="ED761" s="105"/>
      <c r="EE761" s="105"/>
      <c r="EF761" s="105"/>
      <c r="EG761" s="105"/>
      <c r="EH761" s="105"/>
      <c r="EI761" s="105"/>
      <c r="EJ761" s="105"/>
      <c r="EK761" s="105"/>
      <c r="EL761" s="105"/>
      <c r="EM761" s="105"/>
      <c r="EN761" s="105"/>
      <c r="EO761" s="105"/>
      <c r="EP761" s="105"/>
      <c r="EQ761" s="105"/>
      <c r="ER761" s="105"/>
      <c r="ES761" s="105"/>
      <c r="ET761" s="105"/>
      <c r="EU761" s="105"/>
      <c r="EV761" s="105"/>
      <c r="EW761" s="105"/>
      <c r="EX761" s="105"/>
      <c r="EY761" s="105"/>
      <c r="EZ761" s="105"/>
      <c r="FA761" s="105"/>
      <c r="FB761" s="105"/>
      <c r="FC761" s="105"/>
      <c r="FD761" s="105"/>
      <c r="FE761" s="105"/>
      <c r="FF761" s="105"/>
      <c r="FG761" s="105"/>
      <c r="FH761" s="105"/>
      <c r="FI761" s="105"/>
      <c r="FJ761" s="105"/>
      <c r="FK761" s="105"/>
      <c r="FL761" s="105"/>
      <c r="FM761" s="105"/>
      <c r="FN761" s="105"/>
      <c r="FO761" s="105"/>
      <c r="FP761" s="105"/>
      <c r="FQ761" s="105"/>
      <c r="FR761" s="105"/>
      <c r="FS761" s="105"/>
      <c r="FT761" s="105"/>
      <c r="FU761" s="105"/>
      <c r="FV761" s="105"/>
      <c r="FW761" s="105"/>
      <c r="FX761" s="105"/>
      <c r="FY761" s="105"/>
      <c r="FZ761" s="105"/>
      <c r="GA761" s="105"/>
      <c r="GB761" s="105"/>
      <c r="GC761" s="105"/>
      <c r="GD761" s="105"/>
      <c r="GE761" s="105"/>
      <c r="GF761" s="105"/>
      <c r="GG761" s="105"/>
      <c r="GH761" s="105"/>
    </row>
    <row r="762" spans="30:190" ht="6.95" customHeight="1" x14ac:dyDescent="0.15"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  <c r="AZ762" s="93"/>
      <c r="BA762" s="93"/>
      <c r="BB762" s="93"/>
      <c r="BC762" s="93"/>
      <c r="BD762" s="93"/>
      <c r="BE762" s="93"/>
      <c r="BF762" s="93"/>
      <c r="BG762" s="93"/>
      <c r="BH762" s="93"/>
      <c r="BI762" s="93"/>
      <c r="BJ762" s="93"/>
      <c r="BK762" s="93"/>
      <c r="BL762" s="93"/>
      <c r="BM762" s="93"/>
      <c r="BN762" s="93"/>
      <c r="BO762" s="93"/>
      <c r="BP762" s="93"/>
      <c r="BQ762" s="93"/>
      <c r="BR762" s="93"/>
      <c r="BS762" s="93"/>
      <c r="BT762" s="93"/>
      <c r="BU762" s="93"/>
      <c r="BV762" s="93"/>
      <c r="BW762" s="93"/>
      <c r="BX762" s="93"/>
      <c r="BY762" s="93"/>
      <c r="BZ762" s="93"/>
      <c r="CA762" s="93"/>
      <c r="CB762" s="93"/>
      <c r="CC762" s="93"/>
      <c r="CD762" s="93"/>
      <c r="CE762" s="93"/>
      <c r="CF762" s="93"/>
      <c r="CG762" s="93"/>
      <c r="CH762" s="93"/>
      <c r="CI762" s="93"/>
      <c r="CJ762" s="93"/>
      <c r="CK762" s="93"/>
      <c r="CL762" s="93"/>
      <c r="CM762" s="93"/>
      <c r="CN762" s="93"/>
      <c r="CO762" s="93"/>
      <c r="CP762" s="93"/>
      <c r="CQ762" s="93"/>
      <c r="CR762" s="93"/>
      <c r="CS762" s="93"/>
      <c r="CT762" s="93"/>
      <c r="CU762" s="93"/>
      <c r="CV762" s="93"/>
      <c r="CW762" s="93"/>
      <c r="CX762" s="93"/>
      <c r="CY762" s="93"/>
      <c r="CZ762" s="93"/>
      <c r="DA762" s="93"/>
      <c r="DB762" s="93"/>
      <c r="DC762" s="93"/>
      <c r="DD762" s="93"/>
      <c r="DH762" s="105"/>
      <c r="DI762" s="105"/>
      <c r="DJ762" s="105"/>
      <c r="DK762" s="105"/>
      <c r="DL762" s="105"/>
      <c r="DM762" s="105"/>
      <c r="DN762" s="105"/>
      <c r="DO762" s="105"/>
      <c r="DP762" s="105"/>
      <c r="DQ762" s="105"/>
      <c r="DR762" s="105"/>
      <c r="DS762" s="105"/>
      <c r="DT762" s="105"/>
      <c r="DU762" s="105"/>
      <c r="DV762" s="105"/>
      <c r="DW762" s="105"/>
      <c r="DX762" s="105"/>
      <c r="DY762" s="105"/>
      <c r="DZ762" s="105"/>
      <c r="EA762" s="105"/>
      <c r="EB762" s="105"/>
      <c r="EC762" s="105"/>
      <c r="ED762" s="105"/>
      <c r="EE762" s="105"/>
      <c r="EF762" s="105"/>
      <c r="EG762" s="105"/>
      <c r="EH762" s="105"/>
      <c r="EI762" s="105"/>
      <c r="EJ762" s="105"/>
      <c r="EK762" s="105"/>
      <c r="EL762" s="105"/>
      <c r="EM762" s="105"/>
      <c r="EN762" s="105"/>
      <c r="EO762" s="105"/>
      <c r="EP762" s="105"/>
      <c r="EQ762" s="105"/>
      <c r="ER762" s="105"/>
      <c r="ES762" s="105"/>
      <c r="ET762" s="105"/>
      <c r="EU762" s="105"/>
      <c r="EV762" s="105"/>
      <c r="EW762" s="105"/>
      <c r="EX762" s="105"/>
      <c r="EY762" s="105"/>
      <c r="EZ762" s="105"/>
      <c r="FA762" s="105"/>
      <c r="FB762" s="105"/>
      <c r="FC762" s="105"/>
      <c r="FD762" s="105"/>
      <c r="FE762" s="105"/>
      <c r="FF762" s="105"/>
      <c r="FG762" s="105"/>
      <c r="FH762" s="105"/>
      <c r="FI762" s="105"/>
      <c r="FJ762" s="105"/>
      <c r="FK762" s="105"/>
      <c r="FL762" s="105"/>
      <c r="FM762" s="105"/>
      <c r="FN762" s="105"/>
      <c r="FO762" s="105"/>
      <c r="FP762" s="105"/>
      <c r="FQ762" s="105"/>
      <c r="FR762" s="105"/>
      <c r="FS762" s="105"/>
      <c r="FT762" s="105"/>
      <c r="FU762" s="105"/>
      <c r="FV762" s="105"/>
      <c r="FW762" s="105"/>
      <c r="FX762" s="105"/>
      <c r="FY762" s="105"/>
      <c r="FZ762" s="105"/>
      <c r="GA762" s="105"/>
      <c r="GB762" s="105"/>
      <c r="GC762" s="105"/>
      <c r="GD762" s="105"/>
      <c r="GE762" s="105"/>
      <c r="GF762" s="105"/>
      <c r="GG762" s="105"/>
      <c r="GH762" s="105"/>
    </row>
    <row r="763" spans="30:190" ht="6.95" customHeight="1" x14ac:dyDescent="0.15"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  <c r="AZ763" s="93"/>
      <c r="BA763" s="93"/>
      <c r="BB763" s="93"/>
      <c r="BC763" s="93"/>
      <c r="BD763" s="93"/>
      <c r="BE763" s="93"/>
      <c r="BF763" s="93"/>
      <c r="BG763" s="93"/>
      <c r="BH763" s="93"/>
      <c r="BI763" s="93"/>
      <c r="BJ763" s="93"/>
      <c r="BK763" s="93"/>
      <c r="BL763" s="93"/>
      <c r="BM763" s="93"/>
      <c r="BN763" s="93"/>
      <c r="BO763" s="93"/>
      <c r="BP763" s="93"/>
      <c r="BQ763" s="93"/>
      <c r="BR763" s="93"/>
      <c r="BS763" s="93"/>
      <c r="BT763" s="93"/>
      <c r="BU763" s="93"/>
      <c r="BV763" s="93"/>
      <c r="BW763" s="93"/>
      <c r="BX763" s="93"/>
      <c r="BY763" s="93"/>
      <c r="BZ763" s="93"/>
      <c r="CA763" s="93"/>
      <c r="CB763" s="93"/>
      <c r="CC763" s="93"/>
      <c r="CD763" s="93"/>
      <c r="CE763" s="93"/>
      <c r="CF763" s="93"/>
      <c r="CG763" s="93"/>
      <c r="CH763" s="93"/>
      <c r="CI763" s="93"/>
      <c r="CJ763" s="93"/>
      <c r="CK763" s="93"/>
      <c r="CL763" s="93"/>
      <c r="CM763" s="93"/>
      <c r="CN763" s="93"/>
      <c r="CO763" s="93"/>
      <c r="CP763" s="93"/>
      <c r="CQ763" s="93"/>
      <c r="CR763" s="93"/>
      <c r="CS763" s="93"/>
      <c r="CT763" s="93"/>
      <c r="CU763" s="93"/>
      <c r="CV763" s="93"/>
      <c r="CW763" s="93"/>
      <c r="CX763" s="93"/>
      <c r="CY763" s="93"/>
      <c r="CZ763" s="93"/>
      <c r="DA763" s="93"/>
      <c r="DB763" s="93"/>
      <c r="DC763" s="93"/>
      <c r="DD763" s="93"/>
    </row>
    <row r="764" spans="30:190" ht="6.95" customHeight="1" x14ac:dyDescent="0.15"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  <c r="AZ764" s="93"/>
      <c r="BA764" s="93"/>
      <c r="BB764" s="93"/>
      <c r="BC764" s="93"/>
      <c r="BD764" s="93"/>
      <c r="BE764" s="93"/>
      <c r="BF764" s="93"/>
      <c r="BG764" s="93"/>
      <c r="BH764" s="93"/>
      <c r="BI764" s="93"/>
      <c r="BJ764" s="93"/>
      <c r="BK764" s="93"/>
      <c r="BL764" s="93"/>
      <c r="BM764" s="93"/>
      <c r="BN764" s="93"/>
      <c r="BO764" s="93"/>
      <c r="BP764" s="93"/>
      <c r="BQ764" s="93"/>
      <c r="BR764" s="93"/>
      <c r="BS764" s="93"/>
      <c r="BT764" s="93"/>
      <c r="BU764" s="93"/>
      <c r="BV764" s="93"/>
      <c r="BW764" s="93"/>
      <c r="BX764" s="93"/>
      <c r="BY764" s="93"/>
      <c r="BZ764" s="93"/>
      <c r="CA764" s="93"/>
      <c r="CB764" s="93"/>
      <c r="CC764" s="93"/>
      <c r="CD764" s="93"/>
      <c r="CE764" s="93"/>
      <c r="CF764" s="93"/>
      <c r="CG764" s="93"/>
      <c r="CH764" s="93"/>
      <c r="CI764" s="93"/>
      <c r="CJ764" s="93"/>
      <c r="CK764" s="93"/>
      <c r="CL764" s="93"/>
      <c r="CM764" s="93"/>
      <c r="CN764" s="93"/>
      <c r="CO764" s="93"/>
      <c r="CP764" s="93"/>
      <c r="CQ764" s="93"/>
      <c r="CR764" s="93"/>
      <c r="CS764" s="93"/>
      <c r="CT764" s="93"/>
      <c r="CU764" s="93"/>
      <c r="CV764" s="93"/>
      <c r="CW764" s="93"/>
      <c r="CX764" s="93"/>
      <c r="CY764" s="93"/>
      <c r="CZ764" s="93"/>
      <c r="DA764" s="93"/>
      <c r="DB764" s="93"/>
      <c r="DC764" s="93"/>
      <c r="DD764" s="93"/>
    </row>
    <row r="765" spans="30:190" ht="6.95" customHeight="1" x14ac:dyDescent="0.15"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  <c r="AZ765" s="93"/>
      <c r="BA765" s="93"/>
      <c r="BB765" s="93"/>
      <c r="BC765" s="93"/>
      <c r="BD765" s="93"/>
      <c r="BE765" s="93"/>
      <c r="BF765" s="93"/>
      <c r="BG765" s="93"/>
      <c r="BH765" s="93"/>
      <c r="BI765" s="93"/>
      <c r="BJ765" s="93"/>
      <c r="BK765" s="93"/>
      <c r="BL765" s="93"/>
      <c r="BM765" s="93"/>
      <c r="BN765" s="93"/>
      <c r="BO765" s="93"/>
      <c r="BP765" s="93"/>
      <c r="BQ765" s="93"/>
      <c r="BR765" s="93"/>
      <c r="BS765" s="93"/>
      <c r="BT765" s="93"/>
      <c r="BU765" s="93"/>
      <c r="BV765" s="93"/>
      <c r="BW765" s="93"/>
      <c r="BX765" s="93"/>
      <c r="BY765" s="93"/>
      <c r="BZ765" s="93"/>
      <c r="CA765" s="93"/>
      <c r="CB765" s="93"/>
      <c r="CC765" s="93"/>
      <c r="CD765" s="93"/>
      <c r="CE765" s="93"/>
      <c r="CF765" s="93"/>
      <c r="CG765" s="93"/>
      <c r="CH765" s="93"/>
      <c r="CI765" s="93"/>
      <c r="CJ765" s="93"/>
      <c r="CK765" s="93"/>
      <c r="CL765" s="93"/>
      <c r="CM765" s="93"/>
      <c r="CN765" s="93"/>
      <c r="CO765" s="93"/>
      <c r="CP765" s="93"/>
      <c r="CQ765" s="93"/>
      <c r="CR765" s="93"/>
      <c r="CS765" s="93"/>
      <c r="CT765" s="93"/>
      <c r="CU765" s="93"/>
      <c r="CV765" s="93"/>
      <c r="CW765" s="93"/>
      <c r="CX765" s="93"/>
      <c r="CY765" s="93"/>
      <c r="CZ765" s="93"/>
      <c r="DA765" s="93"/>
      <c r="DB765" s="93"/>
      <c r="DC765" s="93"/>
      <c r="DD765" s="93"/>
    </row>
    <row r="766" spans="30:190" ht="6.95" customHeight="1" x14ac:dyDescent="0.15"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  <c r="AZ766" s="93"/>
      <c r="BA766" s="93"/>
      <c r="BB766" s="93"/>
      <c r="BC766" s="93"/>
      <c r="BD766" s="93"/>
      <c r="BE766" s="93"/>
      <c r="BF766" s="93"/>
      <c r="BG766" s="93"/>
      <c r="BH766" s="93"/>
      <c r="BI766" s="93"/>
      <c r="BJ766" s="93"/>
      <c r="BK766" s="93"/>
      <c r="BL766" s="93"/>
      <c r="BM766" s="93"/>
      <c r="BN766" s="93"/>
      <c r="BO766" s="93"/>
      <c r="BP766" s="93"/>
      <c r="BQ766" s="93"/>
      <c r="BR766" s="93"/>
      <c r="BS766" s="93"/>
      <c r="BT766" s="93"/>
      <c r="BU766" s="93"/>
      <c r="BV766" s="93"/>
      <c r="BW766" s="93"/>
      <c r="BX766" s="93"/>
      <c r="BY766" s="93"/>
      <c r="BZ766" s="93"/>
      <c r="CA766" s="93"/>
      <c r="CB766" s="93"/>
      <c r="CC766" s="93"/>
      <c r="CD766" s="93"/>
      <c r="CE766" s="93"/>
      <c r="CF766" s="93"/>
      <c r="CG766" s="93"/>
      <c r="CH766" s="93"/>
      <c r="CI766" s="93"/>
      <c r="CJ766" s="93"/>
      <c r="CK766" s="93"/>
      <c r="CL766" s="93"/>
      <c r="CM766" s="93"/>
      <c r="CN766" s="93"/>
      <c r="CO766" s="93"/>
      <c r="CP766" s="93"/>
      <c r="CQ766" s="93"/>
      <c r="CR766" s="93"/>
      <c r="CS766" s="93"/>
      <c r="CT766" s="93"/>
      <c r="CU766" s="93"/>
      <c r="CV766" s="93"/>
      <c r="CW766" s="93"/>
      <c r="CX766" s="93"/>
      <c r="CY766" s="93"/>
      <c r="CZ766" s="93"/>
      <c r="DA766" s="93"/>
      <c r="DB766" s="93"/>
      <c r="DC766" s="93"/>
      <c r="DD766" s="93"/>
    </row>
    <row r="767" spans="30:190" ht="6.95" customHeight="1" x14ac:dyDescent="0.15"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  <c r="AZ767" s="93"/>
      <c r="BA767" s="93"/>
      <c r="BB767" s="93"/>
      <c r="BC767" s="93"/>
      <c r="BD767" s="93"/>
      <c r="BE767" s="93"/>
      <c r="BF767" s="93"/>
      <c r="BG767" s="93"/>
      <c r="BH767" s="93"/>
      <c r="BI767" s="93"/>
      <c r="BJ767" s="93"/>
      <c r="BK767" s="93"/>
      <c r="BL767" s="93"/>
      <c r="BM767" s="93"/>
      <c r="BN767" s="93"/>
      <c r="BO767" s="93"/>
      <c r="BP767" s="93"/>
      <c r="BQ767" s="93"/>
      <c r="BR767" s="93"/>
      <c r="BS767" s="93"/>
      <c r="BT767" s="93"/>
      <c r="BU767" s="93"/>
      <c r="BV767" s="93"/>
      <c r="BW767" s="93"/>
      <c r="BX767" s="93"/>
      <c r="BY767" s="93"/>
      <c r="BZ767" s="93"/>
      <c r="CA767" s="93"/>
      <c r="CB767" s="93"/>
      <c r="CC767" s="93"/>
      <c r="CD767" s="93"/>
      <c r="CE767" s="93"/>
      <c r="CF767" s="93"/>
      <c r="CG767" s="93"/>
      <c r="CH767" s="93"/>
      <c r="CI767" s="93"/>
      <c r="CJ767" s="93"/>
      <c r="CK767" s="93"/>
      <c r="CL767" s="93"/>
      <c r="CM767" s="93"/>
      <c r="CN767" s="93"/>
      <c r="CO767" s="93"/>
      <c r="CP767" s="93"/>
      <c r="CQ767" s="93"/>
      <c r="CR767" s="93"/>
      <c r="CS767" s="93"/>
      <c r="CT767" s="93"/>
      <c r="CU767" s="93"/>
      <c r="CV767" s="93"/>
      <c r="CW767" s="93"/>
      <c r="CX767" s="93"/>
      <c r="CY767" s="93"/>
      <c r="CZ767" s="93"/>
      <c r="DA767" s="93"/>
      <c r="DB767" s="93"/>
      <c r="DC767" s="93"/>
      <c r="DD767" s="93"/>
    </row>
    <row r="768" spans="30:190" ht="6.95" customHeight="1" x14ac:dyDescent="0.15"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  <c r="AZ768" s="93"/>
      <c r="BA768" s="93"/>
      <c r="BB768" s="93"/>
      <c r="BC768" s="93"/>
      <c r="BD768" s="93"/>
      <c r="BE768" s="93"/>
      <c r="BF768" s="93"/>
      <c r="BG768" s="93"/>
      <c r="BH768" s="93"/>
      <c r="BI768" s="93"/>
      <c r="BJ768" s="93"/>
      <c r="BK768" s="93"/>
      <c r="BL768" s="93"/>
      <c r="BM768" s="93"/>
      <c r="BN768" s="93"/>
      <c r="BO768" s="93"/>
      <c r="BP768" s="93"/>
      <c r="BQ768" s="93"/>
      <c r="BR768" s="93"/>
      <c r="BS768" s="93"/>
      <c r="BT768" s="93"/>
      <c r="BU768" s="93"/>
      <c r="BV768" s="93"/>
      <c r="BW768" s="93"/>
      <c r="BX768" s="93"/>
      <c r="BY768" s="93"/>
      <c r="BZ768" s="93"/>
      <c r="CA768" s="93"/>
      <c r="CB768" s="93"/>
      <c r="CC768" s="93"/>
      <c r="CD768" s="93"/>
      <c r="CE768" s="93"/>
      <c r="CF768" s="93"/>
      <c r="CG768" s="93"/>
      <c r="CH768" s="93"/>
      <c r="CI768" s="93"/>
      <c r="CJ768" s="93"/>
      <c r="CK768" s="93"/>
      <c r="CL768" s="93"/>
      <c r="CM768" s="93"/>
      <c r="CN768" s="93"/>
      <c r="CO768" s="93"/>
      <c r="CP768" s="93"/>
      <c r="CQ768" s="93"/>
      <c r="CR768" s="93"/>
      <c r="CS768" s="93"/>
      <c r="CT768" s="93"/>
      <c r="CU768" s="93"/>
      <c r="CV768" s="93"/>
      <c r="CW768" s="93"/>
      <c r="CX768" s="93"/>
      <c r="CY768" s="93"/>
      <c r="CZ768" s="93"/>
      <c r="DA768" s="93"/>
      <c r="DB768" s="93"/>
      <c r="DC768" s="93"/>
      <c r="DD768" s="93"/>
    </row>
    <row r="769" spans="30:108" ht="6.95" customHeight="1" x14ac:dyDescent="0.15"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  <c r="AZ769" s="93"/>
      <c r="BA769" s="93"/>
      <c r="BB769" s="93"/>
      <c r="BC769" s="93"/>
      <c r="BD769" s="93"/>
      <c r="BE769" s="93"/>
      <c r="BF769" s="93"/>
      <c r="BG769" s="93"/>
      <c r="BH769" s="93"/>
      <c r="BI769" s="93"/>
      <c r="BJ769" s="93"/>
      <c r="BK769" s="93"/>
      <c r="BL769" s="93"/>
      <c r="BM769" s="93"/>
      <c r="BN769" s="93"/>
      <c r="BO769" s="93"/>
      <c r="BP769" s="93"/>
      <c r="BQ769" s="93"/>
      <c r="BR769" s="93"/>
      <c r="BS769" s="93"/>
      <c r="BT769" s="93"/>
      <c r="BU769" s="93"/>
      <c r="BV769" s="93"/>
      <c r="BW769" s="93"/>
      <c r="BX769" s="93"/>
      <c r="BY769" s="93"/>
      <c r="BZ769" s="93"/>
      <c r="CA769" s="93"/>
      <c r="CB769" s="93"/>
      <c r="CC769" s="93"/>
      <c r="CD769" s="93"/>
      <c r="CE769" s="93"/>
      <c r="CF769" s="93"/>
      <c r="CG769" s="93"/>
      <c r="CH769" s="93"/>
      <c r="CI769" s="93"/>
      <c r="CJ769" s="93"/>
      <c r="CK769" s="93"/>
      <c r="CL769" s="93"/>
      <c r="CM769" s="93"/>
      <c r="CN769" s="93"/>
      <c r="CO769" s="93"/>
      <c r="CP769" s="93"/>
      <c r="CQ769" s="93"/>
      <c r="CR769" s="93"/>
      <c r="CS769" s="93"/>
      <c r="CT769" s="93"/>
      <c r="CU769" s="93"/>
      <c r="CV769" s="93"/>
      <c r="CW769" s="93"/>
      <c r="CX769" s="93"/>
      <c r="CY769" s="93"/>
      <c r="CZ769" s="93"/>
      <c r="DA769" s="93"/>
      <c r="DB769" s="93"/>
      <c r="DC769" s="93"/>
      <c r="DD769" s="93"/>
    </row>
    <row r="770" spans="30:108" ht="6.95" customHeight="1" x14ac:dyDescent="0.15"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3"/>
      <c r="BF770" s="93"/>
      <c r="BG770" s="93"/>
      <c r="BH770" s="93"/>
      <c r="BI770" s="93"/>
      <c r="BJ770" s="93"/>
      <c r="BK770" s="93"/>
      <c r="BL770" s="93"/>
      <c r="BM770" s="93"/>
      <c r="BN770" s="93"/>
      <c r="BO770" s="93"/>
      <c r="BP770" s="93"/>
      <c r="BQ770" s="93"/>
      <c r="BR770" s="93"/>
      <c r="BS770" s="93"/>
      <c r="BT770" s="93"/>
      <c r="BU770" s="93"/>
      <c r="BV770" s="93"/>
      <c r="BW770" s="93"/>
      <c r="BX770" s="93"/>
      <c r="BY770" s="93"/>
      <c r="BZ770" s="93"/>
      <c r="CA770" s="93"/>
      <c r="CB770" s="93"/>
      <c r="CC770" s="93"/>
      <c r="CD770" s="93"/>
      <c r="CE770" s="93"/>
      <c r="CF770" s="93"/>
      <c r="CG770" s="93"/>
      <c r="CH770" s="93"/>
      <c r="CI770" s="93"/>
      <c r="CJ770" s="93"/>
      <c r="CK770" s="93"/>
      <c r="CL770" s="93"/>
      <c r="CM770" s="93"/>
      <c r="CN770" s="93"/>
      <c r="CO770" s="93"/>
      <c r="CP770" s="93"/>
      <c r="CQ770" s="93"/>
      <c r="CR770" s="93"/>
      <c r="CS770" s="93"/>
      <c r="CT770" s="93"/>
      <c r="CU770" s="93"/>
      <c r="CV770" s="93"/>
      <c r="CW770" s="93"/>
      <c r="CX770" s="93"/>
      <c r="CY770" s="93"/>
      <c r="CZ770" s="93"/>
      <c r="DA770" s="93"/>
      <c r="DB770" s="93"/>
      <c r="DC770" s="93"/>
      <c r="DD770" s="93"/>
    </row>
    <row r="771" spans="30:108" ht="6.95" customHeight="1" x14ac:dyDescent="0.15">
      <c r="AD771" s="93">
        <v>800</v>
      </c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  <c r="AZ771" s="93"/>
      <c r="BA771" s="93"/>
      <c r="BB771" s="93"/>
      <c r="BC771" s="93"/>
      <c r="BD771" s="93"/>
      <c r="BE771" s="93"/>
      <c r="BF771" s="93"/>
      <c r="BG771" s="93"/>
      <c r="BH771" s="93"/>
      <c r="BI771" s="93"/>
      <c r="BJ771" s="93"/>
      <c r="BK771" s="93"/>
      <c r="BL771" s="93"/>
      <c r="BM771" s="93"/>
      <c r="BN771" s="93"/>
      <c r="BO771" s="93"/>
      <c r="BP771" s="93"/>
      <c r="BQ771" s="93"/>
      <c r="BR771" s="93"/>
      <c r="BS771" s="93"/>
      <c r="BT771" s="93"/>
      <c r="BU771" s="93"/>
      <c r="BV771" s="93"/>
      <c r="BW771" s="93"/>
      <c r="BX771" s="93"/>
      <c r="BY771" s="93"/>
      <c r="BZ771" s="93"/>
      <c r="CA771" s="93"/>
      <c r="CB771" s="93"/>
      <c r="CC771" s="93"/>
      <c r="CD771" s="93"/>
      <c r="CE771" s="93"/>
      <c r="CF771" s="93"/>
      <c r="CG771" s="93"/>
      <c r="CH771" s="93"/>
      <c r="CI771" s="93"/>
      <c r="CJ771" s="93"/>
      <c r="CK771" s="93"/>
      <c r="CL771" s="93"/>
      <c r="CM771" s="93"/>
      <c r="CN771" s="93"/>
      <c r="CO771" s="93"/>
      <c r="CP771" s="93"/>
      <c r="CQ771" s="93"/>
      <c r="CR771" s="93"/>
      <c r="CS771" s="93"/>
      <c r="CT771" s="93"/>
      <c r="CU771" s="93"/>
      <c r="CV771" s="93"/>
      <c r="CW771" s="93"/>
      <c r="CX771" s="93"/>
      <c r="CY771" s="93"/>
      <c r="CZ771" s="93"/>
      <c r="DA771" s="93"/>
      <c r="DB771" s="93"/>
      <c r="DC771" s="93"/>
      <c r="DD771" s="93"/>
    </row>
    <row r="772" spans="30:108" ht="6.95" customHeight="1" x14ac:dyDescent="0.15"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  <c r="AZ772" s="93"/>
      <c r="BA772" s="93"/>
      <c r="BB772" s="93"/>
      <c r="BC772" s="93"/>
      <c r="BD772" s="93"/>
      <c r="BE772" s="93"/>
      <c r="BF772" s="93"/>
      <c r="BG772" s="93"/>
      <c r="BH772" s="93"/>
      <c r="BI772" s="93"/>
      <c r="BJ772" s="93"/>
      <c r="BK772" s="93"/>
      <c r="BL772" s="93"/>
      <c r="BM772" s="93"/>
      <c r="BN772" s="93"/>
      <c r="BO772" s="93"/>
      <c r="BP772" s="93"/>
      <c r="BQ772" s="93"/>
      <c r="BR772" s="93"/>
      <c r="BS772" s="93"/>
      <c r="BT772" s="93"/>
      <c r="BU772" s="93"/>
      <c r="BV772" s="93"/>
      <c r="BW772" s="93"/>
      <c r="BX772" s="93"/>
      <c r="BY772" s="93"/>
      <c r="BZ772" s="93"/>
      <c r="CA772" s="93"/>
      <c r="CB772" s="93"/>
      <c r="CC772" s="93"/>
      <c r="CD772" s="93"/>
      <c r="CE772" s="93"/>
      <c r="CF772" s="93"/>
      <c r="CG772" s="93"/>
      <c r="CH772" s="93"/>
      <c r="CI772" s="93"/>
      <c r="CJ772" s="93"/>
      <c r="CK772" s="93"/>
      <c r="CL772" s="93"/>
      <c r="CM772" s="93"/>
      <c r="CN772" s="93"/>
      <c r="CO772" s="93"/>
      <c r="CP772" s="93"/>
      <c r="CQ772" s="93"/>
      <c r="CR772" s="93"/>
      <c r="CS772" s="93"/>
      <c r="CT772" s="93"/>
      <c r="CU772" s="93"/>
      <c r="CV772" s="93"/>
      <c r="CW772" s="93"/>
      <c r="CX772" s="93"/>
      <c r="CY772" s="93"/>
      <c r="CZ772" s="93"/>
      <c r="DA772" s="93"/>
      <c r="DB772" s="93"/>
      <c r="DC772" s="93"/>
      <c r="DD772" s="93"/>
    </row>
    <row r="773" spans="30:108" ht="6.95" customHeight="1" x14ac:dyDescent="0.15"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3"/>
      <c r="BF773" s="93"/>
      <c r="BG773" s="93"/>
      <c r="BH773" s="93"/>
      <c r="BI773" s="93"/>
      <c r="BJ773" s="93"/>
      <c r="BK773" s="93"/>
      <c r="BL773" s="93"/>
      <c r="BM773" s="93"/>
      <c r="BN773" s="93"/>
      <c r="BO773" s="93"/>
      <c r="BP773" s="93"/>
      <c r="BQ773" s="93"/>
      <c r="BR773" s="93"/>
      <c r="BS773" s="93"/>
      <c r="BT773" s="93"/>
      <c r="BU773" s="93"/>
      <c r="BV773" s="93"/>
      <c r="BW773" s="93"/>
      <c r="BX773" s="93"/>
      <c r="BY773" s="93"/>
      <c r="BZ773" s="93"/>
      <c r="CA773" s="93"/>
      <c r="CB773" s="93"/>
      <c r="CC773" s="93"/>
      <c r="CD773" s="93"/>
      <c r="CE773" s="93"/>
      <c r="CF773" s="93"/>
      <c r="CG773" s="93"/>
      <c r="CH773" s="93"/>
      <c r="CI773" s="93"/>
      <c r="CJ773" s="93"/>
      <c r="CK773" s="93"/>
      <c r="CL773" s="93"/>
      <c r="CM773" s="93"/>
      <c r="CN773" s="93"/>
      <c r="CO773" s="93"/>
      <c r="CP773" s="93"/>
      <c r="CQ773" s="93"/>
      <c r="CR773" s="93"/>
      <c r="CS773" s="93"/>
      <c r="CT773" s="93"/>
      <c r="CU773" s="93"/>
      <c r="CV773" s="93"/>
      <c r="CW773" s="93"/>
      <c r="CX773" s="93"/>
      <c r="CY773" s="93"/>
      <c r="CZ773" s="93"/>
      <c r="DA773" s="93"/>
      <c r="DB773" s="93"/>
      <c r="DC773" s="93"/>
      <c r="DD773" s="93"/>
    </row>
    <row r="774" spans="30:108" ht="6.95" customHeight="1" x14ac:dyDescent="0.15"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  <c r="AZ774" s="93"/>
      <c r="BA774" s="93"/>
      <c r="BB774" s="93"/>
      <c r="BC774" s="93"/>
      <c r="BD774" s="93"/>
      <c r="BE774" s="93"/>
      <c r="BF774" s="93"/>
      <c r="BG774" s="93"/>
      <c r="BH774" s="93"/>
      <c r="BI774" s="93"/>
      <c r="BJ774" s="93"/>
      <c r="BK774" s="93"/>
      <c r="BL774" s="93"/>
      <c r="BM774" s="93"/>
      <c r="BN774" s="93"/>
      <c r="BO774" s="93"/>
      <c r="BP774" s="93"/>
      <c r="BQ774" s="93"/>
      <c r="BR774" s="93"/>
      <c r="BS774" s="93"/>
      <c r="BT774" s="93"/>
      <c r="BU774" s="93"/>
      <c r="BV774" s="93"/>
      <c r="BW774" s="93"/>
      <c r="BX774" s="93"/>
      <c r="BY774" s="93"/>
      <c r="BZ774" s="93"/>
      <c r="CA774" s="93"/>
      <c r="CB774" s="93"/>
      <c r="CC774" s="93"/>
      <c r="CD774" s="93"/>
      <c r="CE774" s="93"/>
      <c r="CF774" s="93"/>
      <c r="CG774" s="93"/>
      <c r="CH774" s="93"/>
      <c r="CI774" s="93"/>
      <c r="CJ774" s="93"/>
      <c r="CK774" s="93"/>
      <c r="CL774" s="93"/>
      <c r="CM774" s="93"/>
      <c r="CN774" s="93"/>
      <c r="CO774" s="93"/>
      <c r="CP774" s="93"/>
      <c r="CQ774" s="93"/>
      <c r="CR774" s="93"/>
      <c r="CS774" s="93"/>
      <c r="CT774" s="93"/>
      <c r="CU774" s="93"/>
      <c r="CV774" s="93"/>
      <c r="CW774" s="93"/>
      <c r="CX774" s="93"/>
      <c r="CY774" s="93"/>
      <c r="CZ774" s="93"/>
      <c r="DA774" s="93"/>
      <c r="DB774" s="93"/>
      <c r="DC774" s="93"/>
      <c r="DD774" s="93"/>
    </row>
    <row r="775" spans="30:108" ht="6.95" customHeight="1" x14ac:dyDescent="0.15"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  <c r="AZ775" s="93"/>
      <c r="BA775" s="93"/>
      <c r="BB775" s="93"/>
      <c r="BC775" s="93"/>
      <c r="BD775" s="93"/>
      <c r="BE775" s="93"/>
      <c r="BF775" s="93"/>
      <c r="BG775" s="93"/>
      <c r="BH775" s="93"/>
      <c r="BI775" s="93"/>
      <c r="BJ775" s="93"/>
      <c r="BK775" s="93"/>
      <c r="BL775" s="93"/>
      <c r="BM775" s="93"/>
      <c r="BN775" s="93"/>
      <c r="BO775" s="93"/>
      <c r="BP775" s="93"/>
      <c r="BQ775" s="93"/>
      <c r="BR775" s="93"/>
      <c r="BS775" s="93"/>
      <c r="BT775" s="93"/>
      <c r="BU775" s="93"/>
      <c r="BV775" s="93"/>
      <c r="BW775" s="93"/>
      <c r="BX775" s="93"/>
      <c r="BY775" s="93"/>
      <c r="BZ775" s="93"/>
      <c r="CA775" s="93"/>
      <c r="CB775" s="93"/>
      <c r="CC775" s="93"/>
      <c r="CD775" s="93"/>
      <c r="CE775" s="93"/>
      <c r="CF775" s="93"/>
      <c r="CG775" s="93"/>
      <c r="CH775" s="93"/>
      <c r="CI775" s="93"/>
      <c r="CJ775" s="93"/>
      <c r="CK775" s="93"/>
      <c r="CL775" s="93"/>
      <c r="CM775" s="93"/>
      <c r="CN775" s="93"/>
      <c r="CO775" s="93"/>
      <c r="CP775" s="93"/>
      <c r="CQ775" s="93"/>
      <c r="CR775" s="93"/>
      <c r="CS775" s="93"/>
      <c r="CT775" s="93"/>
      <c r="CU775" s="93"/>
      <c r="CV775" s="93"/>
      <c r="CW775" s="93"/>
      <c r="CX775" s="93"/>
      <c r="CY775" s="93"/>
      <c r="CZ775" s="93"/>
      <c r="DA775" s="93"/>
      <c r="DB775" s="93"/>
      <c r="DC775" s="93"/>
      <c r="DD775" s="93"/>
    </row>
    <row r="776" spans="30:108" ht="6.95" customHeight="1" x14ac:dyDescent="0.15"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3"/>
      <c r="BF776" s="93"/>
      <c r="BG776" s="93"/>
      <c r="BH776" s="93"/>
      <c r="BI776" s="93"/>
      <c r="BJ776" s="93"/>
      <c r="BK776" s="93"/>
      <c r="BL776" s="93"/>
      <c r="BM776" s="93"/>
      <c r="BN776" s="93"/>
      <c r="BO776" s="93"/>
      <c r="BP776" s="93"/>
      <c r="BQ776" s="93"/>
      <c r="BR776" s="93"/>
      <c r="BS776" s="93"/>
      <c r="BT776" s="93"/>
      <c r="BU776" s="93"/>
      <c r="BV776" s="93"/>
      <c r="BW776" s="93"/>
      <c r="BX776" s="93"/>
      <c r="BY776" s="93"/>
      <c r="BZ776" s="93"/>
      <c r="CA776" s="93"/>
      <c r="CB776" s="93"/>
      <c r="CC776" s="93"/>
      <c r="CD776" s="93"/>
      <c r="CE776" s="93"/>
      <c r="CF776" s="93"/>
      <c r="CG776" s="93"/>
      <c r="CH776" s="93"/>
      <c r="CI776" s="93"/>
      <c r="CJ776" s="93"/>
      <c r="CK776" s="93"/>
      <c r="CL776" s="93"/>
      <c r="CM776" s="93"/>
      <c r="CN776" s="93"/>
      <c r="CO776" s="93"/>
      <c r="CP776" s="93"/>
      <c r="CQ776" s="93"/>
      <c r="CR776" s="93"/>
      <c r="CS776" s="93"/>
      <c r="CT776" s="93"/>
      <c r="CU776" s="93"/>
      <c r="CV776" s="93"/>
      <c r="CW776" s="93"/>
      <c r="CX776" s="93"/>
      <c r="CY776" s="93"/>
      <c r="CZ776" s="93"/>
      <c r="DA776" s="93"/>
      <c r="DB776" s="93"/>
      <c r="DC776" s="93"/>
      <c r="DD776" s="93"/>
    </row>
    <row r="777" spans="30:108" ht="6.95" customHeight="1" x14ac:dyDescent="0.15"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  <c r="AZ777" s="93"/>
      <c r="BA777" s="93"/>
      <c r="BB777" s="93"/>
      <c r="BC777" s="93"/>
      <c r="BD777" s="93"/>
      <c r="BE777" s="93"/>
      <c r="BF777" s="93"/>
      <c r="BG777" s="93"/>
      <c r="BH777" s="93"/>
      <c r="BI777" s="93"/>
      <c r="BJ777" s="93"/>
      <c r="BK777" s="93"/>
      <c r="BL777" s="93"/>
      <c r="BM777" s="93"/>
      <c r="BN777" s="93"/>
      <c r="BO777" s="93"/>
      <c r="BP777" s="93"/>
      <c r="BQ777" s="93"/>
      <c r="BR777" s="93"/>
      <c r="BS777" s="93"/>
      <c r="BT777" s="93"/>
      <c r="BU777" s="93"/>
      <c r="BV777" s="93"/>
      <c r="BW777" s="93"/>
      <c r="BX777" s="93"/>
      <c r="BY777" s="93"/>
      <c r="BZ777" s="93"/>
      <c r="CA777" s="93"/>
      <c r="CB777" s="93"/>
      <c r="CC777" s="93"/>
      <c r="CD777" s="93"/>
      <c r="CE777" s="93"/>
      <c r="CF777" s="93"/>
      <c r="CG777" s="93"/>
      <c r="CH777" s="93"/>
      <c r="CI777" s="93"/>
      <c r="CJ777" s="93"/>
      <c r="CK777" s="93"/>
      <c r="CL777" s="93"/>
      <c r="CM777" s="93"/>
      <c r="CN777" s="93"/>
      <c r="CO777" s="93"/>
      <c r="CP777" s="93"/>
      <c r="CQ777" s="93"/>
      <c r="CR777" s="93"/>
      <c r="CS777" s="93"/>
      <c r="CT777" s="93"/>
      <c r="CU777" s="93"/>
      <c r="CV777" s="93"/>
      <c r="CW777" s="93"/>
      <c r="CX777" s="93"/>
      <c r="CY777" s="93"/>
      <c r="CZ777" s="93"/>
      <c r="DA777" s="93"/>
      <c r="DB777" s="93"/>
      <c r="DC777" s="93"/>
      <c r="DD777" s="93"/>
    </row>
    <row r="778" spans="30:108" ht="6.95" customHeight="1" x14ac:dyDescent="0.15"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  <c r="AZ778" s="93"/>
      <c r="BA778" s="93"/>
      <c r="BB778" s="93"/>
      <c r="BC778" s="93"/>
      <c r="BD778" s="93"/>
      <c r="BE778" s="93"/>
      <c r="BF778" s="93"/>
      <c r="BG778" s="93"/>
      <c r="BH778" s="93"/>
      <c r="BI778" s="93"/>
      <c r="BJ778" s="93"/>
      <c r="BK778" s="93"/>
      <c r="BL778" s="93"/>
      <c r="BM778" s="93"/>
      <c r="BN778" s="93"/>
      <c r="BO778" s="93"/>
      <c r="BP778" s="93"/>
      <c r="BQ778" s="93"/>
      <c r="BR778" s="93"/>
      <c r="BS778" s="93"/>
      <c r="BT778" s="93"/>
      <c r="BU778" s="93"/>
      <c r="BV778" s="93"/>
      <c r="BW778" s="93"/>
      <c r="BX778" s="93"/>
      <c r="BY778" s="93"/>
      <c r="BZ778" s="93"/>
      <c r="CA778" s="93"/>
      <c r="CB778" s="93"/>
      <c r="CC778" s="93"/>
      <c r="CD778" s="93"/>
      <c r="CE778" s="93"/>
      <c r="CF778" s="93"/>
      <c r="CG778" s="93"/>
      <c r="CH778" s="93"/>
      <c r="CI778" s="93"/>
      <c r="CJ778" s="93"/>
      <c r="CK778" s="93"/>
      <c r="CL778" s="93"/>
      <c r="CM778" s="93"/>
      <c r="CN778" s="93"/>
      <c r="CO778" s="93"/>
      <c r="CP778" s="93"/>
      <c r="CQ778" s="93"/>
      <c r="CR778" s="93"/>
      <c r="CS778" s="93"/>
      <c r="CT778" s="93"/>
      <c r="CU778" s="93"/>
      <c r="CV778" s="93"/>
      <c r="CW778" s="93"/>
      <c r="CX778" s="93"/>
      <c r="CY778" s="93"/>
      <c r="CZ778" s="93"/>
      <c r="DA778" s="93"/>
      <c r="DB778" s="93"/>
      <c r="DC778" s="93"/>
      <c r="DD778" s="93"/>
    </row>
    <row r="779" spans="30:108" ht="6.95" customHeight="1" x14ac:dyDescent="0.15"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3"/>
      <c r="BF779" s="93"/>
      <c r="BG779" s="93"/>
      <c r="BH779" s="93"/>
      <c r="BI779" s="93"/>
      <c r="BJ779" s="93"/>
      <c r="BK779" s="93"/>
      <c r="BL779" s="93"/>
      <c r="BM779" s="93"/>
      <c r="BN779" s="93"/>
      <c r="BO779" s="93"/>
      <c r="BP779" s="93"/>
      <c r="BQ779" s="93"/>
      <c r="BR779" s="93"/>
      <c r="BS779" s="93"/>
      <c r="BT779" s="93"/>
      <c r="BU779" s="93"/>
      <c r="BV779" s="93"/>
      <c r="BW779" s="93"/>
      <c r="BX779" s="93"/>
      <c r="BY779" s="93"/>
      <c r="BZ779" s="93"/>
      <c r="CA779" s="93"/>
      <c r="CB779" s="93"/>
      <c r="CC779" s="93"/>
      <c r="CD779" s="93"/>
      <c r="CE779" s="93"/>
      <c r="CF779" s="93"/>
      <c r="CG779" s="93"/>
      <c r="CH779" s="93"/>
      <c r="CI779" s="93"/>
      <c r="CJ779" s="93"/>
      <c r="CK779" s="93"/>
      <c r="CL779" s="93"/>
      <c r="CM779" s="93"/>
      <c r="CN779" s="93"/>
      <c r="CO779" s="93"/>
      <c r="CP779" s="93"/>
      <c r="CQ779" s="93"/>
      <c r="CR779" s="93"/>
      <c r="CS779" s="93"/>
      <c r="CT779" s="93"/>
      <c r="CU779" s="93"/>
      <c r="CV779" s="93"/>
      <c r="CW779" s="93"/>
      <c r="CX779" s="93"/>
      <c r="CY779" s="93"/>
      <c r="CZ779" s="93"/>
      <c r="DA779" s="93"/>
      <c r="DB779" s="93"/>
      <c r="DC779" s="93"/>
      <c r="DD779" s="93"/>
    </row>
    <row r="780" spans="30:108" ht="6.95" customHeight="1" x14ac:dyDescent="0.15"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  <c r="AZ780" s="93"/>
      <c r="BA780" s="93"/>
      <c r="BB780" s="93"/>
      <c r="BC780" s="93"/>
      <c r="BD780" s="93"/>
      <c r="BE780" s="93"/>
      <c r="BF780" s="93"/>
      <c r="BG780" s="93"/>
      <c r="BH780" s="93"/>
      <c r="BI780" s="93"/>
      <c r="BJ780" s="93"/>
      <c r="BK780" s="93"/>
      <c r="BL780" s="93"/>
      <c r="BM780" s="93"/>
      <c r="BN780" s="93"/>
      <c r="BO780" s="93"/>
      <c r="BP780" s="93"/>
      <c r="BQ780" s="93"/>
      <c r="BR780" s="93"/>
      <c r="BS780" s="93"/>
      <c r="BT780" s="93"/>
      <c r="BU780" s="93"/>
      <c r="BV780" s="93"/>
      <c r="BW780" s="93"/>
      <c r="BX780" s="93"/>
      <c r="BY780" s="93"/>
      <c r="BZ780" s="93"/>
      <c r="CA780" s="93"/>
      <c r="CB780" s="93"/>
      <c r="CC780" s="93"/>
      <c r="CD780" s="93"/>
      <c r="CE780" s="93"/>
      <c r="CF780" s="93"/>
      <c r="CG780" s="93"/>
      <c r="CH780" s="93"/>
      <c r="CI780" s="93"/>
      <c r="CJ780" s="93"/>
      <c r="CK780" s="93"/>
      <c r="CL780" s="93"/>
      <c r="CM780" s="93"/>
      <c r="CN780" s="93"/>
      <c r="CO780" s="93"/>
      <c r="CP780" s="93"/>
      <c r="CQ780" s="93"/>
      <c r="CR780" s="93"/>
      <c r="CS780" s="93"/>
      <c r="CT780" s="93"/>
      <c r="CU780" s="93"/>
      <c r="CV780" s="93"/>
      <c r="CW780" s="93"/>
      <c r="CX780" s="93"/>
      <c r="CY780" s="93"/>
      <c r="CZ780" s="93"/>
      <c r="DA780" s="93"/>
      <c r="DB780" s="93"/>
      <c r="DC780" s="93"/>
      <c r="DD780" s="93"/>
    </row>
    <row r="781" spans="30:108" ht="6.95" customHeight="1" x14ac:dyDescent="0.15"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  <c r="AZ781" s="93"/>
      <c r="BA781" s="93"/>
      <c r="BB781" s="93"/>
      <c r="BC781" s="93"/>
      <c r="BD781" s="93"/>
      <c r="BE781" s="93"/>
      <c r="BF781" s="93"/>
      <c r="BG781" s="93"/>
      <c r="BH781" s="93"/>
      <c r="BI781" s="93"/>
      <c r="BJ781" s="93"/>
      <c r="BK781" s="93"/>
      <c r="BL781" s="93"/>
      <c r="BM781" s="93"/>
      <c r="BN781" s="93"/>
      <c r="BO781" s="93"/>
      <c r="BP781" s="93"/>
      <c r="BQ781" s="93"/>
      <c r="BR781" s="93"/>
      <c r="BS781" s="93"/>
      <c r="BT781" s="93"/>
      <c r="BU781" s="93"/>
      <c r="BV781" s="93"/>
      <c r="BW781" s="93"/>
      <c r="BX781" s="93"/>
      <c r="BY781" s="93"/>
      <c r="BZ781" s="93"/>
      <c r="CA781" s="93"/>
      <c r="CB781" s="93"/>
      <c r="CC781" s="93"/>
      <c r="CD781" s="93"/>
      <c r="CE781" s="93"/>
      <c r="CF781" s="93"/>
      <c r="CG781" s="93"/>
      <c r="CH781" s="93"/>
      <c r="CI781" s="93"/>
      <c r="CJ781" s="93"/>
      <c r="CK781" s="93"/>
      <c r="CL781" s="93"/>
      <c r="CM781" s="93"/>
      <c r="CN781" s="93"/>
      <c r="CO781" s="93"/>
      <c r="CP781" s="93"/>
      <c r="CQ781" s="93"/>
      <c r="CR781" s="93"/>
      <c r="CS781" s="93"/>
      <c r="CT781" s="93"/>
      <c r="CU781" s="93"/>
      <c r="CV781" s="93"/>
      <c r="CW781" s="93"/>
      <c r="CX781" s="93"/>
      <c r="CY781" s="93"/>
      <c r="CZ781" s="93"/>
      <c r="DA781" s="93"/>
      <c r="DB781" s="93"/>
      <c r="DC781" s="93"/>
      <c r="DD781" s="93"/>
    </row>
    <row r="782" spans="30:108" ht="6.95" customHeight="1" x14ac:dyDescent="0.15"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3"/>
      <c r="BF782" s="93"/>
      <c r="BG782" s="93"/>
      <c r="BH782" s="93"/>
      <c r="BI782" s="93"/>
      <c r="BJ782" s="93"/>
      <c r="BK782" s="93"/>
      <c r="BL782" s="93"/>
      <c r="BM782" s="93"/>
      <c r="BN782" s="93"/>
      <c r="BO782" s="93"/>
      <c r="BP782" s="93"/>
      <c r="BQ782" s="93"/>
      <c r="BR782" s="93"/>
      <c r="BS782" s="93"/>
      <c r="BT782" s="93"/>
      <c r="BU782" s="93"/>
      <c r="BV782" s="93"/>
      <c r="BW782" s="93"/>
      <c r="BX782" s="93"/>
      <c r="BY782" s="93"/>
      <c r="BZ782" s="93"/>
      <c r="CA782" s="93"/>
      <c r="CB782" s="93"/>
      <c r="CC782" s="93"/>
      <c r="CD782" s="93"/>
      <c r="CE782" s="93"/>
      <c r="CF782" s="93"/>
      <c r="CG782" s="93"/>
      <c r="CH782" s="93"/>
      <c r="CI782" s="93"/>
      <c r="CJ782" s="93"/>
      <c r="CK782" s="93"/>
      <c r="CL782" s="93"/>
      <c r="CM782" s="93"/>
      <c r="CN782" s="93"/>
      <c r="CO782" s="93"/>
      <c r="CP782" s="93"/>
      <c r="CQ782" s="93"/>
      <c r="CR782" s="93"/>
      <c r="CS782" s="93"/>
      <c r="CT782" s="93"/>
      <c r="CU782" s="93"/>
      <c r="CV782" s="93"/>
      <c r="CW782" s="93"/>
      <c r="CX782" s="93"/>
      <c r="CY782" s="93"/>
      <c r="CZ782" s="93"/>
      <c r="DA782" s="93"/>
      <c r="DB782" s="93"/>
      <c r="DC782" s="93"/>
      <c r="DD782" s="93"/>
    </row>
    <row r="783" spans="30:108" ht="6.95" customHeight="1" x14ac:dyDescent="0.15"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  <c r="AZ783" s="93"/>
      <c r="BA783" s="93"/>
      <c r="BB783" s="93"/>
      <c r="BC783" s="93"/>
      <c r="BD783" s="93"/>
      <c r="BE783" s="93"/>
      <c r="BF783" s="93"/>
      <c r="BG783" s="93"/>
      <c r="BH783" s="93"/>
      <c r="BI783" s="93"/>
      <c r="BJ783" s="93"/>
      <c r="BK783" s="93"/>
      <c r="BL783" s="93"/>
      <c r="BM783" s="93"/>
      <c r="BN783" s="93"/>
      <c r="BO783" s="93"/>
      <c r="BP783" s="93"/>
      <c r="BQ783" s="93"/>
      <c r="BR783" s="93"/>
      <c r="BS783" s="93"/>
      <c r="BT783" s="93"/>
      <c r="BU783" s="93"/>
      <c r="BV783" s="93"/>
      <c r="BW783" s="93"/>
      <c r="BX783" s="93"/>
      <c r="BY783" s="93"/>
      <c r="BZ783" s="93"/>
      <c r="CA783" s="93"/>
      <c r="CB783" s="93"/>
      <c r="CC783" s="93"/>
      <c r="CD783" s="93"/>
      <c r="CE783" s="93"/>
      <c r="CF783" s="93"/>
      <c r="CG783" s="93"/>
      <c r="CH783" s="93"/>
      <c r="CI783" s="93"/>
      <c r="CJ783" s="93"/>
      <c r="CK783" s="93"/>
      <c r="CL783" s="93"/>
      <c r="CM783" s="93"/>
      <c r="CN783" s="93"/>
      <c r="CO783" s="93"/>
      <c r="CP783" s="93"/>
      <c r="CQ783" s="93"/>
      <c r="CR783" s="93"/>
      <c r="CS783" s="93"/>
      <c r="CT783" s="93"/>
      <c r="CU783" s="93"/>
      <c r="CV783" s="93"/>
      <c r="CW783" s="93"/>
      <c r="CX783" s="93"/>
      <c r="CY783" s="93"/>
      <c r="CZ783" s="93"/>
      <c r="DA783" s="93"/>
      <c r="DB783" s="93"/>
      <c r="DC783" s="93"/>
      <c r="DD783" s="93"/>
    </row>
    <row r="784" spans="30:108" ht="6.95" customHeight="1" x14ac:dyDescent="0.15"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  <c r="AZ784" s="93"/>
      <c r="BA784" s="93"/>
      <c r="BB784" s="93"/>
      <c r="BC784" s="93"/>
      <c r="BD784" s="93"/>
      <c r="BE784" s="93"/>
      <c r="BF784" s="93"/>
      <c r="BG784" s="93"/>
      <c r="BH784" s="93"/>
      <c r="BI784" s="93"/>
      <c r="BJ784" s="93"/>
      <c r="BK784" s="93"/>
      <c r="BL784" s="93"/>
      <c r="BM784" s="93"/>
      <c r="BN784" s="93"/>
      <c r="BO784" s="93"/>
      <c r="BP784" s="93"/>
      <c r="BQ784" s="93"/>
      <c r="BR784" s="93"/>
      <c r="BS784" s="93"/>
      <c r="BT784" s="93"/>
      <c r="BU784" s="93"/>
      <c r="BV784" s="93"/>
      <c r="BW784" s="93"/>
      <c r="BX784" s="93"/>
      <c r="BY784" s="93"/>
      <c r="BZ784" s="93"/>
      <c r="CA784" s="93"/>
      <c r="CB784" s="93"/>
      <c r="CC784" s="93"/>
      <c r="CD784" s="93"/>
      <c r="CE784" s="93"/>
      <c r="CF784" s="93"/>
      <c r="CG784" s="93"/>
      <c r="CH784" s="93"/>
      <c r="CI784" s="93"/>
      <c r="CJ784" s="93"/>
      <c r="CK784" s="93"/>
      <c r="CL784" s="93"/>
      <c r="CM784" s="93"/>
      <c r="CN784" s="93"/>
      <c r="CO784" s="93"/>
      <c r="CP784" s="93"/>
      <c r="CQ784" s="93"/>
      <c r="CR784" s="93"/>
      <c r="CS784" s="93"/>
      <c r="CT784" s="93"/>
      <c r="CU784" s="93"/>
      <c r="CV784" s="93"/>
      <c r="CW784" s="93"/>
      <c r="CX784" s="93"/>
      <c r="CY784" s="93"/>
      <c r="CZ784" s="93"/>
      <c r="DA784" s="93"/>
      <c r="DB784" s="93"/>
      <c r="DC784" s="93"/>
      <c r="DD784" s="93"/>
    </row>
    <row r="785" spans="30:177" ht="6.95" customHeight="1" x14ac:dyDescent="0.15"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  <c r="AZ785" s="93"/>
      <c r="BA785" s="93"/>
      <c r="BB785" s="93"/>
      <c r="BC785" s="93"/>
      <c r="BD785" s="93"/>
      <c r="BE785" s="93"/>
      <c r="BF785" s="93"/>
      <c r="BG785" s="93"/>
      <c r="BH785" s="93"/>
      <c r="BI785" s="93"/>
      <c r="BJ785" s="93"/>
      <c r="BK785" s="93"/>
      <c r="BL785" s="93"/>
      <c r="BM785" s="93"/>
      <c r="BN785" s="93"/>
      <c r="BO785" s="93"/>
      <c r="BP785" s="93"/>
      <c r="BQ785" s="93"/>
      <c r="BR785" s="93"/>
      <c r="BS785" s="93"/>
      <c r="BT785" s="93"/>
      <c r="BU785" s="93"/>
      <c r="BV785" s="93"/>
      <c r="BW785" s="93"/>
      <c r="BX785" s="93"/>
      <c r="BY785" s="93"/>
      <c r="BZ785" s="93"/>
      <c r="CA785" s="93"/>
      <c r="CB785" s="93"/>
      <c r="CC785" s="93"/>
      <c r="CD785" s="93"/>
      <c r="CE785" s="93"/>
      <c r="CF785" s="93"/>
      <c r="CG785" s="93"/>
      <c r="CH785" s="93"/>
      <c r="CI785" s="93"/>
      <c r="CJ785" s="93"/>
      <c r="CK785" s="93"/>
      <c r="CL785" s="93"/>
      <c r="CM785" s="93"/>
      <c r="CN785" s="93"/>
      <c r="CO785" s="93"/>
      <c r="CP785" s="93"/>
      <c r="CQ785" s="93"/>
      <c r="CR785" s="93"/>
      <c r="CS785" s="93"/>
      <c r="CT785" s="93"/>
      <c r="CU785" s="93"/>
      <c r="CV785" s="93"/>
      <c r="CW785" s="93"/>
      <c r="CX785" s="93"/>
      <c r="CY785" s="93"/>
      <c r="CZ785" s="93"/>
      <c r="DA785" s="93"/>
      <c r="DB785" s="93"/>
      <c r="DC785" s="93"/>
      <c r="DD785" s="93"/>
    </row>
    <row r="786" spans="30:177" ht="6.95" customHeight="1" x14ac:dyDescent="0.15"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  <c r="AZ786" s="93"/>
      <c r="BA786" s="93"/>
      <c r="BB786" s="93"/>
      <c r="BC786" s="93"/>
      <c r="BD786" s="93"/>
      <c r="BE786" s="93"/>
      <c r="BF786" s="93"/>
      <c r="BG786" s="93"/>
      <c r="BH786" s="93"/>
      <c r="BI786" s="93"/>
      <c r="BJ786" s="93"/>
      <c r="BK786" s="93"/>
      <c r="BL786" s="93"/>
      <c r="BM786" s="93"/>
      <c r="BN786" s="93"/>
      <c r="BO786" s="93"/>
      <c r="BP786" s="93"/>
      <c r="BQ786" s="93"/>
      <c r="BR786" s="93"/>
      <c r="BS786" s="93"/>
      <c r="BT786" s="93"/>
      <c r="BU786" s="93"/>
      <c r="BV786" s="93"/>
      <c r="BW786" s="93"/>
      <c r="BX786" s="93"/>
      <c r="BY786" s="93"/>
      <c r="BZ786" s="93"/>
      <c r="CA786" s="93"/>
      <c r="CB786" s="93"/>
      <c r="CC786" s="93"/>
      <c r="CD786" s="93"/>
      <c r="CE786" s="93"/>
      <c r="CF786" s="93"/>
      <c r="CG786" s="93"/>
      <c r="CH786" s="93"/>
      <c r="CI786" s="93"/>
      <c r="CJ786" s="93"/>
      <c r="CK786" s="93"/>
      <c r="CL786" s="93"/>
      <c r="CM786" s="93"/>
      <c r="CN786" s="93"/>
      <c r="CO786" s="93"/>
      <c r="CP786" s="93"/>
      <c r="CQ786" s="93"/>
      <c r="CR786" s="93"/>
      <c r="CS786" s="93"/>
      <c r="CT786" s="93"/>
      <c r="CU786" s="93"/>
      <c r="CV786" s="93"/>
      <c r="CW786" s="93"/>
      <c r="CX786" s="93"/>
      <c r="CY786" s="93"/>
      <c r="CZ786" s="93"/>
      <c r="DA786" s="93"/>
      <c r="DB786" s="93"/>
      <c r="DC786" s="93"/>
      <c r="DD786" s="93"/>
    </row>
    <row r="787" spans="30:177" ht="6.95" customHeight="1" x14ac:dyDescent="0.15"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  <c r="AZ787" s="93"/>
      <c r="BA787" s="93"/>
      <c r="BB787" s="93"/>
      <c r="BC787" s="93"/>
      <c r="BD787" s="93"/>
      <c r="BE787" s="93"/>
      <c r="BF787" s="93"/>
      <c r="BG787" s="93"/>
      <c r="BH787" s="93"/>
      <c r="BI787" s="93"/>
      <c r="BJ787" s="93"/>
      <c r="BK787" s="93"/>
      <c r="BL787" s="93"/>
      <c r="BM787" s="93"/>
      <c r="BN787" s="93"/>
      <c r="BO787" s="93"/>
      <c r="BP787" s="93"/>
      <c r="BQ787" s="93"/>
      <c r="BR787" s="93"/>
      <c r="BS787" s="93"/>
      <c r="BT787" s="93"/>
      <c r="BU787" s="93"/>
      <c r="BV787" s="93"/>
      <c r="BW787" s="93"/>
      <c r="BX787" s="93"/>
      <c r="BY787" s="93"/>
      <c r="BZ787" s="93"/>
      <c r="CA787" s="93"/>
      <c r="CB787" s="93"/>
      <c r="CC787" s="93"/>
      <c r="CD787" s="93"/>
      <c r="CE787" s="93"/>
      <c r="CF787" s="93"/>
      <c r="CG787" s="93"/>
      <c r="CH787" s="93"/>
      <c r="CI787" s="93"/>
      <c r="CJ787" s="93"/>
      <c r="CK787" s="93"/>
      <c r="CL787" s="93"/>
      <c r="CM787" s="93"/>
      <c r="CN787" s="93"/>
      <c r="CO787" s="93"/>
      <c r="CP787" s="93"/>
      <c r="CQ787" s="93"/>
      <c r="CR787" s="93"/>
      <c r="CS787" s="93"/>
      <c r="CT787" s="93"/>
      <c r="CU787" s="93"/>
      <c r="CV787" s="93"/>
      <c r="CW787" s="93"/>
      <c r="CX787" s="93"/>
      <c r="CY787" s="93"/>
      <c r="CZ787" s="93"/>
      <c r="DA787" s="93"/>
      <c r="DB787" s="93"/>
      <c r="DC787" s="93"/>
      <c r="DD787" s="93"/>
    </row>
    <row r="788" spans="30:177" ht="6.95" customHeight="1" x14ac:dyDescent="0.15"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  <c r="AZ788" s="93"/>
      <c r="BA788" s="93"/>
      <c r="BB788" s="93"/>
      <c r="BC788" s="93"/>
      <c r="BD788" s="93"/>
      <c r="BE788" s="93"/>
      <c r="BF788" s="93"/>
      <c r="BG788" s="93"/>
      <c r="BH788" s="93"/>
      <c r="BI788" s="93"/>
      <c r="BJ788" s="93"/>
      <c r="BK788" s="93"/>
      <c r="BL788" s="93"/>
      <c r="BM788" s="93"/>
      <c r="BN788" s="93"/>
      <c r="BO788" s="93"/>
      <c r="BP788" s="93"/>
      <c r="BQ788" s="93"/>
      <c r="BR788" s="93"/>
      <c r="BS788" s="93"/>
      <c r="BT788" s="93"/>
      <c r="BU788" s="93"/>
      <c r="BV788" s="93"/>
      <c r="BW788" s="93"/>
      <c r="BX788" s="93"/>
      <c r="BY788" s="93"/>
      <c r="BZ788" s="93"/>
      <c r="CA788" s="93"/>
      <c r="CB788" s="93"/>
      <c r="CC788" s="93"/>
      <c r="CD788" s="93"/>
      <c r="CE788" s="93"/>
      <c r="CF788" s="93"/>
      <c r="CG788" s="93"/>
      <c r="CH788" s="93"/>
      <c r="CI788" s="93"/>
      <c r="CJ788" s="93"/>
      <c r="CK788" s="93"/>
      <c r="CL788" s="93"/>
      <c r="CM788" s="93"/>
      <c r="CN788" s="93"/>
      <c r="CO788" s="93"/>
      <c r="CP788" s="93"/>
      <c r="CQ788" s="93"/>
      <c r="CR788" s="93"/>
      <c r="CS788" s="93"/>
      <c r="CT788" s="93"/>
      <c r="CU788" s="93"/>
      <c r="CV788" s="93"/>
      <c r="CW788" s="93"/>
      <c r="CX788" s="93"/>
      <c r="CY788" s="93"/>
      <c r="CZ788" s="93"/>
      <c r="DA788" s="93"/>
      <c r="DB788" s="93"/>
      <c r="DC788" s="93"/>
      <c r="DD788" s="93"/>
    </row>
    <row r="789" spans="30:177" ht="6.95" customHeight="1" x14ac:dyDescent="0.15"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  <c r="AZ789" s="93"/>
      <c r="BA789" s="93"/>
      <c r="BB789" s="93"/>
      <c r="BC789" s="93"/>
      <c r="BD789" s="93"/>
      <c r="BE789" s="93"/>
      <c r="BF789" s="93"/>
      <c r="BG789" s="93"/>
      <c r="BH789" s="93"/>
      <c r="BI789" s="93"/>
      <c r="BJ789" s="93"/>
      <c r="BK789" s="93"/>
      <c r="BL789" s="93"/>
      <c r="BM789" s="93"/>
      <c r="BN789" s="93"/>
      <c r="BO789" s="93"/>
      <c r="BP789" s="93"/>
      <c r="BQ789" s="93"/>
      <c r="BR789" s="93"/>
      <c r="BS789" s="93"/>
      <c r="BT789" s="93"/>
      <c r="BU789" s="93"/>
      <c r="BV789" s="93"/>
      <c r="BW789" s="93"/>
      <c r="BX789" s="93"/>
      <c r="BY789" s="93"/>
      <c r="BZ789" s="93"/>
      <c r="CA789" s="93"/>
      <c r="CB789" s="93"/>
      <c r="CC789" s="93"/>
      <c r="CD789" s="93"/>
      <c r="CE789" s="93"/>
      <c r="CF789" s="93"/>
      <c r="CG789" s="93"/>
      <c r="CH789" s="93"/>
      <c r="CI789" s="93"/>
      <c r="CJ789" s="93"/>
      <c r="CK789" s="93"/>
      <c r="CL789" s="93"/>
      <c r="CM789" s="93"/>
      <c r="CN789" s="93"/>
      <c r="CO789" s="93"/>
      <c r="CP789" s="93"/>
      <c r="CQ789" s="93"/>
      <c r="CR789" s="93"/>
      <c r="CS789" s="93"/>
      <c r="CT789" s="93"/>
      <c r="CU789" s="93"/>
      <c r="CV789" s="93"/>
      <c r="CW789" s="93"/>
      <c r="CX789" s="93"/>
      <c r="CY789" s="93"/>
      <c r="CZ789" s="93"/>
      <c r="DA789" s="93"/>
      <c r="DB789" s="93"/>
      <c r="DC789" s="93"/>
      <c r="DD789" s="93"/>
    </row>
    <row r="790" spans="30:177" ht="6.95" customHeight="1" x14ac:dyDescent="0.15"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  <c r="AZ790" s="93"/>
      <c r="BA790" s="93"/>
      <c r="BB790" s="93"/>
      <c r="BC790" s="93"/>
      <c r="BD790" s="93"/>
      <c r="BE790" s="93"/>
      <c r="BF790" s="93"/>
      <c r="BG790" s="93"/>
      <c r="BH790" s="93"/>
      <c r="BI790" s="93"/>
      <c r="BJ790" s="93"/>
      <c r="BK790" s="93"/>
      <c r="BL790" s="93"/>
      <c r="BM790" s="93"/>
      <c r="BN790" s="93"/>
      <c r="BO790" s="93"/>
      <c r="BP790" s="93"/>
      <c r="BQ790" s="93"/>
      <c r="BR790" s="93"/>
      <c r="BS790" s="93"/>
      <c r="BT790" s="93"/>
      <c r="BU790" s="93"/>
      <c r="BV790" s="93"/>
      <c r="BW790" s="93"/>
      <c r="BX790" s="93"/>
      <c r="BY790" s="93"/>
      <c r="BZ790" s="93"/>
      <c r="CA790" s="93"/>
      <c r="CB790" s="93"/>
      <c r="CC790" s="93"/>
      <c r="CD790" s="93"/>
      <c r="CE790" s="93"/>
      <c r="CF790" s="93"/>
      <c r="CG790" s="93"/>
      <c r="CH790" s="93"/>
      <c r="CI790" s="93"/>
      <c r="CJ790" s="93"/>
      <c r="CK790" s="93"/>
      <c r="CL790" s="93"/>
      <c r="CM790" s="93"/>
      <c r="CN790" s="93"/>
      <c r="CO790" s="93"/>
      <c r="CP790" s="93"/>
      <c r="CQ790" s="93"/>
      <c r="CR790" s="93"/>
      <c r="CS790" s="93"/>
      <c r="CT790" s="93"/>
      <c r="CU790" s="93"/>
      <c r="CV790" s="93"/>
      <c r="CW790" s="93"/>
      <c r="CX790" s="93"/>
      <c r="CY790" s="93"/>
      <c r="CZ790" s="106"/>
      <c r="DA790" s="106"/>
      <c r="DB790" s="106"/>
      <c r="DC790" s="106"/>
      <c r="DD790" s="106"/>
      <c r="DE790" s="106"/>
      <c r="DF790" s="106"/>
      <c r="DG790" s="106"/>
      <c r="DH790" s="106"/>
      <c r="DI790" s="106"/>
      <c r="DJ790" s="106"/>
      <c r="DK790" s="106"/>
      <c r="DL790" s="106"/>
      <c r="DM790" s="106"/>
      <c r="DN790" s="106"/>
      <c r="DO790" s="106"/>
      <c r="DP790" s="106"/>
      <c r="DQ790" s="106"/>
      <c r="DR790" s="106"/>
      <c r="DS790" s="106"/>
      <c r="DT790" s="106"/>
      <c r="DU790" s="106"/>
      <c r="DV790" s="106"/>
      <c r="DW790" s="106"/>
      <c r="DX790" s="106"/>
      <c r="DY790" s="106"/>
      <c r="DZ790" s="106"/>
      <c r="EA790" s="106"/>
      <c r="EB790" s="106"/>
      <c r="EC790" s="106"/>
      <c r="ED790" s="106"/>
      <c r="EE790" s="106"/>
      <c r="EF790" s="106"/>
      <c r="EG790" s="106"/>
      <c r="EH790" s="106"/>
      <c r="EI790" s="106"/>
      <c r="EJ790" s="106"/>
      <c r="EK790" s="106"/>
      <c r="EL790" s="106"/>
      <c r="EM790" s="106"/>
      <c r="EN790" s="106"/>
      <c r="EO790" s="106"/>
      <c r="EP790" s="106"/>
      <c r="EQ790" s="106"/>
      <c r="ER790" s="106"/>
      <c r="ES790" s="106"/>
      <c r="ET790" s="106"/>
      <c r="EU790" s="106"/>
      <c r="EV790" s="106"/>
      <c r="EW790" s="106"/>
      <c r="EX790" s="106"/>
      <c r="EY790" s="106"/>
      <c r="EZ790" s="106"/>
      <c r="FA790" s="106"/>
      <c r="FB790" s="106"/>
      <c r="FC790" s="106"/>
      <c r="FD790" s="106"/>
      <c r="FE790" s="106"/>
      <c r="FF790" s="106"/>
      <c r="FG790" s="106"/>
      <c r="FH790" s="106"/>
      <c r="FI790" s="106"/>
      <c r="FJ790" s="106"/>
      <c r="FK790" s="106"/>
      <c r="FL790" s="106"/>
      <c r="FM790" s="106"/>
      <c r="FN790" s="106"/>
      <c r="FO790" s="106"/>
      <c r="FP790" s="106"/>
      <c r="FQ790" s="106"/>
      <c r="FR790" s="106"/>
      <c r="FS790" s="106"/>
      <c r="FT790" s="106"/>
      <c r="FU790" s="106"/>
    </row>
    <row r="791" spans="30:177" ht="6.95" customHeight="1" x14ac:dyDescent="0.15"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3"/>
      <c r="BF791" s="93"/>
      <c r="BG791" s="93"/>
      <c r="BH791" s="93"/>
      <c r="BI791" s="93"/>
      <c r="BJ791" s="93"/>
      <c r="BK791" s="93"/>
      <c r="BL791" s="93"/>
      <c r="BM791" s="93"/>
      <c r="BN791" s="93"/>
      <c r="BO791" s="93"/>
      <c r="BP791" s="93"/>
      <c r="BQ791" s="93"/>
      <c r="BR791" s="93"/>
      <c r="BS791" s="93"/>
      <c r="BT791" s="93"/>
      <c r="BU791" s="93"/>
      <c r="BV791" s="93"/>
      <c r="BW791" s="93"/>
      <c r="BX791" s="93"/>
      <c r="BY791" s="93"/>
      <c r="BZ791" s="93"/>
      <c r="CA791" s="93"/>
      <c r="CB791" s="93"/>
      <c r="CC791" s="93"/>
      <c r="CD791" s="93"/>
      <c r="CE791" s="93"/>
      <c r="CF791" s="93"/>
      <c r="CG791" s="93"/>
      <c r="CH791" s="93"/>
      <c r="CI791" s="93"/>
      <c r="CJ791" s="93"/>
      <c r="CK791" s="93"/>
      <c r="CL791" s="93"/>
      <c r="CM791" s="93"/>
      <c r="CN791" s="93"/>
      <c r="CO791" s="93"/>
      <c r="CP791" s="93"/>
      <c r="CQ791" s="93"/>
      <c r="CR791" s="93"/>
      <c r="CS791" s="93"/>
      <c r="CT791" s="93"/>
      <c r="CU791" s="93"/>
      <c r="CV791" s="93"/>
      <c r="CW791" s="93"/>
      <c r="CX791" s="93"/>
      <c r="CY791" s="93"/>
      <c r="CZ791" s="106"/>
      <c r="DA791" s="106"/>
      <c r="DB791" s="106"/>
      <c r="DC791" s="106"/>
      <c r="DD791" s="106"/>
      <c r="DE791" s="106"/>
      <c r="DF791" s="106"/>
      <c r="DG791" s="106"/>
      <c r="DH791" s="106"/>
      <c r="DI791" s="106"/>
      <c r="DJ791" s="106"/>
      <c r="DK791" s="106"/>
      <c r="DL791" s="106"/>
      <c r="DM791" s="106"/>
      <c r="DN791" s="106"/>
      <c r="DO791" s="106"/>
      <c r="DP791" s="106"/>
      <c r="DQ791" s="106"/>
      <c r="DR791" s="106"/>
      <c r="DS791" s="106"/>
      <c r="DT791" s="106"/>
      <c r="DU791" s="106"/>
      <c r="DV791" s="106"/>
      <c r="DW791" s="106"/>
      <c r="DX791" s="106"/>
      <c r="DY791" s="106"/>
      <c r="DZ791" s="106"/>
      <c r="EA791" s="106"/>
      <c r="EB791" s="106"/>
      <c r="EC791" s="106"/>
      <c r="ED791" s="106"/>
      <c r="EE791" s="106"/>
      <c r="EF791" s="106"/>
      <c r="EG791" s="106"/>
      <c r="EH791" s="106"/>
      <c r="EI791" s="106"/>
      <c r="EJ791" s="106"/>
      <c r="EK791" s="106"/>
      <c r="EL791" s="106"/>
      <c r="EM791" s="106"/>
      <c r="EN791" s="106"/>
      <c r="EO791" s="106"/>
      <c r="EP791" s="106"/>
      <c r="EQ791" s="106"/>
      <c r="ER791" s="106"/>
      <c r="ES791" s="106"/>
      <c r="ET791" s="106"/>
      <c r="EU791" s="106"/>
      <c r="EV791" s="106"/>
      <c r="EW791" s="106"/>
      <c r="EX791" s="106"/>
      <c r="EY791" s="106"/>
      <c r="EZ791" s="106"/>
      <c r="FA791" s="106"/>
      <c r="FB791" s="106"/>
      <c r="FC791" s="106"/>
      <c r="FD791" s="106"/>
      <c r="FE791" s="106"/>
      <c r="FF791" s="106"/>
      <c r="FG791" s="106"/>
      <c r="FH791" s="106"/>
      <c r="FI791" s="106"/>
      <c r="FJ791" s="106"/>
      <c r="FK791" s="106"/>
      <c r="FL791" s="106"/>
      <c r="FM791" s="106"/>
      <c r="FN791" s="106"/>
      <c r="FO791" s="106"/>
      <c r="FP791" s="106"/>
      <c r="FQ791" s="106"/>
      <c r="FR791" s="106"/>
      <c r="FS791" s="106"/>
      <c r="FT791" s="106"/>
      <c r="FU791" s="106"/>
    </row>
    <row r="792" spans="30:177" ht="6.95" customHeight="1" x14ac:dyDescent="0.15"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  <c r="AZ792" s="93"/>
      <c r="BA792" s="93"/>
      <c r="BB792" s="93"/>
      <c r="BC792" s="93"/>
      <c r="BD792" s="93"/>
      <c r="BE792" s="93"/>
      <c r="BF792" s="93"/>
      <c r="BG792" s="93"/>
      <c r="BH792" s="93"/>
      <c r="BI792" s="93"/>
      <c r="BJ792" s="93"/>
      <c r="BK792" s="93"/>
      <c r="BL792" s="93"/>
      <c r="BM792" s="93"/>
      <c r="BN792" s="93"/>
      <c r="BO792" s="93"/>
      <c r="BP792" s="93"/>
      <c r="BQ792" s="93"/>
      <c r="BR792" s="93"/>
      <c r="BS792" s="93"/>
      <c r="BT792" s="93"/>
      <c r="BU792" s="93"/>
      <c r="BV792" s="93"/>
      <c r="BW792" s="93"/>
      <c r="BX792" s="93"/>
      <c r="BY792" s="93"/>
      <c r="BZ792" s="93"/>
      <c r="CA792" s="93"/>
      <c r="CB792" s="93"/>
      <c r="CC792" s="93"/>
      <c r="CD792" s="93"/>
      <c r="CE792" s="93"/>
      <c r="CF792" s="93"/>
      <c r="CG792" s="93"/>
      <c r="CH792" s="93"/>
      <c r="CI792" s="93"/>
      <c r="CJ792" s="93"/>
      <c r="CK792" s="93"/>
      <c r="CL792" s="93"/>
      <c r="CM792" s="93"/>
      <c r="CN792" s="93"/>
      <c r="CO792" s="93"/>
      <c r="CP792" s="93"/>
      <c r="CQ792" s="93"/>
      <c r="CR792" s="93"/>
      <c r="CS792" s="93"/>
      <c r="CT792" s="93"/>
      <c r="CU792" s="93"/>
      <c r="CV792" s="93"/>
      <c r="CW792" s="93"/>
      <c r="CX792" s="93"/>
      <c r="CY792" s="93"/>
      <c r="CZ792" s="106"/>
      <c r="DA792" s="106"/>
      <c r="DB792" s="106"/>
      <c r="DC792" s="106"/>
      <c r="DD792" s="106"/>
      <c r="DE792" s="106"/>
      <c r="DF792" s="106"/>
      <c r="DG792" s="106"/>
      <c r="DH792" s="106"/>
      <c r="DI792" s="106"/>
      <c r="DJ792" s="106"/>
      <c r="DK792" s="106"/>
      <c r="DL792" s="106"/>
      <c r="DM792" s="106"/>
      <c r="DN792" s="106"/>
      <c r="DO792" s="106"/>
      <c r="DP792" s="106"/>
      <c r="DQ792" s="106"/>
      <c r="DR792" s="106"/>
      <c r="DS792" s="106"/>
      <c r="DT792" s="106"/>
      <c r="DU792" s="106"/>
      <c r="DV792" s="106"/>
      <c r="DW792" s="106"/>
      <c r="DX792" s="106"/>
      <c r="DY792" s="106"/>
      <c r="DZ792" s="106"/>
      <c r="EA792" s="106"/>
      <c r="EB792" s="106"/>
      <c r="EC792" s="106"/>
      <c r="ED792" s="106"/>
      <c r="EE792" s="106"/>
      <c r="EF792" s="106"/>
      <c r="EG792" s="106"/>
      <c r="EH792" s="106"/>
      <c r="EI792" s="106"/>
      <c r="EJ792" s="106"/>
      <c r="EK792" s="106"/>
      <c r="EL792" s="106"/>
      <c r="EM792" s="106"/>
      <c r="EN792" s="106"/>
      <c r="EO792" s="106"/>
      <c r="EP792" s="106"/>
      <c r="EQ792" s="106"/>
      <c r="ER792" s="106"/>
      <c r="ES792" s="106"/>
      <c r="ET792" s="106"/>
      <c r="EU792" s="106"/>
      <c r="EV792" s="106"/>
      <c r="EW792" s="106"/>
      <c r="EX792" s="106"/>
      <c r="EY792" s="106"/>
      <c r="EZ792" s="106"/>
      <c r="FA792" s="106"/>
      <c r="FB792" s="106"/>
      <c r="FC792" s="106"/>
      <c r="FD792" s="106"/>
      <c r="FE792" s="106"/>
      <c r="FF792" s="106"/>
      <c r="FG792" s="106"/>
      <c r="FH792" s="106"/>
      <c r="FI792" s="106"/>
      <c r="FJ792" s="106"/>
      <c r="FK792" s="106"/>
      <c r="FL792" s="106"/>
      <c r="FM792" s="106"/>
      <c r="FN792" s="106"/>
      <c r="FO792" s="106"/>
      <c r="FP792" s="106"/>
      <c r="FQ792" s="106"/>
      <c r="FR792" s="106"/>
      <c r="FS792" s="106"/>
      <c r="FT792" s="106"/>
      <c r="FU792" s="106"/>
    </row>
    <row r="793" spans="30:177" ht="6.95" customHeight="1" x14ac:dyDescent="0.15"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  <c r="AZ793" s="93"/>
      <c r="BA793" s="93"/>
      <c r="BB793" s="93"/>
      <c r="BC793" s="93"/>
      <c r="BD793" s="93"/>
      <c r="BE793" s="93"/>
      <c r="BF793" s="93"/>
      <c r="BG793" s="93"/>
      <c r="BH793" s="93"/>
      <c r="BI793" s="93"/>
      <c r="BJ793" s="93"/>
      <c r="BK793" s="93"/>
      <c r="BL793" s="93"/>
      <c r="BM793" s="93"/>
      <c r="BN793" s="93"/>
      <c r="BO793" s="93"/>
      <c r="BP793" s="93"/>
      <c r="BQ793" s="93"/>
      <c r="BR793" s="93"/>
      <c r="BS793" s="93"/>
      <c r="BT793" s="93"/>
      <c r="BU793" s="93"/>
      <c r="BV793" s="93"/>
      <c r="BW793" s="93"/>
      <c r="BX793" s="93"/>
      <c r="BY793" s="93"/>
      <c r="BZ793" s="93"/>
      <c r="CA793" s="93"/>
      <c r="CB793" s="93"/>
      <c r="CC793" s="93"/>
      <c r="CD793" s="93"/>
      <c r="CE793" s="93"/>
      <c r="CF793" s="93"/>
      <c r="CG793" s="93"/>
      <c r="CH793" s="93"/>
      <c r="CI793" s="93"/>
      <c r="CJ793" s="93"/>
      <c r="CK793" s="93"/>
      <c r="CL793" s="93"/>
      <c r="CM793" s="93"/>
      <c r="CN793" s="93"/>
      <c r="CO793" s="93"/>
      <c r="CP793" s="93"/>
      <c r="CQ793" s="93"/>
      <c r="CR793" s="93"/>
      <c r="CS793" s="93"/>
      <c r="CT793" s="93"/>
      <c r="CU793" s="93"/>
      <c r="CV793" s="93"/>
      <c r="CW793" s="93"/>
      <c r="CX793" s="93"/>
      <c r="CY793" s="93"/>
      <c r="CZ793" s="106"/>
      <c r="DA793" s="106"/>
      <c r="DB793" s="106"/>
      <c r="DC793" s="106"/>
      <c r="DD793" s="106"/>
      <c r="DE793" s="106"/>
      <c r="DF793" s="106"/>
      <c r="DG793" s="106"/>
      <c r="DH793" s="106"/>
      <c r="DI793" s="106"/>
      <c r="DJ793" s="106"/>
      <c r="DK793" s="106"/>
      <c r="DL793" s="106"/>
      <c r="DM793" s="106"/>
      <c r="DN793" s="106"/>
      <c r="DO793" s="106"/>
      <c r="DP793" s="106"/>
      <c r="DQ793" s="106"/>
      <c r="DR793" s="106"/>
      <c r="DS793" s="106"/>
      <c r="DT793" s="106"/>
      <c r="DU793" s="106"/>
      <c r="DV793" s="106"/>
      <c r="DW793" s="106"/>
      <c r="DX793" s="106"/>
      <c r="DY793" s="106"/>
      <c r="DZ793" s="106"/>
      <c r="EA793" s="106"/>
      <c r="EB793" s="106"/>
      <c r="EC793" s="106"/>
      <c r="ED793" s="106"/>
      <c r="EE793" s="106"/>
      <c r="EF793" s="106"/>
      <c r="EG793" s="106"/>
      <c r="EH793" s="106"/>
      <c r="EI793" s="106"/>
      <c r="EJ793" s="106"/>
      <c r="EK793" s="106"/>
      <c r="EL793" s="106"/>
      <c r="EM793" s="106"/>
      <c r="EN793" s="106"/>
      <c r="EO793" s="106"/>
      <c r="EP793" s="106"/>
      <c r="EQ793" s="106"/>
      <c r="ER793" s="106"/>
      <c r="ES793" s="106"/>
      <c r="ET793" s="106"/>
      <c r="EU793" s="106"/>
      <c r="EV793" s="106"/>
      <c r="EW793" s="106"/>
      <c r="EX793" s="106"/>
      <c r="EY793" s="106"/>
      <c r="EZ793" s="106"/>
      <c r="FA793" s="106"/>
      <c r="FB793" s="106"/>
      <c r="FC793" s="106"/>
      <c r="FD793" s="106"/>
      <c r="FE793" s="106"/>
      <c r="FF793" s="106"/>
      <c r="FG793" s="106"/>
      <c r="FH793" s="106"/>
      <c r="FI793" s="106"/>
      <c r="FJ793" s="106"/>
      <c r="FK793" s="106"/>
      <c r="FL793" s="106"/>
      <c r="FM793" s="106"/>
      <c r="FN793" s="106"/>
      <c r="FO793" s="106"/>
      <c r="FP793" s="106"/>
      <c r="FQ793" s="106"/>
      <c r="FR793" s="106"/>
      <c r="FS793" s="106"/>
      <c r="FT793" s="106"/>
      <c r="FU793" s="106"/>
    </row>
    <row r="794" spans="30:177" ht="6.95" customHeight="1" x14ac:dyDescent="0.15"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3"/>
      <c r="BF794" s="93"/>
      <c r="BG794" s="93"/>
      <c r="BH794" s="93"/>
      <c r="BI794" s="93"/>
      <c r="BJ794" s="93"/>
      <c r="BK794" s="93"/>
      <c r="BL794" s="93"/>
      <c r="BM794" s="93"/>
      <c r="BN794" s="93"/>
      <c r="BO794" s="93"/>
      <c r="BP794" s="93"/>
      <c r="BQ794" s="93"/>
      <c r="BR794" s="93"/>
      <c r="BS794" s="93"/>
      <c r="BT794" s="93"/>
      <c r="BU794" s="93"/>
      <c r="BV794" s="93"/>
      <c r="BW794" s="93"/>
      <c r="BX794" s="93"/>
      <c r="BY794" s="93"/>
      <c r="BZ794" s="93"/>
      <c r="CA794" s="93"/>
      <c r="CB794" s="93"/>
      <c r="CC794" s="93"/>
      <c r="CD794" s="93"/>
      <c r="CE794" s="93"/>
      <c r="CF794" s="93"/>
      <c r="CG794" s="93"/>
      <c r="CH794" s="93"/>
      <c r="CI794" s="93"/>
      <c r="CJ794" s="93"/>
      <c r="CK794" s="93"/>
      <c r="CL794" s="93"/>
      <c r="CM794" s="93"/>
      <c r="CN794" s="93"/>
      <c r="CO794" s="93"/>
      <c r="CP794" s="93"/>
      <c r="CQ794" s="93"/>
      <c r="CR794" s="93"/>
      <c r="CS794" s="93"/>
      <c r="CT794" s="93"/>
      <c r="CU794" s="93"/>
      <c r="CV794" s="93"/>
      <c r="CW794" s="93"/>
      <c r="CX794" s="93"/>
      <c r="CY794" s="93"/>
      <c r="CZ794" s="106"/>
      <c r="DA794" s="106"/>
      <c r="DB794" s="106"/>
      <c r="DC794" s="106"/>
      <c r="DD794" s="106"/>
      <c r="DE794" s="106"/>
      <c r="DF794" s="106"/>
      <c r="DG794" s="106"/>
      <c r="DH794" s="106"/>
      <c r="DI794" s="106"/>
      <c r="DJ794" s="106"/>
      <c r="DK794" s="106"/>
      <c r="DL794" s="106"/>
      <c r="DM794" s="106"/>
      <c r="DN794" s="106"/>
      <c r="DO794" s="106"/>
      <c r="DP794" s="106"/>
      <c r="DQ794" s="106"/>
      <c r="DR794" s="106"/>
      <c r="DS794" s="106"/>
      <c r="DT794" s="106"/>
      <c r="DU794" s="106"/>
      <c r="DV794" s="106"/>
      <c r="DW794" s="106"/>
      <c r="DX794" s="106"/>
      <c r="DY794" s="106"/>
      <c r="DZ794" s="106"/>
      <c r="EA794" s="106"/>
      <c r="EB794" s="106"/>
      <c r="EC794" s="106"/>
      <c r="ED794" s="106"/>
      <c r="EE794" s="106"/>
      <c r="EF794" s="106"/>
      <c r="EG794" s="106"/>
      <c r="EH794" s="106"/>
      <c r="EI794" s="106"/>
      <c r="EJ794" s="106"/>
      <c r="EK794" s="106"/>
      <c r="EL794" s="106"/>
      <c r="EM794" s="106"/>
      <c r="EN794" s="106"/>
      <c r="EO794" s="106"/>
      <c r="EP794" s="106"/>
      <c r="EQ794" s="106"/>
      <c r="ER794" s="106"/>
      <c r="ES794" s="106"/>
      <c r="ET794" s="106"/>
      <c r="EU794" s="106"/>
      <c r="EV794" s="106"/>
      <c r="EW794" s="106"/>
      <c r="EX794" s="106"/>
      <c r="EY794" s="106"/>
      <c r="EZ794" s="106"/>
      <c r="FA794" s="106"/>
      <c r="FB794" s="106"/>
      <c r="FC794" s="106"/>
      <c r="FD794" s="106"/>
      <c r="FE794" s="106"/>
      <c r="FF794" s="106"/>
      <c r="FG794" s="106"/>
      <c r="FH794" s="106"/>
      <c r="FI794" s="106"/>
      <c r="FJ794" s="106"/>
      <c r="FK794" s="106"/>
      <c r="FL794" s="106"/>
      <c r="FM794" s="106"/>
      <c r="FN794" s="106"/>
      <c r="FO794" s="106"/>
      <c r="FP794" s="106"/>
      <c r="FQ794" s="106"/>
      <c r="FR794" s="106"/>
      <c r="FS794" s="106"/>
      <c r="FT794" s="106"/>
      <c r="FU794" s="106"/>
    </row>
    <row r="795" spans="30:177" ht="6.95" customHeight="1" x14ac:dyDescent="0.15"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  <c r="AZ795" s="93"/>
      <c r="BA795" s="93"/>
      <c r="BB795" s="93"/>
      <c r="BC795" s="93"/>
      <c r="BD795" s="93"/>
      <c r="BE795" s="93"/>
      <c r="BF795" s="93"/>
      <c r="BG795" s="93"/>
      <c r="BH795" s="93"/>
      <c r="BI795" s="93"/>
      <c r="BJ795" s="93"/>
      <c r="BK795" s="93"/>
      <c r="BL795" s="93"/>
      <c r="BM795" s="93"/>
      <c r="BN795" s="93"/>
      <c r="BO795" s="93"/>
      <c r="BP795" s="93"/>
      <c r="BQ795" s="93"/>
      <c r="BR795" s="93"/>
      <c r="BS795" s="93"/>
      <c r="BT795" s="93"/>
      <c r="BU795" s="93"/>
      <c r="BV795" s="93"/>
      <c r="BW795" s="93"/>
      <c r="BX795" s="93"/>
      <c r="BY795" s="93"/>
      <c r="BZ795" s="93"/>
      <c r="CA795" s="93"/>
      <c r="CB795" s="93"/>
      <c r="CC795" s="93"/>
      <c r="CD795" s="93"/>
      <c r="CE795" s="93"/>
      <c r="CF795" s="93"/>
      <c r="CG795" s="93"/>
      <c r="CH795" s="93"/>
      <c r="CI795" s="93"/>
      <c r="CJ795" s="93"/>
      <c r="CK795" s="93"/>
      <c r="CL795" s="93"/>
      <c r="CM795" s="93"/>
      <c r="CN795" s="93"/>
      <c r="CO795" s="93"/>
      <c r="CP795" s="93"/>
      <c r="CQ795" s="93"/>
      <c r="CR795" s="93"/>
      <c r="CS795" s="93"/>
      <c r="CT795" s="93"/>
      <c r="CU795" s="93"/>
      <c r="CV795" s="93"/>
      <c r="CW795" s="93"/>
      <c r="CX795" s="93"/>
      <c r="CY795" s="93"/>
      <c r="CZ795" s="106"/>
      <c r="DA795" s="106"/>
      <c r="DB795" s="106"/>
      <c r="DC795" s="106"/>
      <c r="DD795" s="106"/>
      <c r="DE795" s="106"/>
      <c r="DF795" s="106"/>
      <c r="DG795" s="106"/>
      <c r="DH795" s="106"/>
      <c r="DI795" s="106"/>
      <c r="DJ795" s="106"/>
      <c r="DK795" s="106"/>
      <c r="DL795" s="106"/>
      <c r="DM795" s="106"/>
      <c r="DN795" s="106"/>
      <c r="DO795" s="106"/>
      <c r="DP795" s="106"/>
      <c r="DQ795" s="106"/>
      <c r="DR795" s="106"/>
      <c r="DS795" s="106"/>
      <c r="DT795" s="106"/>
      <c r="DU795" s="106"/>
      <c r="DV795" s="106"/>
      <c r="DW795" s="106"/>
      <c r="DX795" s="106"/>
      <c r="DY795" s="106"/>
      <c r="DZ795" s="106"/>
      <c r="EA795" s="106"/>
      <c r="EB795" s="106"/>
      <c r="EC795" s="106"/>
      <c r="ED795" s="106"/>
      <c r="EE795" s="106"/>
      <c r="EF795" s="106"/>
      <c r="EG795" s="106"/>
      <c r="EH795" s="106"/>
      <c r="EI795" s="106"/>
      <c r="EJ795" s="106"/>
      <c r="EK795" s="106"/>
      <c r="EL795" s="106"/>
      <c r="EM795" s="106"/>
      <c r="EN795" s="106"/>
      <c r="EO795" s="106"/>
      <c r="EP795" s="106"/>
      <c r="EQ795" s="106"/>
      <c r="ER795" s="106"/>
      <c r="ES795" s="106"/>
      <c r="ET795" s="106"/>
      <c r="EU795" s="106"/>
      <c r="EV795" s="106"/>
      <c r="EW795" s="106"/>
      <c r="EX795" s="106"/>
      <c r="EY795" s="106"/>
      <c r="EZ795" s="106"/>
      <c r="FA795" s="106"/>
      <c r="FB795" s="106"/>
      <c r="FC795" s="106"/>
      <c r="FD795" s="106"/>
      <c r="FE795" s="106"/>
      <c r="FF795" s="106"/>
      <c r="FG795" s="106"/>
      <c r="FH795" s="106"/>
      <c r="FI795" s="106"/>
      <c r="FJ795" s="106"/>
      <c r="FK795" s="106"/>
      <c r="FL795" s="106"/>
      <c r="FM795" s="106"/>
      <c r="FN795" s="106"/>
      <c r="FO795" s="106"/>
      <c r="FP795" s="106"/>
      <c r="FQ795" s="106"/>
      <c r="FR795" s="106"/>
      <c r="FS795" s="106"/>
      <c r="FT795" s="106"/>
      <c r="FU795" s="106"/>
    </row>
    <row r="796" spans="30:177" ht="6.95" customHeight="1" x14ac:dyDescent="0.15"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  <c r="AZ796" s="93"/>
      <c r="BA796" s="93"/>
      <c r="BB796" s="93"/>
      <c r="BC796" s="93"/>
      <c r="BD796" s="93"/>
      <c r="BE796" s="93"/>
      <c r="BF796" s="93"/>
      <c r="BG796" s="93"/>
      <c r="BH796" s="93"/>
      <c r="BI796" s="93"/>
      <c r="BJ796" s="93"/>
      <c r="BK796" s="93"/>
      <c r="BL796" s="93"/>
      <c r="BM796" s="93"/>
      <c r="BN796" s="93"/>
      <c r="BO796" s="93"/>
      <c r="BP796" s="93"/>
      <c r="BQ796" s="93"/>
      <c r="BR796" s="93"/>
      <c r="BS796" s="93"/>
      <c r="BT796" s="93"/>
      <c r="BU796" s="93"/>
      <c r="BV796" s="93"/>
      <c r="BW796" s="93"/>
      <c r="BX796" s="93"/>
      <c r="BY796" s="93"/>
      <c r="BZ796" s="93"/>
      <c r="CA796" s="93"/>
      <c r="CB796" s="93"/>
      <c r="CC796" s="93"/>
      <c r="CD796" s="93"/>
      <c r="CE796" s="93"/>
      <c r="CF796" s="93"/>
      <c r="CG796" s="93"/>
      <c r="CH796" s="93"/>
      <c r="CI796" s="93"/>
      <c r="CJ796" s="93"/>
      <c r="CK796" s="93"/>
      <c r="CL796" s="93"/>
      <c r="CM796" s="93"/>
      <c r="CN796" s="93"/>
      <c r="CO796" s="93"/>
      <c r="CP796" s="93"/>
      <c r="CQ796" s="93"/>
      <c r="CR796" s="93"/>
      <c r="CS796" s="93"/>
      <c r="CT796" s="93"/>
      <c r="CU796" s="93"/>
      <c r="CV796" s="93"/>
      <c r="CW796" s="93"/>
      <c r="CX796" s="93"/>
      <c r="CY796" s="93"/>
      <c r="CZ796" s="106"/>
      <c r="DA796" s="106"/>
      <c r="DB796" s="106"/>
      <c r="DC796" s="106"/>
      <c r="DD796" s="106"/>
      <c r="DE796" s="106"/>
      <c r="DF796" s="106"/>
      <c r="DG796" s="106"/>
      <c r="DH796" s="106"/>
      <c r="DI796" s="106"/>
      <c r="DJ796" s="106"/>
      <c r="DK796" s="106"/>
      <c r="DL796" s="106"/>
      <c r="DM796" s="106"/>
      <c r="DN796" s="106"/>
      <c r="DO796" s="106"/>
      <c r="DP796" s="106"/>
      <c r="DQ796" s="106"/>
      <c r="DR796" s="106"/>
      <c r="DS796" s="106"/>
      <c r="DT796" s="106"/>
      <c r="DU796" s="106"/>
      <c r="DV796" s="106"/>
      <c r="DW796" s="106"/>
      <c r="DX796" s="106"/>
      <c r="DY796" s="106"/>
      <c r="DZ796" s="106"/>
      <c r="EA796" s="106"/>
      <c r="EB796" s="106"/>
      <c r="EC796" s="106"/>
      <c r="ED796" s="106"/>
      <c r="EE796" s="106"/>
      <c r="EF796" s="106"/>
      <c r="EG796" s="106"/>
      <c r="EH796" s="106"/>
      <c r="EI796" s="106"/>
      <c r="EJ796" s="106"/>
      <c r="EK796" s="106"/>
      <c r="EL796" s="106"/>
      <c r="EM796" s="106"/>
      <c r="EN796" s="106"/>
      <c r="EO796" s="106"/>
      <c r="EP796" s="106"/>
      <c r="EQ796" s="106"/>
      <c r="ER796" s="106"/>
      <c r="ES796" s="106"/>
      <c r="ET796" s="106"/>
      <c r="EU796" s="106"/>
      <c r="EV796" s="106"/>
      <c r="EW796" s="106"/>
      <c r="EX796" s="106"/>
      <c r="EY796" s="106"/>
      <c r="EZ796" s="106"/>
      <c r="FA796" s="106"/>
      <c r="FB796" s="106"/>
      <c r="FC796" s="106"/>
      <c r="FD796" s="106"/>
      <c r="FE796" s="106"/>
      <c r="FF796" s="106"/>
      <c r="FG796" s="106"/>
      <c r="FH796" s="106"/>
      <c r="FI796" s="106"/>
      <c r="FJ796" s="106"/>
      <c r="FK796" s="106"/>
      <c r="FL796" s="106"/>
      <c r="FM796" s="106"/>
      <c r="FN796" s="106"/>
      <c r="FO796" s="106"/>
      <c r="FP796" s="106"/>
      <c r="FQ796" s="106"/>
      <c r="FR796" s="106"/>
      <c r="FS796" s="106"/>
      <c r="FT796" s="106"/>
      <c r="FU796" s="106"/>
    </row>
    <row r="797" spans="30:177" ht="6.95" customHeight="1" x14ac:dyDescent="0.15"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3"/>
      <c r="BF797" s="93"/>
      <c r="BG797" s="93"/>
      <c r="BH797" s="93"/>
      <c r="BI797" s="93"/>
      <c r="BJ797" s="93"/>
      <c r="BK797" s="93"/>
      <c r="BL797" s="93"/>
      <c r="BM797" s="93"/>
      <c r="BN797" s="93"/>
      <c r="BO797" s="93"/>
      <c r="BP797" s="93"/>
      <c r="BQ797" s="93"/>
      <c r="BR797" s="93"/>
      <c r="BS797" s="93"/>
      <c r="BT797" s="93"/>
      <c r="BU797" s="93"/>
      <c r="BV797" s="93"/>
      <c r="BW797" s="93"/>
      <c r="BX797" s="93"/>
      <c r="BY797" s="93"/>
      <c r="BZ797" s="93"/>
      <c r="CA797" s="93"/>
      <c r="CB797" s="93"/>
      <c r="CC797" s="93"/>
      <c r="CD797" s="93"/>
      <c r="CE797" s="93"/>
      <c r="CF797" s="93"/>
      <c r="CG797" s="93"/>
      <c r="CH797" s="93"/>
      <c r="CI797" s="93"/>
      <c r="CJ797" s="93"/>
      <c r="CK797" s="93"/>
      <c r="CL797" s="93"/>
      <c r="CM797" s="93"/>
      <c r="CN797" s="93"/>
      <c r="CO797" s="93"/>
      <c r="CP797" s="93"/>
      <c r="CQ797" s="93"/>
      <c r="CR797" s="93"/>
      <c r="CS797" s="93"/>
      <c r="CT797" s="93"/>
      <c r="CU797" s="93"/>
      <c r="CV797" s="93"/>
      <c r="CW797" s="93"/>
      <c r="CX797" s="93"/>
      <c r="CY797" s="93"/>
      <c r="CZ797" s="106"/>
      <c r="DA797" s="106"/>
      <c r="DB797" s="106"/>
      <c r="DC797" s="106"/>
      <c r="DD797" s="106"/>
      <c r="DE797" s="106"/>
      <c r="DF797" s="106"/>
      <c r="DG797" s="106"/>
      <c r="DH797" s="106"/>
      <c r="DI797" s="106"/>
      <c r="DJ797" s="106"/>
      <c r="DK797" s="106"/>
      <c r="DL797" s="106"/>
      <c r="DM797" s="106"/>
      <c r="DN797" s="106"/>
      <c r="DO797" s="106"/>
      <c r="DP797" s="106"/>
      <c r="DQ797" s="106"/>
      <c r="DR797" s="106"/>
      <c r="DS797" s="106"/>
      <c r="DT797" s="106"/>
      <c r="DU797" s="106"/>
      <c r="DV797" s="106"/>
      <c r="DW797" s="106"/>
      <c r="DX797" s="106"/>
      <c r="DY797" s="106"/>
      <c r="DZ797" s="106"/>
      <c r="EA797" s="106"/>
      <c r="EB797" s="106"/>
      <c r="EC797" s="106"/>
      <c r="ED797" s="106"/>
      <c r="EE797" s="106"/>
      <c r="EF797" s="106"/>
      <c r="EG797" s="106"/>
      <c r="EH797" s="106"/>
      <c r="EI797" s="106"/>
      <c r="EJ797" s="106"/>
      <c r="EK797" s="106"/>
      <c r="EL797" s="106"/>
      <c r="EM797" s="106"/>
      <c r="EN797" s="106"/>
      <c r="EO797" s="106"/>
      <c r="EP797" s="106"/>
      <c r="EQ797" s="106"/>
      <c r="ER797" s="106"/>
      <c r="ES797" s="106"/>
      <c r="ET797" s="106"/>
      <c r="EU797" s="106"/>
      <c r="EV797" s="106"/>
      <c r="EW797" s="106"/>
      <c r="EX797" s="106"/>
      <c r="EY797" s="106"/>
      <c r="EZ797" s="106"/>
      <c r="FA797" s="106"/>
      <c r="FB797" s="106"/>
      <c r="FC797" s="106"/>
      <c r="FD797" s="106"/>
      <c r="FE797" s="106"/>
      <c r="FF797" s="106"/>
      <c r="FG797" s="106"/>
      <c r="FH797" s="106"/>
      <c r="FI797" s="106"/>
      <c r="FJ797" s="106"/>
      <c r="FK797" s="106"/>
      <c r="FL797" s="106"/>
      <c r="FM797" s="106"/>
      <c r="FN797" s="106"/>
      <c r="FO797" s="106"/>
      <c r="FP797" s="106"/>
      <c r="FQ797" s="106"/>
      <c r="FR797" s="106"/>
      <c r="FS797" s="106"/>
      <c r="FT797" s="106"/>
      <c r="FU797" s="106"/>
    </row>
    <row r="798" spans="30:177" ht="6.95" customHeight="1" x14ac:dyDescent="0.15"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  <c r="AZ798" s="93"/>
      <c r="BA798" s="93"/>
      <c r="BB798" s="93"/>
      <c r="BC798" s="93"/>
      <c r="BD798" s="93"/>
      <c r="BE798" s="93"/>
      <c r="BF798" s="93"/>
      <c r="BG798" s="93"/>
      <c r="BH798" s="93"/>
      <c r="BI798" s="93"/>
      <c r="BJ798" s="93"/>
      <c r="BK798" s="93"/>
      <c r="BL798" s="93"/>
      <c r="BM798" s="93"/>
      <c r="BN798" s="93"/>
      <c r="BO798" s="93"/>
      <c r="BP798" s="93"/>
      <c r="BQ798" s="93"/>
      <c r="BR798" s="93"/>
      <c r="BS798" s="93"/>
      <c r="BT798" s="93"/>
      <c r="BU798" s="93"/>
      <c r="BV798" s="93"/>
      <c r="BW798" s="93"/>
      <c r="BX798" s="93"/>
      <c r="BY798" s="93"/>
      <c r="BZ798" s="93"/>
      <c r="CA798" s="93"/>
      <c r="CB798" s="93"/>
      <c r="CC798" s="93"/>
      <c r="CD798" s="93"/>
      <c r="CE798" s="93"/>
      <c r="CF798" s="93"/>
      <c r="CG798" s="93"/>
      <c r="CH798" s="93"/>
      <c r="CI798" s="93"/>
      <c r="CJ798" s="93"/>
      <c r="CK798" s="93"/>
      <c r="CL798" s="93"/>
      <c r="CM798" s="93"/>
      <c r="CN798" s="93"/>
      <c r="CO798" s="93"/>
      <c r="CP798" s="93"/>
      <c r="CQ798" s="93"/>
      <c r="CR798" s="93"/>
      <c r="CS798" s="93"/>
      <c r="CT798" s="93"/>
      <c r="CU798" s="93"/>
      <c r="CV798" s="93"/>
      <c r="CW798" s="93"/>
      <c r="CX798" s="93"/>
      <c r="CY798" s="93"/>
      <c r="CZ798" s="106"/>
      <c r="DA798" s="106"/>
      <c r="DB798" s="106"/>
      <c r="DC798" s="106"/>
      <c r="DD798" s="106"/>
      <c r="DE798" s="106"/>
      <c r="DF798" s="106"/>
      <c r="DG798" s="106"/>
      <c r="DH798" s="106"/>
      <c r="DI798" s="106"/>
      <c r="DJ798" s="106"/>
      <c r="DK798" s="106"/>
      <c r="DL798" s="106"/>
      <c r="DM798" s="106"/>
      <c r="DN798" s="106"/>
      <c r="DO798" s="106"/>
      <c r="DP798" s="106"/>
      <c r="DQ798" s="106"/>
      <c r="DR798" s="106"/>
      <c r="DS798" s="106"/>
      <c r="DT798" s="106"/>
      <c r="DU798" s="106"/>
      <c r="DV798" s="106"/>
      <c r="DW798" s="106"/>
      <c r="DX798" s="106"/>
      <c r="DY798" s="106"/>
      <c r="DZ798" s="106"/>
      <c r="EA798" s="106"/>
      <c r="EB798" s="106"/>
      <c r="EC798" s="106"/>
      <c r="ED798" s="106"/>
      <c r="EE798" s="106"/>
      <c r="EF798" s="106"/>
      <c r="EG798" s="106"/>
      <c r="EH798" s="106"/>
      <c r="EI798" s="106"/>
      <c r="EJ798" s="106"/>
      <c r="EK798" s="106"/>
      <c r="EL798" s="106"/>
      <c r="EM798" s="106"/>
      <c r="EN798" s="106"/>
      <c r="EO798" s="106"/>
      <c r="EP798" s="106"/>
      <c r="EQ798" s="106"/>
      <c r="ER798" s="106"/>
      <c r="ES798" s="106"/>
      <c r="ET798" s="106"/>
      <c r="EU798" s="106"/>
      <c r="EV798" s="106"/>
      <c r="EW798" s="106"/>
      <c r="EX798" s="106"/>
      <c r="EY798" s="106"/>
      <c r="EZ798" s="106"/>
      <c r="FA798" s="106"/>
      <c r="FB798" s="106"/>
      <c r="FC798" s="106"/>
      <c r="FD798" s="106"/>
      <c r="FE798" s="106"/>
      <c r="FF798" s="106"/>
      <c r="FG798" s="106"/>
      <c r="FH798" s="106"/>
      <c r="FI798" s="106"/>
      <c r="FJ798" s="106"/>
      <c r="FK798" s="106"/>
      <c r="FL798" s="106"/>
      <c r="FM798" s="106"/>
      <c r="FN798" s="106"/>
      <c r="FO798" s="106"/>
      <c r="FP798" s="106"/>
      <c r="FQ798" s="106"/>
      <c r="FR798" s="106"/>
      <c r="FS798" s="106"/>
      <c r="FT798" s="106"/>
      <c r="FU798" s="106"/>
    </row>
    <row r="799" spans="30:177" ht="6.95" customHeight="1" x14ac:dyDescent="0.15"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  <c r="AZ799" s="93"/>
      <c r="BA799" s="93"/>
      <c r="BB799" s="93"/>
      <c r="BC799" s="93"/>
      <c r="BD799" s="93"/>
      <c r="BE799" s="93"/>
      <c r="BF799" s="93"/>
      <c r="BG799" s="93"/>
      <c r="BH799" s="93"/>
      <c r="BI799" s="93"/>
      <c r="BJ799" s="93"/>
      <c r="BK799" s="93"/>
      <c r="BL799" s="93"/>
      <c r="BM799" s="93"/>
      <c r="BN799" s="93"/>
      <c r="BO799" s="93"/>
      <c r="BP799" s="93"/>
      <c r="BQ799" s="93"/>
      <c r="BR799" s="93"/>
      <c r="BS799" s="93"/>
      <c r="BT799" s="93"/>
      <c r="BU799" s="93"/>
      <c r="BV799" s="93"/>
      <c r="BW799" s="93"/>
      <c r="BX799" s="93"/>
      <c r="BY799" s="93"/>
      <c r="BZ799" s="93"/>
      <c r="CA799" s="93"/>
      <c r="CB799" s="93"/>
      <c r="CC799" s="93"/>
      <c r="CD799" s="93"/>
      <c r="CE799" s="93"/>
      <c r="CF799" s="93"/>
      <c r="CG799" s="93"/>
      <c r="CH799" s="93"/>
      <c r="CI799" s="93"/>
      <c r="CJ799" s="93"/>
      <c r="CK799" s="93"/>
      <c r="CL799" s="93"/>
      <c r="CM799" s="93"/>
      <c r="CN799" s="93"/>
      <c r="CO799" s="93"/>
      <c r="CP799" s="93"/>
      <c r="CQ799" s="93"/>
      <c r="CR799" s="93"/>
      <c r="CS799" s="93"/>
      <c r="CT799" s="93"/>
      <c r="CU799" s="93"/>
      <c r="CV799" s="93"/>
      <c r="CW799" s="93"/>
      <c r="CX799" s="93"/>
      <c r="CY799" s="93"/>
      <c r="CZ799" s="106"/>
      <c r="DA799" s="106"/>
      <c r="DB799" s="106"/>
      <c r="DC799" s="106"/>
      <c r="DD799" s="106"/>
      <c r="DE799" s="106"/>
      <c r="DF799" s="106"/>
      <c r="DG799" s="106"/>
      <c r="DH799" s="106"/>
      <c r="DI799" s="106"/>
      <c r="DJ799" s="106"/>
      <c r="DK799" s="106"/>
      <c r="DL799" s="106"/>
      <c r="DM799" s="106"/>
      <c r="DN799" s="106"/>
      <c r="DO799" s="106"/>
      <c r="DP799" s="106"/>
      <c r="DQ799" s="106"/>
      <c r="DR799" s="106"/>
      <c r="DS799" s="106"/>
      <c r="DT799" s="106"/>
      <c r="DU799" s="106"/>
      <c r="DV799" s="106"/>
      <c r="DW799" s="106"/>
      <c r="DX799" s="106"/>
      <c r="DY799" s="106"/>
      <c r="DZ799" s="106"/>
      <c r="EA799" s="106"/>
      <c r="EB799" s="106"/>
      <c r="EC799" s="106"/>
      <c r="ED799" s="106"/>
      <c r="EE799" s="106"/>
      <c r="EF799" s="106"/>
      <c r="EG799" s="106"/>
      <c r="EH799" s="106"/>
      <c r="EI799" s="106"/>
      <c r="EJ799" s="106"/>
      <c r="EK799" s="106"/>
      <c r="EL799" s="106"/>
      <c r="EM799" s="106"/>
      <c r="EN799" s="106"/>
      <c r="EO799" s="106"/>
      <c r="EP799" s="106"/>
      <c r="EQ799" s="106"/>
      <c r="ER799" s="106"/>
      <c r="ES799" s="106"/>
      <c r="ET799" s="106"/>
      <c r="EU799" s="106"/>
      <c r="EV799" s="106"/>
      <c r="EW799" s="106"/>
      <c r="EX799" s="106"/>
      <c r="EY799" s="106"/>
      <c r="EZ799" s="106"/>
      <c r="FA799" s="106"/>
      <c r="FB799" s="106"/>
      <c r="FC799" s="106"/>
      <c r="FD799" s="106"/>
      <c r="FE799" s="106"/>
      <c r="FF799" s="106"/>
      <c r="FG799" s="106"/>
      <c r="FH799" s="106"/>
      <c r="FI799" s="106"/>
      <c r="FJ799" s="106"/>
      <c r="FK799" s="106"/>
      <c r="FL799" s="106"/>
      <c r="FM799" s="106"/>
      <c r="FN799" s="106"/>
      <c r="FO799" s="106"/>
      <c r="FP799" s="106"/>
      <c r="FQ799" s="106"/>
      <c r="FR799" s="106"/>
      <c r="FS799" s="106"/>
      <c r="FT799" s="106"/>
      <c r="FU799" s="106"/>
    </row>
    <row r="800" spans="30:177" ht="6.95" customHeight="1" x14ac:dyDescent="0.15"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3"/>
      <c r="BF800" s="93"/>
      <c r="BG800" s="93"/>
      <c r="BH800" s="93"/>
      <c r="BI800" s="93"/>
      <c r="BJ800" s="93"/>
      <c r="BK800" s="93"/>
      <c r="BL800" s="93"/>
      <c r="BM800" s="93"/>
      <c r="BN800" s="93"/>
      <c r="BO800" s="93"/>
      <c r="BP800" s="93"/>
      <c r="BQ800" s="93"/>
      <c r="BR800" s="93"/>
      <c r="BS800" s="93"/>
      <c r="BT800" s="93"/>
      <c r="BU800" s="93"/>
      <c r="BV800" s="93"/>
      <c r="BW800" s="93"/>
      <c r="BX800" s="93"/>
      <c r="BY800" s="93"/>
      <c r="BZ800" s="93"/>
      <c r="CA800" s="93"/>
      <c r="CB800" s="93"/>
      <c r="CC800" s="93"/>
      <c r="CD800" s="93"/>
      <c r="CE800" s="93"/>
      <c r="CF800" s="93"/>
      <c r="CG800" s="93"/>
      <c r="CH800" s="93"/>
      <c r="CI800" s="93"/>
      <c r="CJ800" s="93"/>
      <c r="CK800" s="93"/>
      <c r="CL800" s="93"/>
      <c r="CM800" s="93"/>
      <c r="CN800" s="93"/>
      <c r="CO800" s="93"/>
      <c r="CP800" s="93"/>
      <c r="CQ800" s="93"/>
      <c r="CR800" s="93"/>
      <c r="CS800" s="93"/>
      <c r="CT800" s="93"/>
      <c r="CU800" s="93"/>
      <c r="CV800" s="93"/>
      <c r="CW800" s="93"/>
      <c r="CX800" s="93"/>
      <c r="CY800" s="93"/>
      <c r="CZ800" s="106"/>
      <c r="DA800" s="106"/>
      <c r="DB800" s="106"/>
      <c r="DC800" s="106"/>
      <c r="DD800" s="106"/>
      <c r="DE800" s="106"/>
      <c r="DF800" s="106"/>
      <c r="DG800" s="106"/>
      <c r="DH800" s="106"/>
      <c r="DI800" s="106"/>
      <c r="DJ800" s="106"/>
      <c r="DK800" s="106"/>
      <c r="DL800" s="106"/>
      <c r="DM800" s="106"/>
      <c r="DN800" s="106"/>
      <c r="DO800" s="106"/>
      <c r="DP800" s="106"/>
      <c r="DQ800" s="106"/>
      <c r="DR800" s="106"/>
      <c r="DS800" s="106"/>
      <c r="DT800" s="106"/>
      <c r="DU800" s="106"/>
      <c r="DV800" s="106"/>
      <c r="DW800" s="106"/>
      <c r="DX800" s="106"/>
      <c r="DY800" s="106"/>
      <c r="DZ800" s="106"/>
      <c r="EA800" s="106"/>
      <c r="EB800" s="106"/>
      <c r="EC800" s="106"/>
      <c r="ED800" s="106"/>
      <c r="EE800" s="106"/>
      <c r="EF800" s="106"/>
      <c r="EG800" s="106"/>
      <c r="EH800" s="106"/>
      <c r="EI800" s="106"/>
      <c r="EJ800" s="106"/>
      <c r="EK800" s="106"/>
      <c r="EL800" s="106"/>
      <c r="EM800" s="106"/>
      <c r="EN800" s="106"/>
      <c r="EO800" s="106"/>
      <c r="EP800" s="106"/>
      <c r="EQ800" s="106"/>
      <c r="ER800" s="106"/>
      <c r="ES800" s="106"/>
      <c r="ET800" s="106"/>
      <c r="EU800" s="106"/>
      <c r="EV800" s="106"/>
      <c r="EW800" s="106"/>
      <c r="EX800" s="106"/>
      <c r="EY800" s="106"/>
      <c r="EZ800" s="106"/>
      <c r="FA800" s="106"/>
      <c r="FB800" s="106"/>
      <c r="FC800" s="106"/>
      <c r="FD800" s="106"/>
      <c r="FE800" s="106"/>
      <c r="FF800" s="106"/>
      <c r="FG800" s="106"/>
      <c r="FH800" s="106"/>
      <c r="FI800" s="106"/>
      <c r="FJ800" s="106"/>
      <c r="FK800" s="106"/>
      <c r="FL800" s="106"/>
      <c r="FM800" s="106"/>
      <c r="FN800" s="106"/>
      <c r="FO800" s="106"/>
      <c r="FP800" s="106"/>
      <c r="FQ800" s="106"/>
      <c r="FR800" s="106"/>
      <c r="FS800" s="106"/>
      <c r="FT800" s="106"/>
      <c r="FU800" s="106"/>
    </row>
    <row r="801" spans="30:177" ht="6.95" customHeight="1" x14ac:dyDescent="0.15"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  <c r="AZ801" s="93"/>
      <c r="BA801" s="93"/>
      <c r="BB801" s="93"/>
      <c r="BC801" s="93"/>
      <c r="BD801" s="93"/>
      <c r="BE801" s="93"/>
      <c r="BF801" s="93"/>
      <c r="BG801" s="93"/>
      <c r="BH801" s="93"/>
      <c r="BI801" s="93"/>
      <c r="BJ801" s="93"/>
      <c r="BK801" s="93"/>
      <c r="BL801" s="93"/>
      <c r="BM801" s="93"/>
      <c r="BN801" s="93"/>
      <c r="BO801" s="93"/>
      <c r="BP801" s="93"/>
      <c r="BQ801" s="93"/>
      <c r="BR801" s="93"/>
      <c r="BS801" s="93"/>
      <c r="BT801" s="93"/>
      <c r="BU801" s="93"/>
      <c r="BV801" s="93"/>
      <c r="BW801" s="93"/>
      <c r="BX801" s="93"/>
      <c r="BY801" s="93"/>
      <c r="BZ801" s="93"/>
      <c r="CA801" s="93"/>
      <c r="CB801" s="93"/>
      <c r="CC801" s="93"/>
      <c r="CD801" s="93"/>
      <c r="CE801" s="93"/>
      <c r="CF801" s="93"/>
      <c r="CG801" s="93"/>
      <c r="CH801" s="93"/>
      <c r="CI801" s="93"/>
      <c r="CJ801" s="93"/>
      <c r="CK801" s="93"/>
      <c r="CL801" s="93"/>
      <c r="CM801" s="93"/>
      <c r="CN801" s="93"/>
      <c r="CO801" s="93"/>
      <c r="CP801" s="93"/>
      <c r="CQ801" s="93"/>
      <c r="CR801" s="93"/>
      <c r="CS801" s="93"/>
      <c r="CT801" s="93"/>
      <c r="CU801" s="93"/>
      <c r="CV801" s="93"/>
      <c r="CW801" s="93"/>
      <c r="CX801" s="93"/>
      <c r="CY801" s="93"/>
      <c r="CZ801" s="106"/>
      <c r="DA801" s="106"/>
      <c r="DB801" s="106"/>
      <c r="DC801" s="106"/>
      <c r="DD801" s="106"/>
      <c r="DE801" s="106"/>
      <c r="DF801" s="106"/>
      <c r="DG801" s="106"/>
      <c r="DH801" s="106"/>
      <c r="DI801" s="106"/>
      <c r="DJ801" s="106"/>
      <c r="DK801" s="106"/>
      <c r="DL801" s="106"/>
      <c r="DM801" s="106"/>
      <c r="DN801" s="106"/>
      <c r="DO801" s="106"/>
      <c r="DP801" s="106"/>
      <c r="DQ801" s="106"/>
      <c r="DR801" s="106"/>
      <c r="DS801" s="106"/>
      <c r="DT801" s="106"/>
      <c r="DU801" s="106"/>
      <c r="DV801" s="106"/>
      <c r="DW801" s="106"/>
      <c r="DX801" s="106"/>
      <c r="DY801" s="106"/>
      <c r="DZ801" s="106"/>
      <c r="EA801" s="106"/>
      <c r="EB801" s="106"/>
      <c r="EC801" s="106"/>
      <c r="ED801" s="106"/>
      <c r="EE801" s="106"/>
      <c r="EF801" s="106"/>
      <c r="EG801" s="106"/>
      <c r="EH801" s="106"/>
      <c r="EI801" s="106"/>
      <c r="EJ801" s="106"/>
      <c r="EK801" s="106"/>
      <c r="EL801" s="106"/>
      <c r="EM801" s="106"/>
      <c r="EN801" s="106"/>
      <c r="EO801" s="106"/>
      <c r="EP801" s="106"/>
      <c r="EQ801" s="106"/>
      <c r="ER801" s="106"/>
      <c r="ES801" s="106"/>
      <c r="ET801" s="106"/>
      <c r="EU801" s="106"/>
      <c r="EV801" s="106"/>
      <c r="EW801" s="106"/>
      <c r="EX801" s="106"/>
      <c r="EY801" s="106"/>
      <c r="EZ801" s="106"/>
      <c r="FA801" s="106"/>
      <c r="FB801" s="106"/>
      <c r="FC801" s="106"/>
      <c r="FD801" s="106"/>
      <c r="FE801" s="106"/>
      <c r="FF801" s="106"/>
      <c r="FG801" s="106"/>
      <c r="FH801" s="106"/>
      <c r="FI801" s="106"/>
      <c r="FJ801" s="106"/>
      <c r="FK801" s="106"/>
      <c r="FL801" s="106"/>
      <c r="FM801" s="106"/>
      <c r="FN801" s="106"/>
      <c r="FO801" s="106"/>
      <c r="FP801" s="106"/>
      <c r="FQ801" s="106"/>
      <c r="FR801" s="106"/>
      <c r="FS801" s="106"/>
      <c r="FT801" s="106"/>
      <c r="FU801" s="106"/>
    </row>
    <row r="802" spans="30:177" ht="6.95" customHeight="1" x14ac:dyDescent="0.15"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  <c r="AZ802" s="93"/>
      <c r="BA802" s="93"/>
      <c r="BB802" s="93"/>
      <c r="BC802" s="93"/>
      <c r="BD802" s="93"/>
      <c r="BE802" s="93"/>
      <c r="BF802" s="93"/>
      <c r="BG802" s="93"/>
      <c r="BH802" s="93"/>
      <c r="BI802" s="93"/>
      <c r="BJ802" s="93"/>
      <c r="BK802" s="93"/>
      <c r="BL802" s="93"/>
      <c r="BM802" s="93"/>
      <c r="BN802" s="93"/>
      <c r="BO802" s="93"/>
      <c r="BP802" s="93"/>
      <c r="BQ802" s="93"/>
      <c r="BR802" s="93"/>
      <c r="BS802" s="93"/>
      <c r="BT802" s="93"/>
      <c r="BU802" s="93"/>
      <c r="BV802" s="93"/>
      <c r="BW802" s="93"/>
      <c r="BX802" s="93"/>
      <c r="BY802" s="93"/>
      <c r="BZ802" s="93"/>
      <c r="CA802" s="93"/>
      <c r="CB802" s="93"/>
      <c r="CC802" s="93"/>
      <c r="CD802" s="93"/>
      <c r="CE802" s="93"/>
      <c r="CF802" s="93"/>
      <c r="CG802" s="93"/>
      <c r="CH802" s="93"/>
      <c r="CI802" s="93"/>
      <c r="CJ802" s="93"/>
      <c r="CK802" s="93"/>
      <c r="CL802" s="93"/>
      <c r="CM802" s="93"/>
      <c r="CN802" s="93"/>
      <c r="CO802" s="93"/>
      <c r="CP802" s="93"/>
      <c r="CQ802" s="93"/>
      <c r="CR802" s="93"/>
      <c r="CS802" s="93"/>
      <c r="CT802" s="93"/>
      <c r="CU802" s="93"/>
      <c r="CV802" s="93"/>
      <c r="CW802" s="93"/>
      <c r="CX802" s="93"/>
      <c r="CY802" s="93"/>
      <c r="CZ802" s="106"/>
      <c r="DA802" s="106"/>
      <c r="DB802" s="106"/>
      <c r="DC802" s="106"/>
      <c r="DD802" s="106"/>
      <c r="DE802" s="106"/>
      <c r="DF802" s="106"/>
      <c r="DG802" s="106"/>
      <c r="DH802" s="106"/>
      <c r="DI802" s="106"/>
      <c r="DJ802" s="106"/>
      <c r="DK802" s="106"/>
      <c r="DL802" s="106"/>
      <c r="DM802" s="106"/>
      <c r="DN802" s="106"/>
      <c r="DO802" s="106"/>
      <c r="DP802" s="106"/>
      <c r="DQ802" s="106"/>
      <c r="DR802" s="106"/>
      <c r="DS802" s="106"/>
      <c r="DT802" s="106"/>
      <c r="DU802" s="106"/>
      <c r="DV802" s="106"/>
      <c r="DW802" s="106"/>
      <c r="DX802" s="106"/>
      <c r="DY802" s="106"/>
      <c r="DZ802" s="106"/>
      <c r="EA802" s="106"/>
      <c r="EB802" s="106"/>
      <c r="EC802" s="106"/>
      <c r="ED802" s="106"/>
      <c r="EE802" s="106"/>
      <c r="EF802" s="106"/>
      <c r="EG802" s="106"/>
      <c r="EH802" s="106"/>
      <c r="EI802" s="106"/>
      <c r="EJ802" s="106"/>
      <c r="EK802" s="106"/>
      <c r="EL802" s="106"/>
      <c r="EM802" s="106"/>
      <c r="EN802" s="106"/>
      <c r="EO802" s="106"/>
      <c r="EP802" s="106"/>
      <c r="EQ802" s="106"/>
      <c r="ER802" s="106"/>
      <c r="ES802" s="106"/>
      <c r="ET802" s="106"/>
      <c r="EU802" s="106"/>
      <c r="EV802" s="106"/>
      <c r="EW802" s="106"/>
      <c r="EX802" s="106"/>
      <c r="EY802" s="106"/>
      <c r="EZ802" s="106"/>
      <c r="FA802" s="106"/>
      <c r="FB802" s="106"/>
      <c r="FC802" s="106"/>
      <c r="FD802" s="106"/>
      <c r="FE802" s="106"/>
      <c r="FF802" s="106"/>
      <c r="FG802" s="106"/>
      <c r="FH802" s="106"/>
      <c r="FI802" s="106"/>
      <c r="FJ802" s="106"/>
      <c r="FK802" s="106"/>
      <c r="FL802" s="106"/>
      <c r="FM802" s="106"/>
      <c r="FN802" s="106"/>
      <c r="FO802" s="106"/>
      <c r="FP802" s="106"/>
      <c r="FQ802" s="106"/>
      <c r="FR802" s="106"/>
      <c r="FS802" s="106"/>
      <c r="FT802" s="106"/>
      <c r="FU802" s="106"/>
    </row>
    <row r="803" spans="30:177" ht="6.95" customHeight="1" x14ac:dyDescent="0.15"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3"/>
      <c r="BF803" s="93"/>
      <c r="BG803" s="93"/>
      <c r="BH803" s="93"/>
      <c r="BI803" s="93"/>
      <c r="BJ803" s="93"/>
      <c r="BK803" s="93"/>
      <c r="BL803" s="93"/>
      <c r="BM803" s="93"/>
      <c r="BN803" s="93"/>
      <c r="BO803" s="93"/>
      <c r="BP803" s="93"/>
      <c r="BQ803" s="93"/>
      <c r="BR803" s="93"/>
      <c r="BS803" s="93"/>
      <c r="BT803" s="93"/>
      <c r="BU803" s="93"/>
      <c r="BV803" s="93"/>
      <c r="BW803" s="93"/>
      <c r="BX803" s="93"/>
      <c r="BY803" s="93"/>
      <c r="BZ803" s="93"/>
      <c r="CA803" s="93"/>
      <c r="CB803" s="93"/>
      <c r="CC803" s="93"/>
      <c r="CD803" s="93"/>
      <c r="CE803" s="93"/>
      <c r="CF803" s="93"/>
      <c r="CG803" s="93"/>
      <c r="CH803" s="93"/>
      <c r="CI803" s="93"/>
      <c r="CJ803" s="93"/>
      <c r="CK803" s="93"/>
      <c r="CL803" s="93"/>
      <c r="CM803" s="93"/>
      <c r="CN803" s="93"/>
      <c r="CO803" s="93"/>
      <c r="CP803" s="93"/>
      <c r="CQ803" s="93"/>
      <c r="CR803" s="93"/>
      <c r="CS803" s="93"/>
      <c r="CT803" s="93"/>
      <c r="CU803" s="93"/>
      <c r="CV803" s="93"/>
      <c r="CW803" s="93"/>
      <c r="CX803" s="93"/>
      <c r="CY803" s="93"/>
      <c r="CZ803" s="106"/>
      <c r="DA803" s="106"/>
      <c r="DB803" s="106"/>
      <c r="DC803" s="106"/>
      <c r="DD803" s="106"/>
      <c r="DE803" s="106"/>
      <c r="DF803" s="106"/>
      <c r="DG803" s="106"/>
      <c r="DH803" s="106"/>
      <c r="DI803" s="106"/>
      <c r="DJ803" s="106"/>
      <c r="DK803" s="106"/>
      <c r="DL803" s="106"/>
      <c r="DM803" s="106"/>
      <c r="DN803" s="106"/>
      <c r="DO803" s="106"/>
      <c r="DP803" s="106"/>
      <c r="DQ803" s="106"/>
      <c r="DR803" s="106"/>
      <c r="DS803" s="106"/>
      <c r="DT803" s="106"/>
      <c r="DU803" s="106"/>
      <c r="DV803" s="106"/>
      <c r="DW803" s="106"/>
      <c r="DX803" s="106"/>
      <c r="DY803" s="106"/>
      <c r="DZ803" s="106"/>
      <c r="EA803" s="106"/>
      <c r="EB803" s="106"/>
      <c r="EC803" s="106"/>
      <c r="ED803" s="106"/>
      <c r="EE803" s="106"/>
      <c r="EF803" s="106"/>
      <c r="EG803" s="106"/>
      <c r="EH803" s="106"/>
      <c r="EI803" s="106"/>
      <c r="EJ803" s="106"/>
      <c r="EK803" s="106"/>
      <c r="EL803" s="106"/>
      <c r="EM803" s="106"/>
      <c r="EN803" s="106"/>
      <c r="EO803" s="106"/>
      <c r="EP803" s="106"/>
      <c r="EQ803" s="106"/>
      <c r="ER803" s="106"/>
      <c r="ES803" s="106"/>
      <c r="ET803" s="106"/>
      <c r="EU803" s="106"/>
      <c r="EV803" s="106"/>
      <c r="EW803" s="106"/>
      <c r="EX803" s="106"/>
      <c r="EY803" s="106"/>
      <c r="EZ803" s="106"/>
      <c r="FA803" s="106"/>
      <c r="FB803" s="106"/>
      <c r="FC803" s="106"/>
      <c r="FD803" s="106"/>
      <c r="FE803" s="106"/>
      <c r="FF803" s="106"/>
      <c r="FG803" s="106"/>
      <c r="FH803" s="106"/>
      <c r="FI803" s="106"/>
      <c r="FJ803" s="106"/>
      <c r="FK803" s="106"/>
      <c r="FL803" s="106"/>
      <c r="FM803" s="106"/>
      <c r="FN803" s="106"/>
      <c r="FO803" s="106"/>
      <c r="FP803" s="106"/>
      <c r="FQ803" s="106"/>
      <c r="FR803" s="106"/>
      <c r="FS803" s="106"/>
      <c r="FT803" s="106"/>
      <c r="FU803" s="106"/>
    </row>
    <row r="804" spans="30:177" ht="6.95" customHeight="1" x14ac:dyDescent="0.15"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  <c r="AZ804" s="93"/>
      <c r="BA804" s="93"/>
      <c r="BB804" s="93"/>
      <c r="BC804" s="93"/>
      <c r="BD804" s="93"/>
      <c r="BE804" s="93"/>
      <c r="BF804" s="93"/>
      <c r="BG804" s="93"/>
      <c r="BH804" s="93"/>
      <c r="BI804" s="93"/>
      <c r="BJ804" s="93"/>
      <c r="BK804" s="93"/>
      <c r="BL804" s="93"/>
      <c r="BM804" s="93"/>
      <c r="BN804" s="93"/>
      <c r="BO804" s="93"/>
      <c r="BP804" s="93"/>
      <c r="BQ804" s="93"/>
      <c r="BR804" s="93"/>
      <c r="BS804" s="93"/>
      <c r="BT804" s="93"/>
      <c r="BU804" s="93"/>
      <c r="BV804" s="93"/>
      <c r="BW804" s="93"/>
      <c r="BX804" s="93"/>
      <c r="BY804" s="93"/>
      <c r="BZ804" s="93"/>
      <c r="CA804" s="93"/>
      <c r="CB804" s="93"/>
      <c r="CC804" s="93"/>
      <c r="CD804" s="93"/>
      <c r="CE804" s="93"/>
      <c r="CF804" s="93"/>
      <c r="CG804" s="93"/>
      <c r="CH804" s="93"/>
      <c r="CI804" s="93"/>
      <c r="CJ804" s="93"/>
      <c r="CK804" s="93"/>
      <c r="CL804" s="93"/>
      <c r="CM804" s="93"/>
      <c r="CN804" s="93"/>
      <c r="CO804" s="93"/>
      <c r="CP804" s="93"/>
      <c r="CQ804" s="93"/>
      <c r="CR804" s="93"/>
      <c r="CS804" s="93"/>
      <c r="CT804" s="93"/>
      <c r="CU804" s="93"/>
      <c r="CV804" s="93"/>
      <c r="CW804" s="93"/>
      <c r="CX804" s="93"/>
      <c r="CY804" s="93"/>
      <c r="CZ804" s="106"/>
      <c r="DA804" s="106"/>
      <c r="DB804" s="106"/>
      <c r="DC804" s="106"/>
      <c r="DD804" s="106"/>
      <c r="DE804" s="106"/>
      <c r="DF804" s="106"/>
      <c r="DG804" s="106"/>
      <c r="DH804" s="106"/>
      <c r="DI804" s="106"/>
      <c r="DJ804" s="106"/>
      <c r="DK804" s="106"/>
      <c r="DL804" s="106"/>
      <c r="DM804" s="106"/>
      <c r="DN804" s="106"/>
      <c r="DO804" s="106"/>
      <c r="DP804" s="106"/>
      <c r="DQ804" s="106"/>
      <c r="DR804" s="106"/>
      <c r="DS804" s="106"/>
      <c r="DT804" s="106"/>
      <c r="DU804" s="106"/>
      <c r="DV804" s="106"/>
      <c r="DW804" s="106"/>
      <c r="DX804" s="106"/>
      <c r="DY804" s="106"/>
      <c r="DZ804" s="106"/>
      <c r="EA804" s="106"/>
      <c r="EB804" s="106"/>
      <c r="EC804" s="106"/>
      <c r="ED804" s="106"/>
      <c r="EE804" s="106"/>
      <c r="EF804" s="106"/>
      <c r="EG804" s="106"/>
      <c r="EH804" s="106"/>
      <c r="EI804" s="106"/>
      <c r="EJ804" s="106"/>
      <c r="EK804" s="106"/>
      <c r="EL804" s="106"/>
      <c r="EM804" s="106"/>
      <c r="EN804" s="106"/>
      <c r="EO804" s="106"/>
      <c r="EP804" s="106"/>
      <c r="EQ804" s="106"/>
      <c r="ER804" s="106"/>
      <c r="ES804" s="106"/>
      <c r="ET804" s="106"/>
      <c r="EU804" s="106"/>
      <c r="EV804" s="106"/>
      <c r="EW804" s="106"/>
      <c r="EX804" s="106"/>
      <c r="EY804" s="106"/>
      <c r="EZ804" s="106"/>
      <c r="FA804" s="106"/>
      <c r="FB804" s="106"/>
      <c r="FC804" s="106"/>
      <c r="FD804" s="106"/>
      <c r="FE804" s="106"/>
      <c r="FF804" s="106"/>
      <c r="FG804" s="106"/>
      <c r="FH804" s="106"/>
      <c r="FI804" s="106"/>
      <c r="FJ804" s="106"/>
      <c r="FK804" s="106"/>
      <c r="FL804" s="106"/>
      <c r="FM804" s="106"/>
      <c r="FN804" s="106"/>
      <c r="FO804" s="106"/>
      <c r="FP804" s="106"/>
      <c r="FQ804" s="106"/>
      <c r="FR804" s="106"/>
      <c r="FS804" s="106"/>
      <c r="FT804" s="106"/>
      <c r="FU804" s="106"/>
    </row>
    <row r="805" spans="30:177" ht="6.95" customHeight="1" x14ac:dyDescent="0.15"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  <c r="AZ805" s="93"/>
      <c r="BA805" s="93"/>
      <c r="BB805" s="93"/>
      <c r="BC805" s="93"/>
      <c r="BD805" s="93"/>
      <c r="BE805" s="93"/>
      <c r="BF805" s="93"/>
      <c r="BG805" s="93"/>
      <c r="BH805" s="93"/>
      <c r="BI805" s="93"/>
      <c r="BJ805" s="93"/>
      <c r="BK805" s="93"/>
      <c r="BL805" s="93"/>
      <c r="BM805" s="93"/>
      <c r="BN805" s="93"/>
      <c r="BO805" s="93"/>
      <c r="BP805" s="93"/>
      <c r="BQ805" s="93"/>
      <c r="BR805" s="93"/>
      <c r="BS805" s="93"/>
      <c r="BT805" s="93"/>
      <c r="BU805" s="93"/>
      <c r="BV805" s="93"/>
      <c r="BW805" s="93"/>
      <c r="BX805" s="93"/>
      <c r="BY805" s="93"/>
      <c r="BZ805" s="93"/>
      <c r="CA805" s="93"/>
      <c r="CB805" s="93"/>
      <c r="CC805" s="93"/>
      <c r="CD805" s="93"/>
      <c r="CE805" s="93"/>
      <c r="CF805" s="93"/>
      <c r="CG805" s="93"/>
      <c r="CH805" s="93"/>
      <c r="CI805" s="93"/>
      <c r="CJ805" s="93"/>
      <c r="CK805" s="93"/>
      <c r="CL805" s="93"/>
      <c r="CM805" s="93"/>
      <c r="CN805" s="93"/>
      <c r="CO805" s="93"/>
      <c r="CP805" s="93"/>
      <c r="CQ805" s="93"/>
      <c r="CR805" s="93"/>
      <c r="CS805" s="93"/>
      <c r="CT805" s="93"/>
      <c r="CU805" s="93"/>
      <c r="CV805" s="93"/>
      <c r="CW805" s="93"/>
      <c r="CX805" s="93"/>
      <c r="CY805" s="93"/>
      <c r="CZ805" s="106"/>
      <c r="DA805" s="106"/>
      <c r="DB805" s="106"/>
      <c r="DC805" s="106"/>
      <c r="DD805" s="106"/>
      <c r="DE805" s="106"/>
      <c r="DF805" s="106"/>
      <c r="DG805" s="106"/>
      <c r="DH805" s="106"/>
      <c r="DI805" s="106"/>
      <c r="DJ805" s="106"/>
      <c r="DK805" s="106"/>
      <c r="DL805" s="106"/>
      <c r="DM805" s="106"/>
      <c r="DN805" s="106"/>
      <c r="DO805" s="106"/>
      <c r="DP805" s="106"/>
      <c r="DQ805" s="106"/>
      <c r="DR805" s="106"/>
      <c r="DS805" s="106"/>
      <c r="DT805" s="106"/>
      <c r="DU805" s="106"/>
      <c r="DV805" s="106"/>
      <c r="DW805" s="106"/>
      <c r="DX805" s="106"/>
      <c r="DY805" s="106"/>
      <c r="DZ805" s="106"/>
      <c r="EA805" s="106"/>
      <c r="EB805" s="106"/>
      <c r="EC805" s="106"/>
      <c r="ED805" s="106"/>
      <c r="EE805" s="106"/>
      <c r="EF805" s="106"/>
      <c r="EG805" s="106"/>
      <c r="EH805" s="106"/>
      <c r="EI805" s="106"/>
      <c r="EJ805" s="106"/>
      <c r="EK805" s="106"/>
      <c r="EL805" s="106"/>
      <c r="EM805" s="106"/>
      <c r="EN805" s="106"/>
      <c r="EO805" s="106"/>
      <c r="EP805" s="106"/>
      <c r="EQ805" s="106"/>
      <c r="ER805" s="106"/>
      <c r="ES805" s="106"/>
      <c r="ET805" s="106"/>
      <c r="EU805" s="106"/>
      <c r="EV805" s="106"/>
      <c r="EW805" s="106"/>
      <c r="EX805" s="106"/>
      <c r="EY805" s="106"/>
      <c r="EZ805" s="106"/>
      <c r="FA805" s="106"/>
      <c r="FB805" s="106"/>
      <c r="FC805" s="106"/>
      <c r="FD805" s="106"/>
      <c r="FE805" s="106"/>
      <c r="FF805" s="106"/>
      <c r="FG805" s="106"/>
      <c r="FH805" s="106"/>
      <c r="FI805" s="106"/>
      <c r="FJ805" s="106"/>
      <c r="FK805" s="106"/>
      <c r="FL805" s="106"/>
      <c r="FM805" s="106"/>
      <c r="FN805" s="106"/>
      <c r="FO805" s="106"/>
      <c r="FP805" s="106"/>
      <c r="FQ805" s="106"/>
      <c r="FR805" s="106"/>
      <c r="FS805" s="106"/>
      <c r="FT805" s="106"/>
      <c r="FU805" s="106"/>
    </row>
    <row r="806" spans="30:177" ht="6.95" customHeight="1" x14ac:dyDescent="0.15"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3"/>
      <c r="BF806" s="93"/>
      <c r="BG806" s="93"/>
      <c r="BH806" s="93"/>
      <c r="BI806" s="93"/>
      <c r="BJ806" s="93"/>
      <c r="BK806" s="93"/>
      <c r="BL806" s="93"/>
      <c r="BM806" s="93"/>
      <c r="BN806" s="93"/>
      <c r="BO806" s="93"/>
      <c r="BP806" s="93"/>
      <c r="BQ806" s="93"/>
      <c r="BR806" s="93"/>
      <c r="BS806" s="93"/>
      <c r="BT806" s="93"/>
      <c r="BU806" s="93"/>
      <c r="BV806" s="93"/>
      <c r="BW806" s="93"/>
      <c r="BX806" s="93"/>
      <c r="BY806" s="93"/>
      <c r="BZ806" s="93"/>
      <c r="CA806" s="93"/>
      <c r="CB806" s="93"/>
      <c r="CC806" s="93"/>
      <c r="CD806" s="93"/>
      <c r="CE806" s="93"/>
      <c r="CF806" s="93"/>
      <c r="CG806" s="93"/>
      <c r="CH806" s="93"/>
      <c r="CI806" s="93"/>
      <c r="CJ806" s="93"/>
      <c r="CK806" s="93"/>
      <c r="CL806" s="93"/>
      <c r="CM806" s="93"/>
      <c r="CN806" s="93"/>
      <c r="CO806" s="93"/>
      <c r="CP806" s="93"/>
      <c r="CQ806" s="93"/>
      <c r="CR806" s="93"/>
      <c r="CS806" s="93"/>
      <c r="CT806" s="93"/>
      <c r="CU806" s="93"/>
      <c r="CV806" s="93"/>
      <c r="CW806" s="93"/>
      <c r="CX806" s="93"/>
      <c r="CY806" s="93"/>
      <c r="CZ806" s="106"/>
      <c r="DA806" s="106"/>
      <c r="DB806" s="106"/>
      <c r="DC806" s="106"/>
      <c r="DD806" s="106"/>
      <c r="DE806" s="106"/>
      <c r="DF806" s="106"/>
      <c r="DG806" s="106"/>
      <c r="DH806" s="106"/>
      <c r="DI806" s="106"/>
      <c r="DJ806" s="106"/>
      <c r="DK806" s="106"/>
      <c r="DL806" s="106"/>
      <c r="DM806" s="106"/>
      <c r="DN806" s="106"/>
      <c r="DO806" s="106"/>
      <c r="DP806" s="106"/>
      <c r="DQ806" s="106"/>
      <c r="DR806" s="106"/>
      <c r="DS806" s="106"/>
      <c r="DT806" s="106"/>
      <c r="DU806" s="106"/>
      <c r="DV806" s="106"/>
      <c r="DW806" s="106"/>
      <c r="DX806" s="106"/>
      <c r="DY806" s="106"/>
      <c r="DZ806" s="106"/>
      <c r="EA806" s="106"/>
      <c r="EB806" s="106"/>
      <c r="EC806" s="106"/>
      <c r="ED806" s="106"/>
      <c r="EE806" s="106"/>
      <c r="EF806" s="106"/>
      <c r="EG806" s="106"/>
      <c r="EH806" s="106"/>
      <c r="EI806" s="106"/>
      <c r="EJ806" s="106"/>
      <c r="EK806" s="106"/>
      <c r="EL806" s="106"/>
      <c r="EM806" s="106"/>
      <c r="EN806" s="106"/>
      <c r="EO806" s="106"/>
      <c r="EP806" s="106"/>
      <c r="EQ806" s="106"/>
      <c r="ER806" s="106"/>
      <c r="ES806" s="106"/>
      <c r="ET806" s="106"/>
      <c r="EU806" s="106"/>
      <c r="EV806" s="106"/>
      <c r="EW806" s="106"/>
      <c r="EX806" s="106"/>
      <c r="EY806" s="106"/>
      <c r="EZ806" s="106"/>
      <c r="FA806" s="106"/>
      <c r="FB806" s="106"/>
      <c r="FC806" s="106"/>
      <c r="FD806" s="106"/>
      <c r="FE806" s="106"/>
      <c r="FF806" s="106"/>
      <c r="FG806" s="106"/>
      <c r="FH806" s="106"/>
      <c r="FI806" s="106"/>
      <c r="FJ806" s="106"/>
      <c r="FK806" s="106"/>
      <c r="FL806" s="106"/>
      <c r="FM806" s="106"/>
      <c r="FN806" s="106"/>
      <c r="FO806" s="106"/>
      <c r="FP806" s="106"/>
      <c r="FQ806" s="106"/>
      <c r="FR806" s="106"/>
      <c r="FS806" s="106"/>
      <c r="FT806" s="106"/>
      <c r="FU806" s="106"/>
    </row>
    <row r="807" spans="30:177" ht="6.95" customHeight="1" x14ac:dyDescent="0.15"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  <c r="AZ807" s="93"/>
      <c r="BA807" s="93"/>
      <c r="BB807" s="93"/>
      <c r="BC807" s="93"/>
      <c r="BD807" s="93"/>
      <c r="BE807" s="93"/>
      <c r="BF807" s="93"/>
      <c r="BG807" s="93"/>
      <c r="BH807" s="93"/>
      <c r="BI807" s="93"/>
      <c r="BJ807" s="93"/>
      <c r="BK807" s="93"/>
      <c r="BL807" s="93"/>
      <c r="BM807" s="93"/>
      <c r="BN807" s="93"/>
      <c r="BO807" s="93"/>
      <c r="BP807" s="93"/>
      <c r="BQ807" s="93"/>
      <c r="BR807" s="93"/>
      <c r="BS807" s="93"/>
      <c r="BT807" s="93"/>
      <c r="BU807" s="93"/>
      <c r="BV807" s="93"/>
      <c r="BW807" s="93"/>
      <c r="BX807" s="93"/>
      <c r="BY807" s="93"/>
      <c r="BZ807" s="93"/>
      <c r="CA807" s="93"/>
      <c r="CB807" s="93"/>
      <c r="CC807" s="93"/>
      <c r="CD807" s="93"/>
      <c r="CE807" s="93"/>
      <c r="CF807" s="93"/>
      <c r="CG807" s="93"/>
      <c r="CH807" s="93"/>
      <c r="CI807" s="93"/>
      <c r="CJ807" s="93"/>
      <c r="CK807" s="93"/>
      <c r="CL807" s="93"/>
      <c r="CM807" s="93"/>
      <c r="CN807" s="93"/>
      <c r="CO807" s="93"/>
      <c r="CP807" s="93"/>
      <c r="CQ807" s="93"/>
      <c r="CR807" s="93"/>
      <c r="CS807" s="93"/>
      <c r="CT807" s="93"/>
      <c r="CU807" s="93"/>
      <c r="CV807" s="93"/>
      <c r="CW807" s="93"/>
      <c r="CX807" s="93"/>
      <c r="CY807" s="93"/>
      <c r="CZ807" s="106"/>
      <c r="DA807" s="106"/>
      <c r="DB807" s="106"/>
      <c r="DC807" s="106"/>
      <c r="DD807" s="106"/>
      <c r="DE807" s="106"/>
      <c r="DF807" s="106"/>
      <c r="DG807" s="106"/>
      <c r="DH807" s="106"/>
      <c r="DI807" s="106"/>
      <c r="DJ807" s="106"/>
      <c r="DK807" s="106"/>
      <c r="DL807" s="106"/>
      <c r="DM807" s="106"/>
      <c r="DN807" s="106"/>
      <c r="DO807" s="106"/>
      <c r="DP807" s="106"/>
      <c r="DQ807" s="106"/>
      <c r="DR807" s="106"/>
      <c r="DS807" s="106"/>
      <c r="DT807" s="106"/>
      <c r="DU807" s="106"/>
      <c r="DV807" s="106"/>
      <c r="DW807" s="106"/>
      <c r="DX807" s="106"/>
      <c r="DY807" s="106"/>
      <c r="DZ807" s="106"/>
      <c r="EA807" s="106"/>
      <c r="EB807" s="106"/>
      <c r="EC807" s="106"/>
      <c r="ED807" s="106"/>
      <c r="EE807" s="106"/>
      <c r="EF807" s="106"/>
      <c r="EG807" s="106"/>
      <c r="EH807" s="106"/>
      <c r="EI807" s="106"/>
      <c r="EJ807" s="106"/>
      <c r="EK807" s="106"/>
      <c r="EL807" s="106"/>
      <c r="EM807" s="106"/>
      <c r="EN807" s="106"/>
      <c r="EO807" s="106"/>
      <c r="EP807" s="106"/>
      <c r="EQ807" s="106"/>
      <c r="ER807" s="106"/>
      <c r="ES807" s="106"/>
      <c r="ET807" s="106"/>
      <c r="EU807" s="106"/>
      <c r="EV807" s="106"/>
      <c r="EW807" s="106"/>
      <c r="EX807" s="106"/>
      <c r="EY807" s="106"/>
      <c r="EZ807" s="106"/>
      <c r="FA807" s="106"/>
      <c r="FB807" s="106"/>
      <c r="FC807" s="106"/>
      <c r="FD807" s="106"/>
      <c r="FE807" s="106"/>
      <c r="FF807" s="106"/>
      <c r="FG807" s="106"/>
      <c r="FH807" s="106"/>
      <c r="FI807" s="106"/>
      <c r="FJ807" s="106"/>
      <c r="FK807" s="106"/>
      <c r="FL807" s="106"/>
      <c r="FM807" s="106"/>
      <c r="FN807" s="106"/>
      <c r="FO807" s="106"/>
      <c r="FP807" s="106"/>
      <c r="FQ807" s="106"/>
      <c r="FR807" s="106"/>
      <c r="FS807" s="106"/>
      <c r="FT807" s="106"/>
      <c r="FU807" s="106"/>
    </row>
    <row r="808" spans="30:177" ht="6.95" customHeight="1" x14ac:dyDescent="0.15"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  <c r="AZ808" s="93"/>
      <c r="BA808" s="93"/>
      <c r="BB808" s="93"/>
      <c r="BC808" s="93"/>
      <c r="BD808" s="93"/>
      <c r="BE808" s="93"/>
      <c r="BF808" s="93"/>
      <c r="BG808" s="93"/>
      <c r="BH808" s="93"/>
      <c r="BI808" s="93"/>
      <c r="BJ808" s="93"/>
      <c r="BK808" s="93"/>
      <c r="BL808" s="93"/>
      <c r="BM808" s="93"/>
      <c r="BN808" s="93"/>
      <c r="BO808" s="93"/>
      <c r="BP808" s="93"/>
      <c r="BQ808" s="93"/>
      <c r="BR808" s="93"/>
      <c r="BS808" s="93"/>
      <c r="BT808" s="93"/>
      <c r="BU808" s="93"/>
      <c r="BV808" s="93"/>
      <c r="BW808" s="93"/>
      <c r="BX808" s="93"/>
      <c r="BY808" s="93"/>
      <c r="BZ808" s="93"/>
      <c r="CA808" s="93"/>
      <c r="CB808" s="93"/>
      <c r="CC808" s="93"/>
      <c r="CD808" s="93"/>
      <c r="CE808" s="93"/>
      <c r="CF808" s="93"/>
      <c r="CG808" s="93"/>
      <c r="CH808" s="93"/>
      <c r="CI808" s="93"/>
      <c r="CJ808" s="93"/>
      <c r="CK808" s="93"/>
      <c r="CL808" s="93"/>
      <c r="CM808" s="93"/>
      <c r="CN808" s="93"/>
      <c r="CO808" s="93"/>
      <c r="CP808" s="93"/>
      <c r="CQ808" s="93"/>
      <c r="CR808" s="93"/>
      <c r="CS808" s="93"/>
      <c r="CT808" s="93"/>
      <c r="CU808" s="93"/>
      <c r="CV808" s="93"/>
      <c r="CW808" s="93"/>
      <c r="CX808" s="93"/>
      <c r="CY808" s="93"/>
      <c r="CZ808" s="106"/>
      <c r="DA808" s="106"/>
      <c r="DB808" s="106"/>
      <c r="DC808" s="106"/>
      <c r="DD808" s="106"/>
      <c r="DE808" s="106"/>
      <c r="DF808" s="106"/>
      <c r="DG808" s="106"/>
      <c r="DH808" s="106"/>
      <c r="DI808" s="106"/>
      <c r="DJ808" s="106"/>
      <c r="DK808" s="106"/>
      <c r="DL808" s="106"/>
      <c r="DM808" s="106"/>
      <c r="DN808" s="106"/>
      <c r="DO808" s="106"/>
      <c r="DP808" s="106"/>
      <c r="DQ808" s="106"/>
      <c r="DR808" s="106"/>
      <c r="DS808" s="106"/>
      <c r="DT808" s="106"/>
      <c r="DU808" s="106"/>
      <c r="DV808" s="106"/>
      <c r="DW808" s="106"/>
      <c r="DX808" s="106"/>
      <c r="DY808" s="106"/>
      <c r="DZ808" s="106"/>
      <c r="EA808" s="106"/>
      <c r="EB808" s="106"/>
      <c r="EC808" s="106"/>
      <c r="ED808" s="106"/>
      <c r="EE808" s="106"/>
      <c r="EF808" s="106"/>
      <c r="EG808" s="106"/>
      <c r="EH808" s="106"/>
      <c r="EI808" s="106"/>
      <c r="EJ808" s="106"/>
      <c r="EK808" s="106"/>
      <c r="EL808" s="106"/>
      <c r="EM808" s="106"/>
      <c r="EN808" s="106"/>
      <c r="EO808" s="106"/>
      <c r="EP808" s="106"/>
      <c r="EQ808" s="106"/>
      <c r="ER808" s="106"/>
      <c r="ES808" s="106"/>
      <c r="ET808" s="106"/>
      <c r="EU808" s="106"/>
      <c r="EV808" s="106"/>
      <c r="EW808" s="106"/>
      <c r="EX808" s="106"/>
      <c r="EY808" s="106"/>
      <c r="EZ808" s="106"/>
      <c r="FA808" s="106"/>
      <c r="FB808" s="106"/>
      <c r="FC808" s="106"/>
      <c r="FD808" s="106"/>
      <c r="FE808" s="106"/>
      <c r="FF808" s="106"/>
      <c r="FG808" s="106"/>
      <c r="FH808" s="106"/>
      <c r="FI808" s="106"/>
      <c r="FJ808" s="106"/>
      <c r="FK808" s="106"/>
      <c r="FL808" s="106"/>
      <c r="FM808" s="106"/>
      <c r="FN808" s="106"/>
      <c r="FO808" s="106"/>
      <c r="FP808" s="106"/>
      <c r="FQ808" s="106"/>
      <c r="FR808" s="106"/>
      <c r="FS808" s="106"/>
      <c r="FT808" s="106"/>
      <c r="FU808" s="106"/>
    </row>
    <row r="809" spans="30:177" ht="6.95" customHeight="1" x14ac:dyDescent="0.15"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  <c r="AZ809" s="93"/>
      <c r="BA809" s="93"/>
      <c r="BB809" s="93"/>
      <c r="BC809" s="93"/>
      <c r="BD809" s="93"/>
      <c r="BE809" s="93"/>
      <c r="BF809" s="93"/>
      <c r="BG809" s="93"/>
      <c r="BH809" s="93"/>
      <c r="BI809" s="93"/>
      <c r="BJ809" s="93"/>
      <c r="BK809" s="93"/>
      <c r="BL809" s="93"/>
      <c r="BM809" s="93"/>
      <c r="BN809" s="93"/>
      <c r="BO809" s="93"/>
      <c r="BP809" s="93"/>
      <c r="BQ809" s="93"/>
      <c r="BR809" s="93"/>
      <c r="BS809" s="93"/>
      <c r="BT809" s="93"/>
      <c r="BU809" s="93"/>
      <c r="BV809" s="93"/>
      <c r="BW809" s="93"/>
      <c r="BX809" s="93"/>
      <c r="BY809" s="93"/>
      <c r="BZ809" s="93"/>
      <c r="CA809" s="93"/>
      <c r="CB809" s="93"/>
      <c r="CC809" s="93"/>
      <c r="CD809" s="93"/>
      <c r="CE809" s="93"/>
      <c r="CF809" s="93"/>
      <c r="CG809" s="93"/>
      <c r="CH809" s="93"/>
      <c r="CI809" s="93"/>
      <c r="CJ809" s="93"/>
      <c r="CK809" s="93"/>
      <c r="CL809" s="93"/>
      <c r="CM809" s="93"/>
      <c r="CN809" s="93"/>
      <c r="CO809" s="93"/>
      <c r="CP809" s="93"/>
      <c r="CQ809" s="93"/>
      <c r="CR809" s="93"/>
      <c r="CS809" s="93"/>
      <c r="CT809" s="93"/>
      <c r="CU809" s="93"/>
      <c r="CV809" s="93"/>
      <c r="CW809" s="93"/>
      <c r="CX809" s="93"/>
      <c r="CY809" s="93"/>
      <c r="CZ809" s="106"/>
      <c r="DA809" s="106"/>
      <c r="DB809" s="106"/>
      <c r="DC809" s="106"/>
      <c r="DD809" s="106"/>
      <c r="DE809" s="106"/>
      <c r="DF809" s="106"/>
      <c r="DG809" s="106"/>
      <c r="DH809" s="106"/>
      <c r="DI809" s="106"/>
      <c r="DJ809" s="106"/>
      <c r="DK809" s="106"/>
      <c r="DL809" s="106"/>
      <c r="DM809" s="106"/>
      <c r="DN809" s="106"/>
      <c r="DO809" s="106"/>
      <c r="DP809" s="106"/>
      <c r="DQ809" s="106"/>
      <c r="DR809" s="106"/>
      <c r="DS809" s="106"/>
      <c r="DT809" s="106"/>
      <c r="DU809" s="106"/>
      <c r="DV809" s="106"/>
      <c r="DW809" s="106"/>
      <c r="DX809" s="106"/>
      <c r="DY809" s="106"/>
      <c r="DZ809" s="106"/>
      <c r="EA809" s="106"/>
      <c r="EB809" s="106"/>
      <c r="EC809" s="106"/>
      <c r="ED809" s="106"/>
      <c r="EE809" s="106"/>
      <c r="EF809" s="106"/>
      <c r="EG809" s="106"/>
      <c r="EH809" s="106"/>
      <c r="EI809" s="106"/>
      <c r="EJ809" s="106"/>
      <c r="EK809" s="106"/>
      <c r="EL809" s="106"/>
      <c r="EM809" s="106"/>
      <c r="EN809" s="106"/>
      <c r="EO809" s="106"/>
      <c r="EP809" s="106"/>
      <c r="EQ809" s="106"/>
      <c r="ER809" s="106"/>
      <c r="ES809" s="106"/>
      <c r="ET809" s="106"/>
      <c r="EU809" s="106"/>
      <c r="EV809" s="106"/>
      <c r="EW809" s="106"/>
      <c r="EX809" s="106"/>
      <c r="EY809" s="106"/>
      <c r="EZ809" s="106"/>
      <c r="FA809" s="106"/>
      <c r="FB809" s="106"/>
      <c r="FC809" s="106"/>
      <c r="FD809" s="106"/>
      <c r="FE809" s="106"/>
      <c r="FF809" s="106"/>
      <c r="FG809" s="106"/>
      <c r="FH809" s="106"/>
      <c r="FI809" s="106"/>
      <c r="FJ809" s="106"/>
      <c r="FK809" s="106"/>
      <c r="FL809" s="106"/>
      <c r="FM809" s="106"/>
      <c r="FN809" s="106"/>
      <c r="FO809" s="106"/>
      <c r="FP809" s="106"/>
      <c r="FQ809" s="106"/>
      <c r="FR809" s="106"/>
      <c r="FS809" s="106"/>
      <c r="FT809" s="106"/>
      <c r="FU809" s="106"/>
    </row>
    <row r="810" spans="30:177" ht="6.95" customHeight="1" x14ac:dyDescent="0.15"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  <c r="AZ810" s="93"/>
      <c r="BA810" s="93"/>
      <c r="BB810" s="93"/>
      <c r="BC810" s="93"/>
      <c r="BD810" s="93"/>
      <c r="BE810" s="93"/>
      <c r="BF810" s="93"/>
      <c r="BG810" s="93"/>
      <c r="BH810" s="93"/>
      <c r="BI810" s="93"/>
      <c r="BJ810" s="93"/>
      <c r="BK810" s="93"/>
      <c r="BL810" s="93"/>
      <c r="BM810" s="93"/>
      <c r="BN810" s="93"/>
      <c r="BO810" s="93"/>
      <c r="BP810" s="93"/>
      <c r="BQ810" s="93"/>
      <c r="BR810" s="93"/>
      <c r="BS810" s="93"/>
      <c r="BT810" s="93"/>
      <c r="BU810" s="93"/>
      <c r="BV810" s="93"/>
      <c r="BW810" s="93"/>
      <c r="BX810" s="93"/>
      <c r="BY810" s="93"/>
      <c r="BZ810" s="93"/>
      <c r="CA810" s="93"/>
      <c r="CB810" s="93"/>
      <c r="CC810" s="93"/>
      <c r="CD810" s="93"/>
      <c r="CE810" s="93"/>
      <c r="CF810" s="93"/>
      <c r="CG810" s="93"/>
      <c r="CH810" s="93"/>
      <c r="CI810" s="93"/>
      <c r="CJ810" s="93"/>
      <c r="CK810" s="93"/>
      <c r="CL810" s="93"/>
      <c r="CM810" s="93"/>
      <c r="CN810" s="93"/>
      <c r="CO810" s="93"/>
      <c r="CP810" s="93"/>
      <c r="CQ810" s="93"/>
      <c r="CR810" s="93"/>
      <c r="CS810" s="93"/>
      <c r="CT810" s="93"/>
      <c r="CU810" s="93"/>
      <c r="CV810" s="93"/>
      <c r="CW810" s="93"/>
      <c r="CX810" s="93"/>
      <c r="CY810" s="93"/>
      <c r="CZ810" s="106"/>
      <c r="DA810" s="106"/>
      <c r="DB810" s="106"/>
      <c r="DC810" s="106"/>
      <c r="DD810" s="106"/>
      <c r="DE810" s="106"/>
      <c r="DF810" s="106"/>
      <c r="DG810" s="106"/>
      <c r="DH810" s="106"/>
      <c r="DI810" s="106"/>
      <c r="DJ810" s="106"/>
      <c r="DK810" s="106"/>
      <c r="DL810" s="106"/>
      <c r="DM810" s="106"/>
      <c r="DN810" s="106"/>
      <c r="DO810" s="106"/>
      <c r="DP810" s="106"/>
      <c r="DQ810" s="106"/>
      <c r="DR810" s="106"/>
      <c r="DS810" s="106"/>
      <c r="DT810" s="106"/>
      <c r="DU810" s="106"/>
      <c r="DV810" s="106"/>
      <c r="DW810" s="106"/>
      <c r="DX810" s="106"/>
      <c r="DY810" s="106"/>
      <c r="DZ810" s="106"/>
      <c r="EA810" s="106"/>
      <c r="EB810" s="106"/>
      <c r="EC810" s="106"/>
      <c r="ED810" s="106"/>
      <c r="EE810" s="106"/>
      <c r="EF810" s="106"/>
      <c r="EG810" s="106"/>
      <c r="EH810" s="106"/>
      <c r="EI810" s="106"/>
      <c r="EJ810" s="106"/>
      <c r="EK810" s="106"/>
      <c r="EL810" s="106"/>
      <c r="EM810" s="106"/>
      <c r="EN810" s="106"/>
      <c r="EO810" s="106"/>
      <c r="EP810" s="106"/>
      <c r="EQ810" s="106"/>
      <c r="ER810" s="106"/>
      <c r="ES810" s="106"/>
      <c r="ET810" s="106"/>
      <c r="EU810" s="106"/>
      <c r="EV810" s="106"/>
      <c r="EW810" s="106"/>
      <c r="EX810" s="106"/>
      <c r="EY810" s="106"/>
      <c r="EZ810" s="106"/>
      <c r="FA810" s="106"/>
      <c r="FB810" s="106"/>
      <c r="FC810" s="106"/>
      <c r="FD810" s="106"/>
      <c r="FE810" s="106"/>
      <c r="FF810" s="106"/>
      <c r="FG810" s="106"/>
      <c r="FH810" s="106"/>
      <c r="FI810" s="106"/>
      <c r="FJ810" s="106"/>
      <c r="FK810" s="106"/>
      <c r="FL810" s="106"/>
      <c r="FM810" s="106"/>
      <c r="FN810" s="106"/>
      <c r="FO810" s="106"/>
      <c r="FP810" s="106"/>
      <c r="FQ810" s="106"/>
      <c r="FR810" s="106"/>
      <c r="FS810" s="106"/>
      <c r="FT810" s="106"/>
      <c r="FU810" s="106"/>
    </row>
    <row r="811" spans="30:177" ht="6.95" customHeight="1" x14ac:dyDescent="0.15"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  <c r="AZ811" s="93"/>
      <c r="BA811" s="93"/>
      <c r="BB811" s="93"/>
      <c r="BC811" s="93"/>
      <c r="BD811" s="93"/>
      <c r="BE811" s="93"/>
      <c r="BF811" s="93"/>
      <c r="BG811" s="93"/>
      <c r="BH811" s="93"/>
      <c r="BI811" s="93"/>
      <c r="BJ811" s="93"/>
      <c r="BK811" s="93"/>
      <c r="BL811" s="93"/>
      <c r="BM811" s="93"/>
      <c r="BN811" s="93"/>
      <c r="BO811" s="93"/>
      <c r="BP811" s="93"/>
      <c r="BQ811" s="93"/>
      <c r="BR811" s="93"/>
      <c r="BS811" s="93"/>
      <c r="BT811" s="93"/>
      <c r="BU811" s="93"/>
      <c r="BV811" s="93"/>
      <c r="BW811" s="93"/>
      <c r="BX811" s="93"/>
      <c r="BY811" s="93"/>
      <c r="BZ811" s="93"/>
      <c r="CA811" s="93"/>
      <c r="CB811" s="93"/>
      <c r="CC811" s="93"/>
      <c r="CD811" s="93"/>
      <c r="CE811" s="93"/>
      <c r="CF811" s="93"/>
      <c r="CG811" s="93"/>
      <c r="CH811" s="93"/>
      <c r="CI811" s="93"/>
      <c r="CJ811" s="93"/>
      <c r="CK811" s="93"/>
      <c r="CL811" s="93"/>
      <c r="CM811" s="93"/>
      <c r="CN811" s="93"/>
      <c r="CO811" s="93"/>
      <c r="CP811" s="93"/>
      <c r="CQ811" s="93"/>
      <c r="CR811" s="93"/>
      <c r="CS811" s="93"/>
      <c r="CT811" s="93"/>
      <c r="CU811" s="93"/>
      <c r="CV811" s="93"/>
      <c r="CW811" s="93"/>
      <c r="CX811" s="93"/>
      <c r="CY811" s="93"/>
      <c r="CZ811" s="106"/>
      <c r="DA811" s="106"/>
      <c r="DB811" s="106"/>
      <c r="DC811" s="106"/>
      <c r="DD811" s="106"/>
      <c r="DE811" s="106"/>
      <c r="DF811" s="106"/>
      <c r="DG811" s="106"/>
      <c r="DH811" s="106"/>
      <c r="DI811" s="106"/>
      <c r="DJ811" s="106"/>
      <c r="DK811" s="106"/>
      <c r="DL811" s="106"/>
      <c r="DM811" s="106"/>
      <c r="DN811" s="106"/>
      <c r="DO811" s="106"/>
      <c r="DP811" s="106"/>
      <c r="DQ811" s="106"/>
      <c r="DR811" s="106"/>
      <c r="DS811" s="106"/>
      <c r="DT811" s="106"/>
      <c r="DU811" s="106"/>
      <c r="DV811" s="106"/>
      <c r="DW811" s="106"/>
      <c r="DX811" s="106"/>
      <c r="DY811" s="106"/>
      <c r="DZ811" s="106"/>
      <c r="EA811" s="106"/>
      <c r="EB811" s="106"/>
      <c r="EC811" s="106"/>
      <c r="ED811" s="106"/>
      <c r="EE811" s="106"/>
      <c r="EF811" s="106"/>
      <c r="EG811" s="106"/>
      <c r="EH811" s="106"/>
      <c r="EI811" s="106"/>
      <c r="EJ811" s="106"/>
      <c r="EK811" s="106"/>
      <c r="EL811" s="106"/>
      <c r="EM811" s="106"/>
      <c r="EN811" s="106"/>
      <c r="EO811" s="106"/>
      <c r="EP811" s="106"/>
      <c r="EQ811" s="106"/>
      <c r="ER811" s="106"/>
      <c r="ES811" s="106"/>
      <c r="ET811" s="106"/>
      <c r="EU811" s="106"/>
      <c r="EV811" s="106"/>
      <c r="EW811" s="106"/>
      <c r="EX811" s="106"/>
      <c r="EY811" s="106"/>
      <c r="EZ811" s="106"/>
      <c r="FA811" s="106"/>
      <c r="FB811" s="106"/>
      <c r="FC811" s="106"/>
      <c r="FD811" s="106"/>
      <c r="FE811" s="106"/>
      <c r="FF811" s="106"/>
      <c r="FG811" s="106"/>
      <c r="FH811" s="106"/>
      <c r="FI811" s="106"/>
      <c r="FJ811" s="106"/>
      <c r="FK811" s="106"/>
      <c r="FL811" s="106"/>
      <c r="FM811" s="106"/>
      <c r="FN811" s="106"/>
      <c r="FO811" s="106"/>
      <c r="FP811" s="106"/>
      <c r="FQ811" s="106"/>
      <c r="FR811" s="106"/>
      <c r="FS811" s="106"/>
      <c r="FT811" s="106"/>
      <c r="FU811" s="106"/>
    </row>
    <row r="812" spans="30:177" ht="6.95" customHeight="1" x14ac:dyDescent="0.15"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  <c r="AZ812" s="93"/>
      <c r="BA812" s="93"/>
      <c r="BB812" s="93"/>
      <c r="BC812" s="93"/>
      <c r="BD812" s="93"/>
      <c r="BE812" s="93"/>
      <c r="BF812" s="93"/>
      <c r="BG812" s="93"/>
      <c r="BH812" s="93"/>
      <c r="BI812" s="93"/>
      <c r="BJ812" s="93"/>
      <c r="BK812" s="93"/>
      <c r="BL812" s="93"/>
      <c r="BM812" s="93"/>
      <c r="BN812" s="93"/>
      <c r="BO812" s="93"/>
      <c r="BP812" s="93"/>
      <c r="BQ812" s="93"/>
      <c r="BR812" s="93"/>
      <c r="BS812" s="93"/>
      <c r="BT812" s="93"/>
      <c r="BU812" s="93"/>
      <c r="BV812" s="93"/>
      <c r="BW812" s="93"/>
      <c r="BX812" s="93"/>
      <c r="BY812" s="93"/>
      <c r="BZ812" s="93"/>
      <c r="CA812" s="93"/>
      <c r="CB812" s="93"/>
      <c r="CC812" s="93"/>
      <c r="CD812" s="93"/>
      <c r="CE812" s="93"/>
      <c r="CF812" s="93"/>
      <c r="CG812" s="93"/>
      <c r="CH812" s="93"/>
      <c r="CI812" s="93"/>
      <c r="CJ812" s="93"/>
      <c r="CK812" s="93"/>
      <c r="CL812" s="93"/>
      <c r="CM812" s="93"/>
      <c r="CN812" s="93"/>
      <c r="CO812" s="93"/>
      <c r="CP812" s="93"/>
      <c r="CQ812" s="93"/>
      <c r="CR812" s="93"/>
      <c r="CS812" s="93"/>
      <c r="CT812" s="93"/>
      <c r="CU812" s="93"/>
      <c r="CV812" s="93"/>
      <c r="CW812" s="93"/>
      <c r="CX812" s="93"/>
      <c r="CY812" s="93"/>
      <c r="CZ812" s="106"/>
      <c r="DA812" s="106"/>
      <c r="DB812" s="106"/>
      <c r="DC812" s="106"/>
      <c r="DD812" s="106"/>
      <c r="DE812" s="106"/>
      <c r="DF812" s="106"/>
      <c r="DG812" s="106"/>
      <c r="DH812" s="106"/>
      <c r="DI812" s="106"/>
      <c r="DJ812" s="106"/>
      <c r="DK812" s="106"/>
      <c r="DL812" s="106"/>
      <c r="DM812" s="106"/>
      <c r="DN812" s="106"/>
      <c r="DO812" s="106"/>
      <c r="DP812" s="106"/>
      <c r="DQ812" s="106"/>
      <c r="DR812" s="106"/>
      <c r="DS812" s="106"/>
      <c r="DT812" s="106"/>
      <c r="DU812" s="106"/>
      <c r="DV812" s="106"/>
      <c r="DW812" s="106"/>
      <c r="DX812" s="106"/>
      <c r="DY812" s="106"/>
      <c r="DZ812" s="106"/>
      <c r="EA812" s="106"/>
      <c r="EB812" s="106"/>
      <c r="EC812" s="106"/>
      <c r="ED812" s="106"/>
      <c r="EE812" s="106"/>
      <c r="EF812" s="106"/>
      <c r="EG812" s="106"/>
      <c r="EH812" s="106"/>
      <c r="EI812" s="106"/>
      <c r="EJ812" s="106"/>
      <c r="EK812" s="106"/>
      <c r="EL812" s="106"/>
      <c r="EM812" s="106"/>
      <c r="EN812" s="106"/>
      <c r="EO812" s="106"/>
      <c r="EP812" s="106"/>
      <c r="EQ812" s="106"/>
      <c r="ER812" s="106"/>
      <c r="ES812" s="106"/>
      <c r="ET812" s="106"/>
      <c r="EU812" s="106"/>
      <c r="EV812" s="106"/>
      <c r="EW812" s="106"/>
      <c r="EX812" s="106"/>
      <c r="EY812" s="106"/>
      <c r="EZ812" s="106"/>
      <c r="FA812" s="106"/>
      <c r="FB812" s="106"/>
      <c r="FC812" s="106"/>
      <c r="FD812" s="106"/>
      <c r="FE812" s="106"/>
      <c r="FF812" s="106"/>
      <c r="FG812" s="106"/>
      <c r="FH812" s="106"/>
      <c r="FI812" s="106"/>
      <c r="FJ812" s="106"/>
      <c r="FK812" s="106"/>
      <c r="FL812" s="106"/>
      <c r="FM812" s="106"/>
      <c r="FN812" s="106"/>
      <c r="FO812" s="106"/>
      <c r="FP812" s="106"/>
      <c r="FQ812" s="106"/>
      <c r="FR812" s="106"/>
      <c r="FS812" s="106"/>
      <c r="FT812" s="106"/>
      <c r="FU812" s="106"/>
    </row>
    <row r="813" spans="30:177" ht="6.95" customHeight="1" x14ac:dyDescent="0.15"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  <c r="AZ813" s="93"/>
      <c r="BA813" s="93"/>
      <c r="BB813" s="93"/>
      <c r="BC813" s="93"/>
      <c r="BD813" s="93"/>
      <c r="BE813" s="93"/>
      <c r="BF813" s="93"/>
      <c r="BG813" s="93"/>
      <c r="BH813" s="93"/>
      <c r="BI813" s="93"/>
      <c r="BJ813" s="93"/>
      <c r="BK813" s="93"/>
      <c r="BL813" s="93"/>
      <c r="BM813" s="93"/>
      <c r="BN813" s="93"/>
      <c r="BO813" s="93"/>
      <c r="BP813" s="93"/>
      <c r="BQ813" s="93"/>
      <c r="BR813" s="93"/>
      <c r="BS813" s="93"/>
      <c r="BT813" s="93"/>
      <c r="BU813" s="93"/>
      <c r="BV813" s="93"/>
      <c r="BW813" s="93"/>
      <c r="BX813" s="93"/>
      <c r="BY813" s="93"/>
      <c r="BZ813" s="93"/>
      <c r="CA813" s="93"/>
      <c r="CB813" s="93"/>
      <c r="CC813" s="93"/>
      <c r="CD813" s="93"/>
      <c r="CE813" s="93"/>
      <c r="CF813" s="93"/>
      <c r="CG813" s="93"/>
      <c r="CH813" s="93"/>
      <c r="CI813" s="93"/>
      <c r="CJ813" s="93"/>
      <c r="CK813" s="93"/>
      <c r="CL813" s="93"/>
      <c r="CM813" s="93"/>
      <c r="CN813" s="93"/>
      <c r="CO813" s="93"/>
      <c r="CP813" s="93"/>
      <c r="CQ813" s="93"/>
      <c r="CR813" s="93"/>
      <c r="CS813" s="93"/>
      <c r="CT813" s="93"/>
      <c r="CU813" s="93"/>
      <c r="CV813" s="93"/>
      <c r="CW813" s="93"/>
      <c r="CX813" s="93"/>
      <c r="CY813" s="93"/>
      <c r="CZ813" s="106"/>
      <c r="DA813" s="106"/>
      <c r="DB813" s="106"/>
      <c r="DC813" s="106"/>
      <c r="DD813" s="106"/>
      <c r="DE813" s="106"/>
      <c r="DF813" s="106"/>
      <c r="DG813" s="106"/>
      <c r="DH813" s="106"/>
      <c r="DI813" s="106"/>
      <c r="DJ813" s="106"/>
      <c r="DK813" s="106"/>
      <c r="DL813" s="106"/>
      <c r="DM813" s="106"/>
      <c r="DN813" s="106"/>
      <c r="DO813" s="106"/>
      <c r="DP813" s="106"/>
      <c r="DQ813" s="106"/>
      <c r="DR813" s="106"/>
      <c r="DS813" s="106"/>
      <c r="DT813" s="106"/>
      <c r="DU813" s="106"/>
      <c r="DV813" s="106"/>
      <c r="DW813" s="106"/>
      <c r="DX813" s="106"/>
      <c r="DY813" s="106"/>
      <c r="DZ813" s="106"/>
      <c r="EA813" s="106"/>
      <c r="EB813" s="106"/>
      <c r="EC813" s="106"/>
      <c r="ED813" s="106"/>
      <c r="EE813" s="106"/>
      <c r="EF813" s="106"/>
      <c r="EG813" s="106"/>
      <c r="EH813" s="106"/>
      <c r="EI813" s="106"/>
      <c r="EJ813" s="106"/>
      <c r="EK813" s="106"/>
      <c r="EL813" s="106"/>
      <c r="EM813" s="106"/>
      <c r="EN813" s="106"/>
      <c r="EO813" s="106"/>
      <c r="EP813" s="106"/>
      <c r="EQ813" s="106"/>
      <c r="ER813" s="106"/>
      <c r="ES813" s="106"/>
      <c r="ET813" s="106"/>
      <c r="EU813" s="106"/>
      <c r="EV813" s="106"/>
      <c r="EW813" s="106"/>
      <c r="EX813" s="106"/>
      <c r="EY813" s="106"/>
      <c r="EZ813" s="106"/>
      <c r="FA813" s="106"/>
      <c r="FB813" s="106"/>
      <c r="FC813" s="106"/>
      <c r="FD813" s="106"/>
      <c r="FE813" s="106"/>
      <c r="FF813" s="106"/>
      <c r="FG813" s="106"/>
      <c r="FH813" s="106"/>
      <c r="FI813" s="106"/>
      <c r="FJ813" s="106"/>
      <c r="FK813" s="106"/>
      <c r="FL813" s="106"/>
      <c r="FM813" s="106"/>
      <c r="FN813" s="106"/>
      <c r="FO813" s="106"/>
      <c r="FP813" s="106"/>
      <c r="FQ813" s="106"/>
      <c r="FR813" s="106"/>
      <c r="FS813" s="106"/>
      <c r="FT813" s="106"/>
      <c r="FU813" s="106"/>
    </row>
    <row r="814" spans="30:177" ht="6.95" customHeight="1" x14ac:dyDescent="0.15"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  <c r="AZ814" s="93"/>
      <c r="BA814" s="93"/>
      <c r="BB814" s="93"/>
      <c r="BC814" s="93"/>
      <c r="BD814" s="93"/>
      <c r="BE814" s="93"/>
      <c r="BF814" s="93"/>
      <c r="BG814" s="93"/>
      <c r="BH814" s="93"/>
      <c r="BI814" s="93"/>
      <c r="BJ814" s="93"/>
      <c r="BK814" s="93"/>
      <c r="BL814" s="93"/>
      <c r="BM814" s="93"/>
      <c r="BN814" s="93"/>
      <c r="BO814" s="93"/>
      <c r="BP814" s="93"/>
      <c r="BQ814" s="93"/>
      <c r="BR814" s="93"/>
      <c r="BS814" s="93"/>
      <c r="BT814" s="93"/>
      <c r="BU814" s="93"/>
      <c r="BV814" s="93"/>
      <c r="BW814" s="93"/>
      <c r="BX814" s="93"/>
      <c r="BY814" s="93"/>
      <c r="BZ814" s="93"/>
      <c r="CA814" s="93"/>
      <c r="CB814" s="93"/>
      <c r="CC814" s="93"/>
      <c r="CD814" s="93"/>
      <c r="CE814" s="93"/>
      <c r="CF814" s="93"/>
      <c r="CG814" s="93"/>
      <c r="CH814" s="93"/>
      <c r="CI814" s="93"/>
      <c r="CJ814" s="93"/>
      <c r="CK814" s="93"/>
      <c r="CL814" s="93"/>
      <c r="CM814" s="93"/>
      <c r="CN814" s="93"/>
      <c r="CO814" s="93"/>
      <c r="CP814" s="93"/>
      <c r="CQ814" s="93"/>
      <c r="CR814" s="93"/>
      <c r="CS814" s="93"/>
      <c r="CT814" s="93"/>
      <c r="CU814" s="93"/>
      <c r="CV814" s="93"/>
      <c r="CW814" s="93"/>
      <c r="CX814" s="93"/>
      <c r="CY814" s="93"/>
      <c r="CZ814" s="106"/>
      <c r="DA814" s="106"/>
      <c r="DB814" s="106"/>
      <c r="DC814" s="106"/>
      <c r="DD814" s="106"/>
      <c r="DE814" s="106"/>
      <c r="DF814" s="106"/>
      <c r="DG814" s="106"/>
      <c r="DH814" s="106"/>
      <c r="DI814" s="106"/>
      <c r="DJ814" s="106"/>
      <c r="DK814" s="106"/>
      <c r="DL814" s="106"/>
      <c r="DM814" s="106"/>
      <c r="DN814" s="106"/>
      <c r="DO814" s="106"/>
      <c r="DP814" s="106"/>
      <c r="DQ814" s="106"/>
      <c r="DR814" s="106"/>
      <c r="DS814" s="106"/>
      <c r="DT814" s="106"/>
      <c r="DU814" s="106"/>
      <c r="DV814" s="106"/>
      <c r="DW814" s="106"/>
      <c r="DX814" s="106"/>
      <c r="DY814" s="106"/>
      <c r="DZ814" s="106"/>
      <c r="EA814" s="106"/>
      <c r="EB814" s="106"/>
      <c r="EC814" s="106"/>
      <c r="ED814" s="106"/>
      <c r="EE814" s="106"/>
      <c r="EF814" s="106"/>
      <c r="EG814" s="106"/>
      <c r="EH814" s="106"/>
      <c r="EI814" s="106"/>
      <c r="EJ814" s="106"/>
      <c r="EK814" s="106"/>
      <c r="EL814" s="106"/>
      <c r="EM814" s="106"/>
      <c r="EN814" s="106"/>
      <c r="EO814" s="106"/>
      <c r="EP814" s="106"/>
      <c r="EQ814" s="106"/>
      <c r="ER814" s="106"/>
      <c r="ES814" s="106"/>
      <c r="ET814" s="106"/>
      <c r="EU814" s="106"/>
      <c r="EV814" s="106"/>
      <c r="EW814" s="106"/>
      <c r="EX814" s="106"/>
      <c r="EY814" s="106"/>
      <c r="EZ814" s="106"/>
      <c r="FA814" s="106"/>
      <c r="FB814" s="106"/>
      <c r="FC814" s="106"/>
      <c r="FD814" s="106"/>
      <c r="FE814" s="106"/>
      <c r="FF814" s="106"/>
      <c r="FG814" s="106"/>
      <c r="FH814" s="106"/>
      <c r="FI814" s="106"/>
      <c r="FJ814" s="106"/>
      <c r="FK814" s="106"/>
      <c r="FL814" s="106"/>
      <c r="FM814" s="106"/>
      <c r="FN814" s="106"/>
      <c r="FO814" s="106"/>
      <c r="FP814" s="106"/>
      <c r="FQ814" s="106"/>
      <c r="FR814" s="106"/>
      <c r="FS814" s="106"/>
      <c r="FT814" s="106"/>
      <c r="FU814" s="106"/>
    </row>
    <row r="815" spans="30:177" ht="6.95" customHeight="1" x14ac:dyDescent="0.15"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  <c r="AZ815" s="93"/>
      <c r="BA815" s="93"/>
      <c r="BB815" s="93"/>
      <c r="BC815" s="93"/>
      <c r="BD815" s="93"/>
      <c r="BE815" s="93"/>
      <c r="BF815" s="93"/>
      <c r="BG815" s="93"/>
      <c r="BH815" s="93"/>
      <c r="BI815" s="93"/>
      <c r="BJ815" s="93"/>
      <c r="BK815" s="93"/>
      <c r="BL815" s="93"/>
      <c r="BM815" s="93"/>
      <c r="BN815" s="93"/>
      <c r="BO815" s="93"/>
      <c r="BP815" s="93"/>
      <c r="BQ815" s="93"/>
      <c r="BR815" s="93"/>
      <c r="BS815" s="93"/>
      <c r="BT815" s="93"/>
      <c r="BU815" s="93"/>
      <c r="BV815" s="93"/>
      <c r="BW815" s="93"/>
      <c r="BX815" s="93"/>
      <c r="BY815" s="93"/>
      <c r="BZ815" s="93"/>
      <c r="CA815" s="93"/>
      <c r="CB815" s="93"/>
      <c r="CC815" s="93"/>
      <c r="CD815" s="93"/>
      <c r="CE815" s="93"/>
      <c r="CF815" s="93"/>
      <c r="CG815" s="93"/>
      <c r="CH815" s="93"/>
      <c r="CI815" s="93"/>
      <c r="CJ815" s="93"/>
      <c r="CK815" s="93"/>
      <c r="CL815" s="93"/>
      <c r="CM815" s="93"/>
      <c r="CN815" s="93"/>
      <c r="CO815" s="93"/>
      <c r="CP815" s="93"/>
      <c r="CQ815" s="93"/>
      <c r="CR815" s="93"/>
      <c r="CS815" s="93"/>
      <c r="CT815" s="93"/>
      <c r="CU815" s="93"/>
      <c r="CV815" s="93"/>
      <c r="CW815" s="93"/>
      <c r="CX815" s="93"/>
      <c r="CY815" s="93"/>
      <c r="CZ815" s="106"/>
      <c r="DA815" s="106"/>
      <c r="DB815" s="106"/>
      <c r="DC815" s="106"/>
      <c r="DD815" s="106"/>
      <c r="DE815" s="106"/>
      <c r="DF815" s="106"/>
      <c r="DG815" s="106"/>
      <c r="DH815" s="106"/>
      <c r="DI815" s="106"/>
      <c r="DJ815" s="106"/>
      <c r="DK815" s="106"/>
      <c r="DL815" s="106"/>
      <c r="DM815" s="106"/>
      <c r="DN815" s="106"/>
      <c r="DO815" s="106"/>
      <c r="DP815" s="106"/>
      <c r="DQ815" s="106"/>
      <c r="DR815" s="106"/>
      <c r="DS815" s="106"/>
      <c r="DT815" s="106"/>
      <c r="DU815" s="106"/>
      <c r="DV815" s="106"/>
      <c r="DW815" s="106"/>
      <c r="DX815" s="106"/>
      <c r="DY815" s="106"/>
      <c r="DZ815" s="106"/>
      <c r="EA815" s="106"/>
      <c r="EB815" s="106"/>
      <c r="EC815" s="106"/>
      <c r="ED815" s="106"/>
      <c r="EE815" s="106"/>
      <c r="EF815" s="106"/>
      <c r="EG815" s="106"/>
      <c r="EH815" s="106"/>
      <c r="EI815" s="106"/>
      <c r="EJ815" s="106"/>
      <c r="EK815" s="106"/>
      <c r="EL815" s="106"/>
      <c r="EM815" s="106"/>
      <c r="EN815" s="106"/>
      <c r="EO815" s="106"/>
      <c r="EP815" s="106"/>
      <c r="EQ815" s="106"/>
      <c r="ER815" s="106"/>
      <c r="ES815" s="106"/>
      <c r="ET815" s="106"/>
      <c r="EU815" s="106"/>
      <c r="EV815" s="106"/>
      <c r="EW815" s="106"/>
      <c r="EX815" s="106"/>
      <c r="EY815" s="106"/>
      <c r="EZ815" s="106"/>
      <c r="FA815" s="106"/>
      <c r="FB815" s="106"/>
      <c r="FC815" s="106"/>
      <c r="FD815" s="106"/>
      <c r="FE815" s="106"/>
      <c r="FF815" s="106"/>
      <c r="FG815" s="106"/>
      <c r="FH815" s="106"/>
      <c r="FI815" s="106"/>
      <c r="FJ815" s="106"/>
      <c r="FK815" s="106"/>
      <c r="FL815" s="106"/>
      <c r="FM815" s="106"/>
      <c r="FN815" s="106"/>
      <c r="FO815" s="106"/>
      <c r="FP815" s="106"/>
      <c r="FQ815" s="106"/>
      <c r="FR815" s="106"/>
      <c r="FS815" s="106"/>
      <c r="FT815" s="106"/>
      <c r="FU815" s="106"/>
    </row>
    <row r="816" spans="30:177" ht="6.95" customHeight="1" x14ac:dyDescent="0.15"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  <c r="AZ816" s="93"/>
      <c r="BA816" s="93"/>
      <c r="BB816" s="93"/>
      <c r="BC816" s="93"/>
      <c r="BD816" s="93"/>
      <c r="BE816" s="93"/>
      <c r="BF816" s="93"/>
      <c r="BG816" s="93"/>
      <c r="BH816" s="93"/>
      <c r="BI816" s="93"/>
      <c r="BJ816" s="93"/>
      <c r="BK816" s="93"/>
      <c r="BL816" s="93"/>
      <c r="BM816" s="93"/>
      <c r="BN816" s="93"/>
      <c r="BO816" s="93"/>
      <c r="BP816" s="93"/>
      <c r="BQ816" s="93"/>
      <c r="BR816" s="93"/>
      <c r="BS816" s="93"/>
      <c r="BT816" s="93"/>
      <c r="BU816" s="93"/>
      <c r="BV816" s="93"/>
      <c r="BW816" s="93"/>
      <c r="BX816" s="93"/>
      <c r="BY816" s="93"/>
      <c r="BZ816" s="93"/>
      <c r="CA816" s="93"/>
      <c r="CB816" s="93"/>
      <c r="CC816" s="93"/>
      <c r="CD816" s="93"/>
      <c r="CE816" s="93"/>
      <c r="CF816" s="93"/>
      <c r="CG816" s="93"/>
      <c r="CH816" s="93"/>
      <c r="CI816" s="93"/>
      <c r="CJ816" s="93"/>
      <c r="CK816" s="93"/>
      <c r="CL816" s="93"/>
      <c r="CM816" s="93"/>
      <c r="CN816" s="93"/>
      <c r="CO816" s="93"/>
      <c r="CP816" s="93"/>
      <c r="CQ816" s="93"/>
      <c r="CR816" s="93"/>
      <c r="CS816" s="93"/>
      <c r="CT816" s="93"/>
      <c r="CU816" s="93"/>
      <c r="CV816" s="93"/>
      <c r="CW816" s="93"/>
      <c r="CX816" s="93"/>
      <c r="CY816" s="93"/>
      <c r="CZ816" s="106"/>
      <c r="DA816" s="106"/>
      <c r="DB816" s="106"/>
      <c r="DC816" s="106"/>
      <c r="DD816" s="106"/>
      <c r="DE816" s="106"/>
      <c r="DF816" s="106"/>
      <c r="DG816" s="106"/>
      <c r="DH816" s="106"/>
      <c r="DI816" s="106"/>
      <c r="DJ816" s="106"/>
      <c r="DK816" s="106"/>
      <c r="DL816" s="106"/>
      <c r="DM816" s="106"/>
      <c r="DN816" s="106"/>
      <c r="DO816" s="106"/>
      <c r="DP816" s="106"/>
      <c r="DQ816" s="106"/>
      <c r="DR816" s="106"/>
      <c r="DS816" s="106"/>
      <c r="DT816" s="106"/>
      <c r="DU816" s="106"/>
      <c r="DV816" s="106"/>
      <c r="DW816" s="106"/>
      <c r="DX816" s="106"/>
      <c r="DY816" s="106"/>
      <c r="DZ816" s="106"/>
      <c r="EA816" s="106"/>
      <c r="EB816" s="106"/>
      <c r="EC816" s="106"/>
      <c r="ED816" s="106"/>
      <c r="EE816" s="106"/>
      <c r="EF816" s="106"/>
      <c r="EG816" s="106"/>
      <c r="EH816" s="106"/>
      <c r="EI816" s="106"/>
      <c r="EJ816" s="106"/>
      <c r="EK816" s="106"/>
      <c r="EL816" s="106"/>
      <c r="EM816" s="106"/>
      <c r="EN816" s="106"/>
      <c r="EO816" s="106"/>
      <c r="EP816" s="106"/>
      <c r="EQ816" s="106"/>
      <c r="ER816" s="106"/>
      <c r="ES816" s="106"/>
      <c r="ET816" s="106"/>
      <c r="EU816" s="106"/>
      <c r="EV816" s="106"/>
      <c r="EW816" s="106"/>
      <c r="EX816" s="106"/>
      <c r="EY816" s="106"/>
      <c r="EZ816" s="106"/>
      <c r="FA816" s="106"/>
      <c r="FB816" s="106"/>
      <c r="FC816" s="106"/>
      <c r="FD816" s="106"/>
      <c r="FE816" s="106"/>
      <c r="FF816" s="106"/>
      <c r="FG816" s="106"/>
      <c r="FH816" s="106"/>
      <c r="FI816" s="106"/>
      <c r="FJ816" s="106"/>
      <c r="FK816" s="106"/>
      <c r="FL816" s="106"/>
      <c r="FM816" s="106"/>
      <c r="FN816" s="106"/>
      <c r="FO816" s="106"/>
      <c r="FP816" s="106"/>
      <c r="FQ816" s="106"/>
      <c r="FR816" s="106"/>
      <c r="FS816" s="106"/>
      <c r="FT816" s="106"/>
      <c r="FU816" s="106"/>
    </row>
    <row r="817" spans="30:177" ht="6.95" customHeight="1" x14ac:dyDescent="0.15"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  <c r="AZ817" s="93"/>
      <c r="BA817" s="93"/>
      <c r="BB817" s="93"/>
      <c r="BC817" s="93"/>
      <c r="BD817" s="93"/>
      <c r="BE817" s="93"/>
      <c r="BF817" s="93"/>
      <c r="BG817" s="93"/>
      <c r="BH817" s="93"/>
      <c r="BI817" s="93"/>
      <c r="BJ817" s="93"/>
      <c r="BK817" s="93"/>
      <c r="BL817" s="93"/>
      <c r="BM817" s="93"/>
      <c r="BN817" s="93"/>
      <c r="BO817" s="93"/>
      <c r="BP817" s="93"/>
      <c r="BQ817" s="93"/>
      <c r="BR817" s="93"/>
      <c r="BS817" s="93"/>
      <c r="BT817" s="93"/>
      <c r="BU817" s="93"/>
      <c r="BV817" s="93"/>
      <c r="BW817" s="93"/>
      <c r="BX817" s="93"/>
      <c r="BY817" s="93"/>
      <c r="BZ817" s="93"/>
      <c r="CA817" s="93"/>
      <c r="CB817" s="93"/>
      <c r="CC817" s="93"/>
      <c r="CD817" s="93"/>
      <c r="CE817" s="93"/>
      <c r="CF817" s="93"/>
      <c r="CG817" s="93"/>
      <c r="CH817" s="93"/>
      <c r="CI817" s="93"/>
      <c r="CJ817" s="93"/>
      <c r="CK817" s="93"/>
      <c r="CL817" s="93"/>
      <c r="CM817" s="93"/>
      <c r="CN817" s="93"/>
      <c r="CO817" s="93"/>
      <c r="CP817" s="93"/>
      <c r="CQ817" s="93"/>
      <c r="CR817" s="93"/>
      <c r="CS817" s="93"/>
      <c r="CT817" s="93"/>
      <c r="CU817" s="93"/>
      <c r="CV817" s="93"/>
      <c r="CW817" s="93"/>
      <c r="CX817" s="93"/>
      <c r="CY817" s="93"/>
      <c r="CZ817" s="106"/>
      <c r="DA817" s="106"/>
      <c r="DB817" s="106"/>
      <c r="DC817" s="106"/>
      <c r="DD817" s="106"/>
      <c r="DE817" s="106"/>
      <c r="DF817" s="106"/>
      <c r="DG817" s="106"/>
      <c r="DH817" s="106"/>
      <c r="DI817" s="106"/>
      <c r="DJ817" s="106"/>
      <c r="DK817" s="106"/>
      <c r="DL817" s="106"/>
      <c r="DM817" s="106"/>
      <c r="DN817" s="106"/>
      <c r="DO817" s="106"/>
      <c r="DP817" s="106"/>
      <c r="DQ817" s="106"/>
      <c r="DR817" s="106"/>
      <c r="DS817" s="106"/>
      <c r="DT817" s="106"/>
      <c r="DU817" s="106"/>
      <c r="DV817" s="106"/>
      <c r="DW817" s="106"/>
      <c r="DX817" s="106"/>
      <c r="DY817" s="106"/>
      <c r="DZ817" s="106"/>
      <c r="EA817" s="106"/>
      <c r="EB817" s="106"/>
      <c r="EC817" s="106"/>
      <c r="ED817" s="106"/>
      <c r="EE817" s="106"/>
      <c r="EF817" s="106"/>
      <c r="EG817" s="106"/>
      <c r="EH817" s="106"/>
      <c r="EI817" s="106"/>
      <c r="EJ817" s="106"/>
      <c r="EK817" s="106"/>
      <c r="EL817" s="106"/>
      <c r="EM817" s="106"/>
      <c r="EN817" s="106"/>
      <c r="EO817" s="106"/>
      <c r="EP817" s="106"/>
      <c r="EQ817" s="106"/>
      <c r="ER817" s="106"/>
      <c r="ES817" s="106"/>
      <c r="ET817" s="106"/>
      <c r="EU817" s="106"/>
      <c r="EV817" s="106"/>
      <c r="EW817" s="106"/>
      <c r="EX817" s="106"/>
      <c r="EY817" s="106"/>
      <c r="EZ817" s="106"/>
      <c r="FA817" s="106"/>
      <c r="FB817" s="106"/>
      <c r="FC817" s="106"/>
      <c r="FD817" s="106"/>
      <c r="FE817" s="106"/>
      <c r="FF817" s="106"/>
      <c r="FG817" s="106"/>
      <c r="FH817" s="106"/>
      <c r="FI817" s="106"/>
      <c r="FJ817" s="106"/>
      <c r="FK817" s="106"/>
      <c r="FL817" s="106"/>
      <c r="FM817" s="106"/>
      <c r="FN817" s="106"/>
      <c r="FO817" s="106"/>
      <c r="FP817" s="106"/>
      <c r="FQ817" s="106"/>
      <c r="FR817" s="106"/>
      <c r="FS817" s="106"/>
      <c r="FT817" s="106"/>
      <c r="FU817" s="106"/>
    </row>
    <row r="818" spans="30:177" ht="6.95" customHeight="1" x14ac:dyDescent="0.15"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3"/>
      <c r="BF818" s="93"/>
      <c r="BG818" s="93"/>
      <c r="BH818" s="93"/>
      <c r="BI818" s="93"/>
      <c r="BJ818" s="93"/>
      <c r="BK818" s="93"/>
      <c r="BL818" s="93"/>
      <c r="BM818" s="93"/>
      <c r="BN818" s="93"/>
      <c r="BO818" s="93"/>
      <c r="BP818" s="93"/>
      <c r="BQ818" s="93"/>
      <c r="BR818" s="93"/>
      <c r="BS818" s="93"/>
      <c r="BT818" s="93"/>
      <c r="BU818" s="93"/>
      <c r="BV818" s="93"/>
      <c r="BW818" s="93"/>
      <c r="BX818" s="93"/>
      <c r="BY818" s="93"/>
      <c r="BZ818" s="93"/>
      <c r="CA818" s="93"/>
      <c r="CB818" s="93"/>
      <c r="CC818" s="93"/>
      <c r="CD818" s="93"/>
      <c r="CE818" s="93"/>
      <c r="CF818" s="93"/>
      <c r="CG818" s="93"/>
      <c r="CH818" s="93"/>
      <c r="CI818" s="93"/>
      <c r="CJ818" s="93"/>
      <c r="CK818" s="93"/>
      <c r="CL818" s="93"/>
      <c r="CM818" s="93"/>
      <c r="CN818" s="93"/>
      <c r="CO818" s="93"/>
      <c r="CP818" s="93"/>
      <c r="CQ818" s="93"/>
      <c r="CR818" s="93"/>
      <c r="CS818" s="93"/>
      <c r="CT818" s="93"/>
      <c r="CU818" s="93"/>
      <c r="CV818" s="93"/>
      <c r="CW818" s="93"/>
      <c r="CX818" s="93"/>
      <c r="CY818" s="93"/>
      <c r="CZ818" s="106"/>
      <c r="DA818" s="106"/>
      <c r="DB818" s="106"/>
      <c r="DC818" s="106"/>
      <c r="DD818" s="106"/>
      <c r="DE818" s="106"/>
      <c r="DF818" s="106"/>
      <c r="DG818" s="106"/>
      <c r="DH818" s="106"/>
      <c r="DI818" s="106"/>
      <c r="DJ818" s="106"/>
      <c r="DK818" s="106"/>
      <c r="DL818" s="106"/>
      <c r="DM818" s="106"/>
      <c r="DN818" s="106"/>
      <c r="DO818" s="106"/>
      <c r="DP818" s="106"/>
      <c r="DQ818" s="106"/>
      <c r="DR818" s="106"/>
      <c r="DS818" s="106"/>
      <c r="DT818" s="106"/>
      <c r="DU818" s="106"/>
      <c r="DV818" s="106"/>
      <c r="DW818" s="106"/>
      <c r="DX818" s="106"/>
      <c r="DY818" s="106"/>
      <c r="DZ818" s="106"/>
      <c r="EA818" s="106"/>
      <c r="EB818" s="106"/>
      <c r="EC818" s="106"/>
      <c r="ED818" s="106"/>
      <c r="EE818" s="106"/>
      <c r="EF818" s="106"/>
      <c r="EG818" s="106"/>
      <c r="EH818" s="106"/>
      <c r="EI818" s="106"/>
      <c r="EJ818" s="106"/>
      <c r="EK818" s="106"/>
      <c r="EL818" s="106"/>
      <c r="EM818" s="106"/>
      <c r="EN818" s="106"/>
      <c r="EO818" s="106"/>
      <c r="EP818" s="106"/>
      <c r="EQ818" s="106"/>
      <c r="ER818" s="106"/>
      <c r="ES818" s="106"/>
      <c r="ET818" s="106"/>
      <c r="EU818" s="106"/>
      <c r="EV818" s="106"/>
      <c r="EW818" s="106"/>
      <c r="EX818" s="106"/>
      <c r="EY818" s="106"/>
      <c r="EZ818" s="106"/>
      <c r="FA818" s="106"/>
      <c r="FB818" s="106"/>
      <c r="FC818" s="106"/>
      <c r="FD818" s="106"/>
      <c r="FE818" s="106"/>
      <c r="FF818" s="106"/>
      <c r="FG818" s="106"/>
      <c r="FH818" s="106"/>
      <c r="FI818" s="106"/>
      <c r="FJ818" s="106"/>
      <c r="FK818" s="106"/>
      <c r="FL818" s="106"/>
      <c r="FM818" s="106"/>
      <c r="FN818" s="106"/>
      <c r="FO818" s="106"/>
      <c r="FP818" s="106"/>
      <c r="FQ818" s="106"/>
      <c r="FR818" s="106"/>
      <c r="FS818" s="106"/>
      <c r="FT818" s="106"/>
      <c r="FU818" s="106"/>
    </row>
    <row r="819" spans="30:177" ht="6.95" customHeight="1" x14ac:dyDescent="0.15"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  <c r="AZ819" s="93"/>
      <c r="BA819" s="93"/>
      <c r="BB819" s="93"/>
      <c r="BC819" s="93"/>
      <c r="BD819" s="93"/>
      <c r="BE819" s="93"/>
      <c r="BF819" s="93"/>
      <c r="BG819" s="93"/>
      <c r="BH819" s="93"/>
      <c r="BI819" s="93"/>
      <c r="BJ819" s="93"/>
      <c r="BK819" s="93"/>
      <c r="BL819" s="93"/>
      <c r="BM819" s="93"/>
      <c r="BN819" s="93"/>
      <c r="BO819" s="93"/>
      <c r="BP819" s="93"/>
      <c r="BQ819" s="93"/>
      <c r="BR819" s="93"/>
      <c r="BS819" s="93"/>
      <c r="BT819" s="93"/>
      <c r="BU819" s="93"/>
      <c r="BV819" s="93"/>
      <c r="BW819" s="93"/>
      <c r="BX819" s="93"/>
      <c r="BY819" s="93"/>
      <c r="BZ819" s="93"/>
      <c r="CA819" s="93"/>
      <c r="CB819" s="93"/>
      <c r="CC819" s="93"/>
      <c r="CD819" s="93"/>
      <c r="CE819" s="93"/>
      <c r="CF819" s="93"/>
      <c r="CG819" s="93"/>
      <c r="CH819" s="93"/>
      <c r="CI819" s="93"/>
      <c r="CJ819" s="93"/>
      <c r="CK819" s="93"/>
      <c r="CL819" s="93"/>
      <c r="CM819" s="93"/>
      <c r="CN819" s="93"/>
      <c r="CO819" s="93"/>
      <c r="CP819" s="93"/>
      <c r="CQ819" s="93"/>
      <c r="CR819" s="93"/>
      <c r="CS819" s="93"/>
      <c r="CT819" s="93"/>
      <c r="CU819" s="93"/>
      <c r="CV819" s="93"/>
      <c r="CW819" s="93"/>
      <c r="CX819" s="93"/>
      <c r="CY819" s="93"/>
      <c r="CZ819" s="106"/>
      <c r="DA819" s="106"/>
      <c r="DB819" s="106"/>
      <c r="DC819" s="106"/>
      <c r="DD819" s="106"/>
      <c r="DE819" s="106"/>
      <c r="DF819" s="106"/>
      <c r="DG819" s="106"/>
      <c r="DH819" s="106"/>
      <c r="DI819" s="106"/>
      <c r="DJ819" s="106"/>
      <c r="DK819" s="106"/>
      <c r="DL819" s="106"/>
      <c r="DM819" s="106"/>
      <c r="DN819" s="106"/>
      <c r="DO819" s="106"/>
      <c r="DP819" s="106"/>
      <c r="DQ819" s="106"/>
      <c r="DR819" s="106"/>
      <c r="DS819" s="106"/>
      <c r="DT819" s="106"/>
      <c r="DU819" s="106"/>
      <c r="DV819" s="106"/>
      <c r="DW819" s="106"/>
      <c r="DX819" s="106"/>
      <c r="DY819" s="106"/>
      <c r="DZ819" s="106"/>
      <c r="EA819" s="106"/>
      <c r="EB819" s="106"/>
      <c r="EC819" s="106"/>
      <c r="ED819" s="106"/>
      <c r="EE819" s="106"/>
      <c r="EF819" s="106"/>
      <c r="EG819" s="106"/>
      <c r="EH819" s="106"/>
      <c r="EI819" s="106"/>
      <c r="EJ819" s="106"/>
      <c r="EK819" s="106"/>
      <c r="EL819" s="106"/>
      <c r="EM819" s="106"/>
      <c r="EN819" s="106"/>
      <c r="EO819" s="106"/>
      <c r="EP819" s="106"/>
      <c r="EQ819" s="106"/>
      <c r="ER819" s="106"/>
      <c r="ES819" s="106"/>
      <c r="ET819" s="106"/>
      <c r="EU819" s="106"/>
      <c r="EV819" s="106"/>
      <c r="EW819" s="106"/>
      <c r="EX819" s="106"/>
      <c r="EY819" s="106"/>
      <c r="EZ819" s="106"/>
      <c r="FA819" s="106"/>
      <c r="FB819" s="106"/>
      <c r="FC819" s="106"/>
      <c r="FD819" s="106"/>
      <c r="FE819" s="106"/>
      <c r="FF819" s="106"/>
      <c r="FG819" s="106"/>
      <c r="FH819" s="106"/>
      <c r="FI819" s="106"/>
      <c r="FJ819" s="106"/>
      <c r="FK819" s="106"/>
      <c r="FL819" s="106"/>
      <c r="FM819" s="106"/>
      <c r="FN819" s="106"/>
      <c r="FO819" s="106"/>
      <c r="FP819" s="106"/>
      <c r="FQ819" s="106"/>
      <c r="FR819" s="106"/>
      <c r="FS819" s="106"/>
      <c r="FT819" s="106"/>
      <c r="FU819" s="106"/>
    </row>
    <row r="820" spans="30:177" ht="6.95" customHeight="1" x14ac:dyDescent="0.15"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  <c r="AZ820" s="93"/>
      <c r="BA820" s="93"/>
      <c r="BB820" s="93"/>
      <c r="BC820" s="93"/>
      <c r="BD820" s="93"/>
      <c r="BE820" s="93"/>
      <c r="BF820" s="93"/>
      <c r="BG820" s="93"/>
      <c r="BH820" s="93"/>
      <c r="BI820" s="93"/>
      <c r="BJ820" s="93"/>
      <c r="BK820" s="93"/>
      <c r="BL820" s="93"/>
      <c r="BM820" s="93"/>
      <c r="BN820" s="93"/>
      <c r="BO820" s="93"/>
      <c r="BP820" s="93"/>
      <c r="BQ820" s="93"/>
      <c r="BR820" s="93"/>
      <c r="BS820" s="93"/>
      <c r="BT820" s="93"/>
      <c r="BU820" s="93"/>
      <c r="BV820" s="93"/>
      <c r="BW820" s="93"/>
      <c r="BX820" s="93"/>
      <c r="BY820" s="93"/>
      <c r="BZ820" s="93"/>
      <c r="CA820" s="93"/>
      <c r="CB820" s="93"/>
      <c r="CC820" s="93"/>
      <c r="CD820" s="93"/>
      <c r="CE820" s="93"/>
      <c r="CF820" s="93"/>
      <c r="CG820" s="93"/>
      <c r="CH820" s="93"/>
      <c r="CI820" s="93"/>
      <c r="CJ820" s="93"/>
      <c r="CK820" s="93"/>
      <c r="CL820" s="93"/>
      <c r="CM820" s="93"/>
      <c r="CN820" s="93"/>
      <c r="CO820" s="93"/>
      <c r="CP820" s="93"/>
      <c r="CQ820" s="93"/>
      <c r="CR820" s="93"/>
      <c r="CS820" s="93"/>
      <c r="CT820" s="93"/>
      <c r="CU820" s="93"/>
      <c r="CV820" s="93"/>
      <c r="CW820" s="93"/>
      <c r="CX820" s="93"/>
      <c r="CY820" s="93"/>
      <c r="CZ820" s="106"/>
      <c r="DA820" s="106"/>
      <c r="DB820" s="106"/>
      <c r="DC820" s="106"/>
      <c r="DD820" s="106"/>
      <c r="DE820" s="106"/>
      <c r="DF820" s="106"/>
      <c r="DG820" s="106"/>
      <c r="DH820" s="106"/>
      <c r="DI820" s="106"/>
      <c r="DJ820" s="106"/>
      <c r="DK820" s="106"/>
      <c r="DL820" s="106"/>
      <c r="DM820" s="106"/>
      <c r="DN820" s="106"/>
      <c r="DO820" s="106"/>
      <c r="DP820" s="106"/>
      <c r="DQ820" s="106"/>
      <c r="DR820" s="106"/>
      <c r="DS820" s="106"/>
      <c r="DT820" s="106"/>
      <c r="DU820" s="106"/>
      <c r="DV820" s="106"/>
      <c r="DW820" s="106"/>
      <c r="DX820" s="106"/>
      <c r="DY820" s="106"/>
      <c r="DZ820" s="106"/>
      <c r="EA820" s="106"/>
      <c r="EB820" s="106"/>
      <c r="EC820" s="106"/>
      <c r="ED820" s="106"/>
      <c r="EE820" s="106"/>
      <c r="EF820" s="106"/>
      <c r="EG820" s="106"/>
      <c r="EH820" s="106"/>
      <c r="EI820" s="106"/>
      <c r="EJ820" s="106"/>
      <c r="EK820" s="106"/>
      <c r="EL820" s="106"/>
      <c r="EM820" s="106"/>
      <c r="EN820" s="106"/>
      <c r="EO820" s="106"/>
      <c r="EP820" s="106"/>
      <c r="EQ820" s="106"/>
      <c r="ER820" s="106"/>
      <c r="ES820" s="106"/>
      <c r="ET820" s="106"/>
      <c r="EU820" s="106"/>
      <c r="EV820" s="106"/>
      <c r="EW820" s="106"/>
      <c r="EX820" s="106"/>
      <c r="EY820" s="106"/>
      <c r="EZ820" s="106"/>
      <c r="FA820" s="106"/>
      <c r="FB820" s="106"/>
      <c r="FC820" s="106"/>
      <c r="FD820" s="106"/>
      <c r="FE820" s="106"/>
      <c r="FF820" s="106"/>
      <c r="FG820" s="106"/>
      <c r="FH820" s="106"/>
      <c r="FI820" s="106"/>
      <c r="FJ820" s="106"/>
      <c r="FK820" s="106"/>
      <c r="FL820" s="106"/>
      <c r="FM820" s="106"/>
      <c r="FN820" s="106"/>
      <c r="FO820" s="106"/>
      <c r="FP820" s="106"/>
      <c r="FQ820" s="106"/>
      <c r="FR820" s="106"/>
      <c r="FS820" s="106"/>
      <c r="FT820" s="106"/>
      <c r="FU820" s="106"/>
    </row>
    <row r="821" spans="30:177" ht="6.95" customHeight="1" x14ac:dyDescent="0.15"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3"/>
      <c r="BF821" s="93"/>
      <c r="BG821" s="93"/>
      <c r="BH821" s="93"/>
      <c r="BI821" s="93"/>
      <c r="BJ821" s="93"/>
      <c r="BK821" s="93"/>
      <c r="BL821" s="93"/>
      <c r="BM821" s="93"/>
      <c r="BN821" s="93"/>
      <c r="BO821" s="93"/>
      <c r="BP821" s="93"/>
      <c r="BQ821" s="93"/>
      <c r="BR821" s="93"/>
      <c r="BS821" s="93"/>
      <c r="BT821" s="93"/>
      <c r="BU821" s="93"/>
      <c r="BV821" s="93"/>
      <c r="BW821" s="93"/>
      <c r="BX821" s="93"/>
      <c r="BY821" s="93"/>
      <c r="BZ821" s="93"/>
      <c r="CA821" s="93"/>
      <c r="CB821" s="93"/>
      <c r="CC821" s="93"/>
      <c r="CD821" s="93"/>
      <c r="CE821" s="93"/>
      <c r="CF821" s="93"/>
      <c r="CG821" s="93"/>
      <c r="CH821" s="93"/>
      <c r="CI821" s="93"/>
      <c r="CJ821" s="93"/>
      <c r="CK821" s="93"/>
      <c r="CL821" s="93"/>
      <c r="CM821" s="93"/>
      <c r="CN821" s="93"/>
      <c r="CO821" s="93"/>
      <c r="CP821" s="93"/>
      <c r="CQ821" s="93"/>
      <c r="CR821" s="93"/>
      <c r="CS821" s="93"/>
      <c r="CT821" s="93"/>
      <c r="CU821" s="93"/>
      <c r="CV821" s="93"/>
      <c r="CW821" s="93"/>
      <c r="CX821" s="93"/>
      <c r="CY821" s="93"/>
      <c r="CZ821" s="106"/>
      <c r="DA821" s="106"/>
      <c r="DB821" s="106"/>
      <c r="DC821" s="106"/>
      <c r="DD821" s="106"/>
      <c r="DE821" s="106"/>
      <c r="DF821" s="106"/>
      <c r="DG821" s="106"/>
      <c r="DH821" s="106"/>
      <c r="DI821" s="106"/>
      <c r="DJ821" s="106"/>
      <c r="DK821" s="106"/>
      <c r="DL821" s="106"/>
      <c r="DM821" s="106"/>
      <c r="DN821" s="106"/>
      <c r="DO821" s="106"/>
      <c r="DP821" s="106"/>
      <c r="DQ821" s="106"/>
      <c r="DR821" s="106"/>
      <c r="DS821" s="106"/>
      <c r="DT821" s="106"/>
      <c r="DU821" s="106"/>
      <c r="DV821" s="106"/>
      <c r="DW821" s="106"/>
      <c r="DX821" s="106"/>
      <c r="DY821" s="106"/>
      <c r="DZ821" s="106"/>
      <c r="EA821" s="106"/>
      <c r="EB821" s="106"/>
      <c r="EC821" s="106"/>
      <c r="ED821" s="106"/>
      <c r="EE821" s="106"/>
      <c r="EF821" s="106"/>
      <c r="EG821" s="106"/>
      <c r="EH821" s="106"/>
      <c r="EI821" s="106"/>
      <c r="EJ821" s="106"/>
      <c r="EK821" s="106"/>
      <c r="EL821" s="106"/>
      <c r="EM821" s="106"/>
      <c r="EN821" s="106"/>
      <c r="EO821" s="106"/>
      <c r="EP821" s="106"/>
      <c r="EQ821" s="106"/>
      <c r="ER821" s="106"/>
      <c r="ES821" s="106"/>
      <c r="ET821" s="106"/>
      <c r="EU821" s="106"/>
      <c r="EV821" s="106"/>
      <c r="EW821" s="106"/>
      <c r="EX821" s="106"/>
      <c r="EY821" s="106"/>
      <c r="EZ821" s="106"/>
      <c r="FA821" s="106"/>
      <c r="FB821" s="106"/>
      <c r="FC821" s="106"/>
      <c r="FD821" s="106"/>
      <c r="FE821" s="106"/>
      <c r="FF821" s="106"/>
      <c r="FG821" s="106"/>
      <c r="FH821" s="106"/>
      <c r="FI821" s="106"/>
      <c r="FJ821" s="106"/>
      <c r="FK821" s="106"/>
      <c r="FL821" s="106"/>
      <c r="FM821" s="106"/>
      <c r="FN821" s="106"/>
      <c r="FO821" s="106"/>
      <c r="FP821" s="106"/>
      <c r="FQ821" s="106"/>
      <c r="FR821" s="106"/>
      <c r="FS821" s="106"/>
      <c r="FT821" s="106"/>
      <c r="FU821" s="106"/>
    </row>
    <row r="822" spans="30:177" ht="6.95" customHeight="1" x14ac:dyDescent="0.15"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  <c r="AZ822" s="93"/>
      <c r="BA822" s="93"/>
      <c r="BB822" s="93"/>
      <c r="BC822" s="93"/>
      <c r="BD822" s="93"/>
      <c r="BE822" s="93"/>
      <c r="BF822" s="93"/>
      <c r="BG822" s="93"/>
      <c r="BH822" s="93"/>
      <c r="BI822" s="93"/>
      <c r="BJ822" s="93"/>
      <c r="BK822" s="93"/>
      <c r="BL822" s="93"/>
      <c r="BM822" s="93"/>
      <c r="BN822" s="93"/>
      <c r="BO822" s="93"/>
      <c r="BP822" s="93"/>
      <c r="BQ822" s="93"/>
      <c r="BR822" s="93"/>
      <c r="BS822" s="93"/>
      <c r="BT822" s="93"/>
      <c r="BU822" s="93"/>
      <c r="BV822" s="93"/>
      <c r="BW822" s="93"/>
      <c r="BX822" s="93"/>
      <c r="BY822" s="93"/>
      <c r="BZ822" s="93"/>
      <c r="CA822" s="93"/>
      <c r="CB822" s="93"/>
      <c r="CC822" s="93"/>
      <c r="CD822" s="93"/>
      <c r="CE822" s="93"/>
      <c r="CF822" s="93"/>
      <c r="CG822" s="93"/>
      <c r="CH822" s="93"/>
      <c r="CI822" s="93"/>
      <c r="CJ822" s="93"/>
      <c r="CK822" s="93"/>
      <c r="CL822" s="93"/>
      <c r="CM822" s="93"/>
      <c r="CN822" s="93"/>
      <c r="CO822" s="93"/>
      <c r="CP822" s="93"/>
      <c r="CQ822" s="93"/>
      <c r="CR822" s="93"/>
      <c r="CS822" s="93"/>
      <c r="CT822" s="93"/>
      <c r="CU822" s="93"/>
      <c r="CV822" s="93"/>
      <c r="CW822" s="93"/>
      <c r="CX822" s="93"/>
      <c r="CY822" s="93"/>
      <c r="CZ822" s="106"/>
      <c r="DA822" s="106"/>
      <c r="DB822" s="106"/>
      <c r="DC822" s="106"/>
      <c r="DD822" s="106"/>
      <c r="DE822" s="106"/>
      <c r="DF822" s="106"/>
      <c r="DG822" s="106"/>
      <c r="DH822" s="106"/>
      <c r="DI822" s="106"/>
      <c r="DJ822" s="106"/>
      <c r="DK822" s="106"/>
      <c r="DL822" s="106"/>
      <c r="DM822" s="106"/>
      <c r="DN822" s="106"/>
      <c r="DO822" s="106"/>
      <c r="DP822" s="106"/>
      <c r="DQ822" s="106"/>
      <c r="DR822" s="106"/>
      <c r="DS822" s="106"/>
      <c r="DT822" s="106"/>
      <c r="DU822" s="106"/>
      <c r="DV822" s="106"/>
      <c r="DW822" s="106"/>
      <c r="DX822" s="106"/>
      <c r="DY822" s="106"/>
      <c r="DZ822" s="106"/>
      <c r="EA822" s="106"/>
      <c r="EB822" s="106"/>
      <c r="EC822" s="106"/>
      <c r="ED822" s="106"/>
      <c r="EE822" s="106"/>
      <c r="EF822" s="106"/>
      <c r="EG822" s="106"/>
      <c r="EH822" s="106"/>
      <c r="EI822" s="106"/>
      <c r="EJ822" s="106"/>
      <c r="EK822" s="106"/>
      <c r="EL822" s="106"/>
      <c r="EM822" s="106"/>
      <c r="EN822" s="106"/>
      <c r="EO822" s="106"/>
      <c r="EP822" s="106"/>
      <c r="EQ822" s="106"/>
      <c r="ER822" s="106"/>
      <c r="ES822" s="106"/>
      <c r="ET822" s="106"/>
      <c r="EU822" s="106"/>
      <c r="EV822" s="106"/>
      <c r="EW822" s="106"/>
      <c r="EX822" s="106"/>
      <c r="EY822" s="106"/>
      <c r="EZ822" s="106"/>
      <c r="FA822" s="106"/>
      <c r="FB822" s="106"/>
      <c r="FC822" s="106"/>
      <c r="FD822" s="106"/>
      <c r="FE822" s="106"/>
      <c r="FF822" s="106"/>
      <c r="FG822" s="106"/>
      <c r="FH822" s="106"/>
      <c r="FI822" s="106"/>
      <c r="FJ822" s="106"/>
      <c r="FK822" s="106"/>
      <c r="FL822" s="106"/>
      <c r="FM822" s="106"/>
      <c r="FN822" s="106"/>
      <c r="FO822" s="106"/>
      <c r="FP822" s="106"/>
      <c r="FQ822" s="106"/>
      <c r="FR822" s="106"/>
      <c r="FS822" s="106"/>
      <c r="FT822" s="106"/>
      <c r="FU822" s="106"/>
    </row>
    <row r="823" spans="30:177" ht="6.95" customHeight="1" x14ac:dyDescent="0.15"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  <c r="AZ823" s="93"/>
      <c r="BA823" s="93"/>
      <c r="BB823" s="93"/>
      <c r="BC823" s="93"/>
      <c r="BD823" s="93"/>
      <c r="BE823" s="93"/>
      <c r="BF823" s="93"/>
      <c r="BG823" s="93"/>
      <c r="BH823" s="93"/>
      <c r="BI823" s="93"/>
      <c r="BJ823" s="93"/>
      <c r="BK823" s="93"/>
      <c r="BL823" s="93"/>
      <c r="BM823" s="93"/>
      <c r="BN823" s="93"/>
      <c r="BO823" s="93"/>
      <c r="BP823" s="93"/>
      <c r="BQ823" s="93"/>
      <c r="BR823" s="93"/>
      <c r="BS823" s="93"/>
      <c r="BT823" s="93"/>
      <c r="BU823" s="93"/>
      <c r="BV823" s="93"/>
      <c r="BW823" s="93"/>
      <c r="BX823" s="93"/>
      <c r="BY823" s="93"/>
      <c r="BZ823" s="93"/>
      <c r="CA823" s="93"/>
      <c r="CB823" s="93"/>
      <c r="CC823" s="93"/>
      <c r="CD823" s="93"/>
      <c r="CE823" s="93"/>
      <c r="CF823" s="93"/>
      <c r="CG823" s="93"/>
      <c r="CH823" s="93"/>
      <c r="CI823" s="93"/>
      <c r="CJ823" s="93"/>
      <c r="CK823" s="93"/>
      <c r="CL823" s="93"/>
      <c r="CM823" s="93"/>
      <c r="CN823" s="93"/>
      <c r="CO823" s="93"/>
      <c r="CP823" s="93"/>
      <c r="CQ823" s="93"/>
      <c r="CR823" s="93"/>
      <c r="CS823" s="93"/>
      <c r="CT823" s="93"/>
      <c r="CU823" s="93"/>
      <c r="CV823" s="93"/>
      <c r="CW823" s="93"/>
      <c r="CX823" s="93"/>
      <c r="CY823" s="93"/>
      <c r="CZ823" s="106"/>
      <c r="DA823" s="106"/>
      <c r="DB823" s="106"/>
      <c r="DC823" s="106"/>
      <c r="DD823" s="106"/>
      <c r="DE823" s="106"/>
      <c r="DF823" s="106"/>
      <c r="DG823" s="106"/>
      <c r="DH823" s="106"/>
      <c r="DI823" s="106"/>
      <c r="DJ823" s="106"/>
      <c r="DK823" s="106"/>
      <c r="DL823" s="106"/>
      <c r="DM823" s="106"/>
      <c r="DN823" s="106"/>
      <c r="DO823" s="106"/>
      <c r="DP823" s="106"/>
      <c r="DQ823" s="106"/>
      <c r="DR823" s="106"/>
      <c r="DS823" s="106"/>
      <c r="DT823" s="106"/>
      <c r="DU823" s="106"/>
      <c r="DV823" s="106"/>
      <c r="DW823" s="106"/>
      <c r="DX823" s="106"/>
      <c r="DY823" s="106"/>
      <c r="DZ823" s="106"/>
      <c r="EA823" s="106"/>
      <c r="EB823" s="106"/>
      <c r="EC823" s="106"/>
      <c r="ED823" s="106"/>
      <c r="EE823" s="106"/>
      <c r="EF823" s="106"/>
      <c r="EG823" s="106"/>
      <c r="EH823" s="106"/>
      <c r="EI823" s="106"/>
      <c r="EJ823" s="106"/>
      <c r="EK823" s="106"/>
      <c r="EL823" s="106"/>
      <c r="EM823" s="106"/>
      <c r="EN823" s="106"/>
      <c r="EO823" s="106"/>
      <c r="EP823" s="106"/>
      <c r="EQ823" s="106"/>
      <c r="ER823" s="106"/>
      <c r="ES823" s="106"/>
      <c r="ET823" s="106"/>
      <c r="EU823" s="106"/>
      <c r="EV823" s="106"/>
      <c r="EW823" s="106"/>
      <c r="EX823" s="106"/>
      <c r="EY823" s="106"/>
      <c r="EZ823" s="106"/>
      <c r="FA823" s="106"/>
      <c r="FB823" s="106"/>
      <c r="FC823" s="106"/>
      <c r="FD823" s="106"/>
      <c r="FE823" s="106"/>
      <c r="FF823" s="106"/>
      <c r="FG823" s="106"/>
      <c r="FH823" s="106"/>
      <c r="FI823" s="106"/>
      <c r="FJ823" s="106"/>
      <c r="FK823" s="106"/>
      <c r="FL823" s="106"/>
      <c r="FM823" s="106"/>
      <c r="FN823" s="106"/>
      <c r="FO823" s="106"/>
      <c r="FP823" s="106"/>
      <c r="FQ823" s="106"/>
      <c r="FR823" s="106"/>
      <c r="FS823" s="106"/>
      <c r="FT823" s="106"/>
      <c r="FU823" s="106"/>
    </row>
    <row r="824" spans="30:177" ht="6.95" customHeight="1" x14ac:dyDescent="0.15"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3"/>
      <c r="BF824" s="93"/>
      <c r="BG824" s="93"/>
      <c r="BH824" s="93"/>
      <c r="BI824" s="93"/>
      <c r="BJ824" s="93"/>
      <c r="BK824" s="93"/>
      <c r="BL824" s="93"/>
      <c r="BM824" s="93"/>
      <c r="BN824" s="93"/>
      <c r="BO824" s="93"/>
      <c r="BP824" s="93"/>
      <c r="BQ824" s="93"/>
      <c r="BR824" s="93"/>
      <c r="BS824" s="93"/>
      <c r="BT824" s="93"/>
      <c r="BU824" s="93"/>
      <c r="BV824" s="93"/>
      <c r="BW824" s="93"/>
      <c r="BX824" s="93"/>
      <c r="BY824" s="93"/>
      <c r="BZ824" s="93"/>
      <c r="CA824" s="93"/>
      <c r="CB824" s="93"/>
      <c r="CC824" s="93"/>
      <c r="CD824" s="93"/>
      <c r="CE824" s="93"/>
      <c r="CF824" s="93"/>
      <c r="CG824" s="93"/>
      <c r="CH824" s="93"/>
      <c r="CI824" s="93"/>
      <c r="CJ824" s="93"/>
      <c r="CK824" s="93"/>
      <c r="CL824" s="93"/>
      <c r="CM824" s="93"/>
      <c r="CN824" s="93"/>
      <c r="CO824" s="93"/>
      <c r="CP824" s="93"/>
      <c r="CQ824" s="93"/>
      <c r="CR824" s="93"/>
      <c r="CS824" s="93"/>
      <c r="CT824" s="93"/>
      <c r="CU824" s="93"/>
      <c r="CV824" s="93"/>
      <c r="CW824" s="93"/>
      <c r="CX824" s="93"/>
      <c r="CY824" s="93"/>
      <c r="CZ824" s="106"/>
      <c r="DA824" s="106"/>
      <c r="DB824" s="106"/>
      <c r="DC824" s="106"/>
      <c r="DD824" s="106"/>
      <c r="DE824" s="106"/>
      <c r="DF824" s="106"/>
      <c r="DG824" s="106"/>
      <c r="DH824" s="106"/>
      <c r="DI824" s="106"/>
      <c r="DJ824" s="106"/>
      <c r="DK824" s="106"/>
      <c r="DL824" s="106"/>
      <c r="DM824" s="106"/>
      <c r="DN824" s="106"/>
      <c r="DO824" s="106"/>
      <c r="DP824" s="106"/>
      <c r="DQ824" s="106"/>
      <c r="DR824" s="106"/>
      <c r="DS824" s="106"/>
      <c r="DT824" s="106"/>
      <c r="DU824" s="106"/>
      <c r="DV824" s="106"/>
      <c r="DW824" s="106"/>
      <c r="DX824" s="106"/>
      <c r="DY824" s="106"/>
      <c r="DZ824" s="106"/>
      <c r="EA824" s="106"/>
      <c r="EB824" s="106"/>
      <c r="EC824" s="106"/>
      <c r="ED824" s="106"/>
      <c r="EE824" s="106"/>
      <c r="EF824" s="106"/>
      <c r="EG824" s="106"/>
      <c r="EH824" s="106"/>
      <c r="EI824" s="106"/>
      <c r="EJ824" s="106"/>
      <c r="EK824" s="106"/>
      <c r="EL824" s="106"/>
      <c r="EM824" s="106"/>
      <c r="EN824" s="106"/>
      <c r="EO824" s="106"/>
      <c r="EP824" s="106"/>
      <c r="EQ824" s="106"/>
      <c r="ER824" s="106"/>
      <c r="ES824" s="106"/>
      <c r="ET824" s="106"/>
      <c r="EU824" s="106"/>
      <c r="EV824" s="106"/>
      <c r="EW824" s="106"/>
      <c r="EX824" s="106"/>
      <c r="EY824" s="106"/>
      <c r="EZ824" s="106"/>
      <c r="FA824" s="106"/>
      <c r="FB824" s="106"/>
      <c r="FC824" s="106"/>
      <c r="FD824" s="106"/>
      <c r="FE824" s="106"/>
      <c r="FF824" s="106"/>
      <c r="FG824" s="106"/>
      <c r="FH824" s="106"/>
      <c r="FI824" s="106"/>
      <c r="FJ824" s="106"/>
      <c r="FK824" s="106"/>
      <c r="FL824" s="106"/>
      <c r="FM824" s="106"/>
      <c r="FN824" s="106"/>
      <c r="FO824" s="106"/>
      <c r="FP824" s="106"/>
      <c r="FQ824" s="106"/>
      <c r="FR824" s="106"/>
      <c r="FS824" s="106"/>
      <c r="FT824" s="106"/>
      <c r="FU824" s="106"/>
    </row>
    <row r="825" spans="30:177" ht="6.95" customHeight="1" x14ac:dyDescent="0.15"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  <c r="AZ825" s="93"/>
      <c r="BA825" s="93"/>
      <c r="BB825" s="93"/>
      <c r="BC825" s="93"/>
      <c r="BD825" s="93"/>
      <c r="BE825" s="93"/>
      <c r="BF825" s="93"/>
      <c r="BG825" s="93"/>
      <c r="BH825" s="93"/>
      <c r="BI825" s="93"/>
      <c r="BJ825" s="93"/>
      <c r="BK825" s="93"/>
      <c r="BL825" s="93"/>
      <c r="BM825" s="93"/>
      <c r="BN825" s="93"/>
      <c r="BO825" s="93"/>
      <c r="BP825" s="93"/>
      <c r="BQ825" s="93"/>
      <c r="BR825" s="93"/>
      <c r="BS825" s="93"/>
      <c r="BT825" s="93"/>
      <c r="BU825" s="93"/>
      <c r="BV825" s="93"/>
      <c r="BW825" s="93"/>
      <c r="BX825" s="93"/>
      <c r="BY825" s="93"/>
      <c r="BZ825" s="93"/>
      <c r="CA825" s="93"/>
      <c r="CB825" s="93"/>
      <c r="CC825" s="93"/>
      <c r="CD825" s="93"/>
      <c r="CE825" s="93"/>
      <c r="CF825" s="93"/>
      <c r="CG825" s="93"/>
      <c r="CH825" s="93"/>
      <c r="CI825" s="93"/>
      <c r="CJ825" s="93"/>
      <c r="CK825" s="93"/>
      <c r="CL825" s="93"/>
      <c r="CM825" s="93"/>
      <c r="CN825" s="93"/>
      <c r="CO825" s="93"/>
      <c r="CP825" s="93"/>
      <c r="CQ825" s="93"/>
      <c r="CR825" s="93"/>
      <c r="CS825" s="93"/>
      <c r="CT825" s="93"/>
      <c r="CU825" s="93"/>
      <c r="CV825" s="93"/>
      <c r="CW825" s="93"/>
      <c r="CX825" s="93"/>
      <c r="CY825" s="93"/>
      <c r="CZ825" s="106"/>
      <c r="DA825" s="106"/>
      <c r="DB825" s="106"/>
      <c r="DC825" s="106"/>
      <c r="DD825" s="106"/>
      <c r="DE825" s="106"/>
      <c r="DF825" s="106"/>
      <c r="DG825" s="106"/>
      <c r="DH825" s="106"/>
      <c r="DI825" s="106"/>
      <c r="DJ825" s="106"/>
      <c r="DK825" s="106"/>
      <c r="DL825" s="106"/>
      <c r="DM825" s="106"/>
      <c r="DN825" s="106"/>
      <c r="DO825" s="106"/>
      <c r="DP825" s="106"/>
      <c r="DQ825" s="106"/>
      <c r="DR825" s="106"/>
      <c r="DS825" s="106"/>
      <c r="DT825" s="106"/>
      <c r="DU825" s="106"/>
      <c r="DV825" s="106"/>
      <c r="DW825" s="106"/>
      <c r="DX825" s="106"/>
      <c r="DY825" s="106"/>
      <c r="DZ825" s="106"/>
      <c r="EA825" s="106"/>
      <c r="EB825" s="106"/>
      <c r="EC825" s="106"/>
      <c r="ED825" s="106"/>
      <c r="EE825" s="106"/>
      <c r="EF825" s="106"/>
      <c r="EG825" s="106"/>
      <c r="EH825" s="106"/>
      <c r="EI825" s="106"/>
      <c r="EJ825" s="106"/>
      <c r="EK825" s="106"/>
      <c r="EL825" s="106"/>
      <c r="EM825" s="106"/>
      <c r="EN825" s="106"/>
      <c r="EO825" s="106"/>
      <c r="EP825" s="106"/>
      <c r="EQ825" s="106"/>
      <c r="ER825" s="106"/>
      <c r="ES825" s="106"/>
      <c r="ET825" s="106"/>
      <c r="EU825" s="106"/>
      <c r="EV825" s="106"/>
      <c r="EW825" s="106"/>
      <c r="EX825" s="106"/>
      <c r="EY825" s="106"/>
      <c r="EZ825" s="106"/>
      <c r="FA825" s="106"/>
      <c r="FB825" s="106"/>
      <c r="FC825" s="106"/>
      <c r="FD825" s="106"/>
      <c r="FE825" s="106"/>
      <c r="FF825" s="106"/>
      <c r="FG825" s="106"/>
      <c r="FH825" s="106"/>
      <c r="FI825" s="106"/>
      <c r="FJ825" s="106"/>
      <c r="FK825" s="106"/>
      <c r="FL825" s="106"/>
      <c r="FM825" s="106"/>
      <c r="FN825" s="106"/>
      <c r="FO825" s="106"/>
      <c r="FP825" s="106"/>
      <c r="FQ825" s="106"/>
      <c r="FR825" s="106"/>
      <c r="FS825" s="106"/>
      <c r="FT825" s="106"/>
      <c r="FU825" s="106"/>
    </row>
    <row r="826" spans="30:177" ht="6.95" customHeight="1" x14ac:dyDescent="0.15"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  <c r="AZ826" s="93"/>
      <c r="BA826" s="93"/>
      <c r="BB826" s="93"/>
      <c r="BC826" s="93"/>
      <c r="BD826" s="93"/>
      <c r="BE826" s="93"/>
      <c r="BF826" s="93"/>
      <c r="BG826" s="93"/>
      <c r="BH826" s="93"/>
      <c r="BI826" s="93"/>
      <c r="BJ826" s="93"/>
      <c r="BK826" s="93"/>
      <c r="BL826" s="93"/>
      <c r="BM826" s="93"/>
      <c r="BN826" s="93"/>
      <c r="BO826" s="93"/>
      <c r="BP826" s="93"/>
      <c r="BQ826" s="93"/>
      <c r="BR826" s="93"/>
      <c r="BS826" s="93"/>
      <c r="BT826" s="93"/>
      <c r="BU826" s="93"/>
      <c r="BV826" s="93"/>
      <c r="BW826" s="93"/>
      <c r="BX826" s="93"/>
      <c r="BY826" s="93"/>
      <c r="BZ826" s="93"/>
      <c r="CA826" s="93"/>
      <c r="CB826" s="93"/>
      <c r="CC826" s="93"/>
      <c r="CD826" s="93"/>
      <c r="CE826" s="93"/>
      <c r="CF826" s="93"/>
      <c r="CG826" s="93"/>
      <c r="CH826" s="93"/>
      <c r="CI826" s="93"/>
      <c r="CJ826" s="93"/>
      <c r="CK826" s="93"/>
      <c r="CL826" s="93"/>
      <c r="CM826" s="93"/>
      <c r="CN826" s="93"/>
      <c r="CO826" s="93"/>
      <c r="CP826" s="93"/>
      <c r="CQ826" s="93"/>
      <c r="CR826" s="93"/>
      <c r="CS826" s="93"/>
      <c r="CT826" s="93"/>
      <c r="CU826" s="93"/>
      <c r="CV826" s="93"/>
      <c r="CW826" s="93"/>
      <c r="CX826" s="93"/>
      <c r="CY826" s="93"/>
      <c r="CZ826" s="106"/>
      <c r="DA826" s="106"/>
      <c r="DB826" s="106"/>
      <c r="DC826" s="106"/>
      <c r="DD826" s="106"/>
      <c r="DE826" s="106"/>
      <c r="DF826" s="106"/>
      <c r="DG826" s="106"/>
      <c r="DH826" s="106"/>
      <c r="DI826" s="106"/>
      <c r="DJ826" s="106"/>
      <c r="DK826" s="106"/>
      <c r="DL826" s="106"/>
      <c r="DM826" s="106"/>
      <c r="DN826" s="106"/>
      <c r="DO826" s="106"/>
      <c r="DP826" s="106"/>
      <c r="DQ826" s="106"/>
      <c r="DR826" s="106"/>
      <c r="DS826" s="106"/>
      <c r="DT826" s="106"/>
      <c r="DU826" s="106"/>
      <c r="DV826" s="106"/>
      <c r="DW826" s="106"/>
      <c r="DX826" s="106"/>
      <c r="DY826" s="106"/>
      <c r="DZ826" s="106"/>
      <c r="EA826" s="106"/>
      <c r="EB826" s="106"/>
      <c r="EC826" s="106"/>
      <c r="ED826" s="106"/>
      <c r="EE826" s="106"/>
      <c r="EF826" s="106"/>
      <c r="EG826" s="106"/>
      <c r="EH826" s="106"/>
      <c r="EI826" s="106"/>
      <c r="EJ826" s="106"/>
      <c r="EK826" s="106"/>
      <c r="EL826" s="106"/>
      <c r="EM826" s="106"/>
      <c r="EN826" s="106"/>
      <c r="EO826" s="106"/>
      <c r="EP826" s="106"/>
      <c r="EQ826" s="106"/>
      <c r="ER826" s="106"/>
      <c r="ES826" s="106"/>
      <c r="ET826" s="106"/>
      <c r="EU826" s="106"/>
      <c r="EV826" s="106"/>
      <c r="EW826" s="106"/>
      <c r="EX826" s="106"/>
      <c r="EY826" s="106"/>
      <c r="EZ826" s="106"/>
      <c r="FA826" s="106"/>
      <c r="FB826" s="106"/>
      <c r="FC826" s="106"/>
      <c r="FD826" s="106"/>
      <c r="FE826" s="106"/>
      <c r="FF826" s="106"/>
      <c r="FG826" s="106"/>
      <c r="FH826" s="106"/>
      <c r="FI826" s="106"/>
      <c r="FJ826" s="106"/>
      <c r="FK826" s="106"/>
      <c r="FL826" s="106"/>
      <c r="FM826" s="106"/>
      <c r="FN826" s="106"/>
      <c r="FO826" s="106"/>
      <c r="FP826" s="106"/>
      <c r="FQ826" s="106"/>
      <c r="FR826" s="106"/>
      <c r="FS826" s="106"/>
      <c r="FT826" s="106"/>
      <c r="FU826" s="106"/>
    </row>
    <row r="827" spans="30:177" ht="6.95" customHeight="1" x14ac:dyDescent="0.15"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  <c r="AZ827" s="93"/>
      <c r="BA827" s="93"/>
      <c r="BB827" s="93"/>
      <c r="BC827" s="93"/>
      <c r="BD827" s="93"/>
      <c r="BE827" s="93"/>
      <c r="BF827" s="93"/>
      <c r="BG827" s="93"/>
      <c r="BH827" s="93"/>
      <c r="BI827" s="93"/>
      <c r="BJ827" s="93"/>
      <c r="BK827" s="93"/>
      <c r="BL827" s="93"/>
      <c r="BM827" s="93"/>
      <c r="BN827" s="93"/>
      <c r="BO827" s="93"/>
      <c r="BP827" s="93"/>
      <c r="BQ827" s="93"/>
      <c r="BR827" s="93"/>
      <c r="BS827" s="93"/>
      <c r="BT827" s="93"/>
      <c r="BU827" s="93"/>
      <c r="BV827" s="93"/>
      <c r="BW827" s="93"/>
      <c r="BX827" s="93"/>
      <c r="BY827" s="93"/>
      <c r="BZ827" s="93"/>
      <c r="CA827" s="93"/>
      <c r="CB827" s="93"/>
      <c r="CC827" s="93"/>
      <c r="CD827" s="93"/>
      <c r="CE827" s="93"/>
      <c r="CF827" s="93"/>
      <c r="CG827" s="93"/>
      <c r="CH827" s="93"/>
      <c r="CI827" s="93"/>
      <c r="CJ827" s="93"/>
      <c r="CK827" s="93"/>
      <c r="CL827" s="93"/>
      <c r="CM827" s="93"/>
      <c r="CN827" s="93"/>
      <c r="CO827" s="93"/>
      <c r="CP827" s="93"/>
      <c r="CQ827" s="93"/>
      <c r="CR827" s="93"/>
      <c r="CS827" s="93"/>
      <c r="CT827" s="93"/>
      <c r="CU827" s="93"/>
      <c r="CV827" s="93"/>
      <c r="CW827" s="93"/>
      <c r="CX827" s="93"/>
      <c r="CY827" s="93"/>
      <c r="CZ827" s="106"/>
      <c r="DA827" s="106"/>
      <c r="DB827" s="106"/>
      <c r="DC827" s="106"/>
      <c r="DD827" s="106"/>
      <c r="DE827" s="106"/>
      <c r="DF827" s="106"/>
      <c r="DG827" s="106"/>
      <c r="DH827" s="106"/>
      <c r="DI827" s="106"/>
      <c r="DJ827" s="106"/>
      <c r="DK827" s="106"/>
      <c r="DL827" s="106"/>
      <c r="DM827" s="106"/>
      <c r="DN827" s="106"/>
      <c r="DO827" s="106"/>
      <c r="DP827" s="106"/>
      <c r="DQ827" s="106"/>
      <c r="DR827" s="106"/>
      <c r="DS827" s="106"/>
      <c r="DT827" s="106"/>
      <c r="DU827" s="106"/>
      <c r="DV827" s="106"/>
      <c r="DW827" s="106"/>
      <c r="DX827" s="106"/>
      <c r="DY827" s="106"/>
      <c r="DZ827" s="106"/>
      <c r="EA827" s="106"/>
      <c r="EB827" s="106"/>
      <c r="EC827" s="106"/>
      <c r="ED827" s="106"/>
      <c r="EE827" s="106"/>
      <c r="EF827" s="106"/>
      <c r="EG827" s="106"/>
      <c r="EH827" s="106"/>
      <c r="EI827" s="106"/>
      <c r="EJ827" s="106"/>
      <c r="EK827" s="106"/>
      <c r="EL827" s="106"/>
      <c r="EM827" s="106"/>
      <c r="EN827" s="106"/>
      <c r="EO827" s="106"/>
      <c r="EP827" s="106"/>
      <c r="EQ827" s="106"/>
      <c r="ER827" s="106"/>
      <c r="ES827" s="106"/>
      <c r="ET827" s="106"/>
      <c r="EU827" s="106"/>
      <c r="EV827" s="106"/>
      <c r="EW827" s="106"/>
      <c r="EX827" s="106"/>
      <c r="EY827" s="106"/>
      <c r="EZ827" s="106"/>
      <c r="FA827" s="106"/>
      <c r="FB827" s="106"/>
      <c r="FC827" s="106"/>
      <c r="FD827" s="106"/>
      <c r="FE827" s="106"/>
      <c r="FF827" s="106"/>
      <c r="FG827" s="106"/>
      <c r="FH827" s="106"/>
      <c r="FI827" s="106"/>
      <c r="FJ827" s="106"/>
      <c r="FK827" s="106"/>
      <c r="FL827" s="106"/>
      <c r="FM827" s="106"/>
      <c r="FN827" s="106"/>
      <c r="FO827" s="106"/>
      <c r="FP827" s="106"/>
      <c r="FQ827" s="106"/>
      <c r="FR827" s="106"/>
      <c r="FS827" s="106"/>
      <c r="FT827" s="106"/>
      <c r="FU827" s="106"/>
    </row>
    <row r="828" spans="30:177" ht="6.95" customHeight="1" x14ac:dyDescent="0.15"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  <c r="AZ828" s="93"/>
      <c r="BA828" s="93"/>
      <c r="BB828" s="93"/>
      <c r="BC828" s="93"/>
      <c r="BD828" s="93"/>
      <c r="BE828" s="93"/>
      <c r="BF828" s="93"/>
      <c r="BG828" s="93"/>
      <c r="BH828" s="93"/>
      <c r="BI828" s="93"/>
      <c r="BJ828" s="93"/>
      <c r="BK828" s="93"/>
      <c r="BL828" s="93"/>
      <c r="BM828" s="93"/>
      <c r="BN828" s="93"/>
      <c r="BO828" s="93"/>
      <c r="BP828" s="93"/>
      <c r="BQ828" s="93"/>
      <c r="BR828" s="93"/>
      <c r="BS828" s="93"/>
      <c r="BT828" s="93"/>
      <c r="BU828" s="93"/>
      <c r="BV828" s="93"/>
      <c r="BW828" s="93"/>
      <c r="BX828" s="93"/>
      <c r="BY828" s="93"/>
      <c r="BZ828" s="93"/>
      <c r="CA828" s="93"/>
      <c r="CB828" s="93"/>
      <c r="CC828" s="93"/>
      <c r="CD828" s="93"/>
      <c r="CE828" s="93"/>
      <c r="CF828" s="93"/>
      <c r="CG828" s="93"/>
      <c r="CH828" s="93"/>
      <c r="CI828" s="93"/>
      <c r="CJ828" s="93"/>
      <c r="CK828" s="93"/>
      <c r="CL828" s="93"/>
      <c r="CM828" s="93"/>
      <c r="CN828" s="93"/>
      <c r="CO828" s="93"/>
      <c r="CP828" s="93"/>
      <c r="CQ828" s="93"/>
      <c r="CR828" s="93"/>
      <c r="CS828" s="93"/>
      <c r="CT828" s="93"/>
      <c r="CU828" s="93"/>
      <c r="CV828" s="93"/>
      <c r="CW828" s="93"/>
      <c r="CX828" s="93"/>
      <c r="CY828" s="93"/>
      <c r="CZ828" s="106"/>
      <c r="DA828" s="106"/>
      <c r="DB828" s="106"/>
      <c r="DC828" s="106"/>
      <c r="DD828" s="106"/>
      <c r="DE828" s="106"/>
      <c r="DF828" s="106"/>
      <c r="DG828" s="106"/>
      <c r="DH828" s="106"/>
      <c r="DI828" s="106"/>
      <c r="DJ828" s="106"/>
      <c r="DK828" s="106"/>
      <c r="DL828" s="106"/>
      <c r="DM828" s="106"/>
      <c r="DN828" s="106"/>
      <c r="DO828" s="106"/>
      <c r="DP828" s="106"/>
      <c r="DQ828" s="106"/>
      <c r="DR828" s="106"/>
      <c r="DS828" s="106"/>
      <c r="DT828" s="106"/>
      <c r="DU828" s="106"/>
      <c r="DV828" s="106"/>
      <c r="DW828" s="106"/>
      <c r="DX828" s="106"/>
      <c r="DY828" s="106"/>
      <c r="DZ828" s="106"/>
      <c r="EA828" s="106"/>
      <c r="EB828" s="106"/>
      <c r="EC828" s="106"/>
      <c r="ED828" s="106"/>
      <c r="EE828" s="106"/>
      <c r="EF828" s="106"/>
      <c r="EG828" s="106"/>
      <c r="EH828" s="106"/>
      <c r="EI828" s="106"/>
      <c r="EJ828" s="106"/>
      <c r="EK828" s="106"/>
      <c r="EL828" s="106"/>
      <c r="EM828" s="106"/>
      <c r="EN828" s="106"/>
      <c r="EO828" s="106"/>
      <c r="EP828" s="106"/>
      <c r="EQ828" s="106"/>
      <c r="ER828" s="106"/>
      <c r="ES828" s="106"/>
      <c r="ET828" s="106"/>
      <c r="EU828" s="106"/>
      <c r="EV828" s="106"/>
      <c r="EW828" s="106"/>
      <c r="EX828" s="106"/>
      <c r="EY828" s="106"/>
      <c r="EZ828" s="106"/>
      <c r="FA828" s="106"/>
      <c r="FB828" s="106"/>
      <c r="FC828" s="106"/>
      <c r="FD828" s="106"/>
      <c r="FE828" s="106"/>
      <c r="FF828" s="106"/>
      <c r="FG828" s="106"/>
      <c r="FH828" s="106"/>
      <c r="FI828" s="106"/>
      <c r="FJ828" s="106"/>
      <c r="FK828" s="106"/>
      <c r="FL828" s="106"/>
      <c r="FM828" s="106"/>
      <c r="FN828" s="106"/>
      <c r="FO828" s="106"/>
      <c r="FP828" s="106"/>
      <c r="FQ828" s="106"/>
      <c r="FR828" s="106"/>
      <c r="FS828" s="106"/>
      <c r="FT828" s="106"/>
      <c r="FU828" s="106"/>
    </row>
    <row r="829" spans="30:177" ht="6.95" customHeight="1" x14ac:dyDescent="0.15"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  <c r="AZ829" s="93"/>
      <c r="BA829" s="93"/>
      <c r="BB829" s="93"/>
      <c r="BC829" s="93"/>
      <c r="BD829" s="93"/>
      <c r="BE829" s="93"/>
      <c r="BF829" s="93"/>
      <c r="BG829" s="93"/>
      <c r="BH829" s="93"/>
      <c r="BI829" s="93"/>
      <c r="BJ829" s="93"/>
      <c r="BK829" s="93"/>
      <c r="BL829" s="93"/>
      <c r="BM829" s="93"/>
      <c r="BN829" s="93"/>
      <c r="BO829" s="93"/>
      <c r="BP829" s="93"/>
      <c r="BQ829" s="93"/>
      <c r="BR829" s="93"/>
      <c r="BS829" s="93"/>
      <c r="BT829" s="93"/>
      <c r="BU829" s="93"/>
      <c r="BV829" s="93"/>
      <c r="BW829" s="93"/>
      <c r="BX829" s="93"/>
      <c r="BY829" s="93"/>
      <c r="BZ829" s="93"/>
      <c r="CA829" s="93"/>
      <c r="CB829" s="93"/>
      <c r="CC829" s="93"/>
      <c r="CD829" s="93"/>
      <c r="CE829" s="93"/>
      <c r="CF829" s="93"/>
      <c r="CG829" s="93"/>
      <c r="CH829" s="93"/>
      <c r="CI829" s="93"/>
      <c r="CJ829" s="93"/>
      <c r="CK829" s="93"/>
      <c r="CL829" s="93"/>
      <c r="CM829" s="93"/>
      <c r="CN829" s="93"/>
      <c r="CO829" s="93"/>
      <c r="CP829" s="93"/>
      <c r="CQ829" s="93"/>
      <c r="CR829" s="93"/>
      <c r="CS829" s="93"/>
      <c r="CT829" s="93"/>
      <c r="CU829" s="93"/>
      <c r="CV829" s="93"/>
      <c r="CW829" s="93"/>
      <c r="CX829" s="93"/>
      <c r="CY829" s="93"/>
      <c r="CZ829" s="106"/>
      <c r="DA829" s="106"/>
      <c r="DB829" s="106"/>
      <c r="DC829" s="106"/>
      <c r="DD829" s="106"/>
      <c r="DE829" s="106"/>
      <c r="DF829" s="106"/>
      <c r="DG829" s="106"/>
      <c r="DH829" s="106"/>
      <c r="DI829" s="106"/>
      <c r="DJ829" s="106"/>
      <c r="DK829" s="106"/>
      <c r="DL829" s="106"/>
      <c r="DM829" s="106"/>
      <c r="DN829" s="106"/>
      <c r="DO829" s="106"/>
      <c r="DP829" s="106"/>
      <c r="DQ829" s="106"/>
      <c r="DR829" s="106"/>
      <c r="DS829" s="106"/>
      <c r="DT829" s="106"/>
      <c r="DU829" s="106"/>
      <c r="DV829" s="106"/>
      <c r="DW829" s="106"/>
      <c r="DX829" s="106"/>
      <c r="DY829" s="106"/>
      <c r="DZ829" s="106"/>
      <c r="EA829" s="106"/>
      <c r="EB829" s="106"/>
      <c r="EC829" s="106"/>
      <c r="ED829" s="106"/>
      <c r="EE829" s="106"/>
      <c r="EF829" s="106"/>
      <c r="EG829" s="106"/>
      <c r="EH829" s="106"/>
      <c r="EI829" s="106"/>
      <c r="EJ829" s="106"/>
      <c r="EK829" s="106"/>
      <c r="EL829" s="106"/>
      <c r="EM829" s="106"/>
      <c r="EN829" s="106"/>
      <c r="EO829" s="106"/>
      <c r="EP829" s="106"/>
      <c r="EQ829" s="106"/>
      <c r="ER829" s="106"/>
      <c r="ES829" s="106"/>
      <c r="ET829" s="106"/>
      <c r="EU829" s="106"/>
      <c r="EV829" s="106"/>
      <c r="EW829" s="106"/>
      <c r="EX829" s="106"/>
      <c r="EY829" s="106"/>
      <c r="EZ829" s="106"/>
      <c r="FA829" s="106"/>
      <c r="FB829" s="106"/>
      <c r="FC829" s="106"/>
      <c r="FD829" s="106"/>
      <c r="FE829" s="106"/>
      <c r="FF829" s="106"/>
      <c r="FG829" s="106"/>
      <c r="FH829" s="106"/>
      <c r="FI829" s="106"/>
      <c r="FJ829" s="106"/>
      <c r="FK829" s="106"/>
      <c r="FL829" s="106"/>
      <c r="FM829" s="106"/>
      <c r="FN829" s="106"/>
      <c r="FO829" s="106"/>
      <c r="FP829" s="106"/>
      <c r="FQ829" s="106"/>
      <c r="FR829" s="106"/>
      <c r="FS829" s="106"/>
      <c r="FT829" s="106"/>
      <c r="FU829" s="106"/>
    </row>
    <row r="830" spans="30:177" ht="6.95" customHeight="1" x14ac:dyDescent="0.15"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  <c r="AZ830" s="93"/>
      <c r="BA830" s="93"/>
      <c r="BB830" s="93"/>
      <c r="BC830" s="93"/>
      <c r="BD830" s="93"/>
      <c r="BE830" s="93"/>
      <c r="BF830" s="93"/>
      <c r="BG830" s="93"/>
      <c r="BH830" s="93"/>
      <c r="BI830" s="93"/>
      <c r="BJ830" s="93"/>
      <c r="BK830" s="93"/>
      <c r="BL830" s="93"/>
      <c r="BM830" s="93"/>
      <c r="BN830" s="93"/>
      <c r="BO830" s="93"/>
      <c r="BP830" s="93"/>
      <c r="BQ830" s="93"/>
      <c r="BR830" s="93"/>
      <c r="BS830" s="93"/>
      <c r="BT830" s="93"/>
      <c r="BU830" s="93"/>
      <c r="BV830" s="93"/>
      <c r="BW830" s="93"/>
      <c r="BX830" s="93"/>
      <c r="BY830" s="93"/>
      <c r="BZ830" s="93"/>
      <c r="CA830" s="93"/>
      <c r="CB830" s="93"/>
      <c r="CC830" s="93"/>
      <c r="CD830" s="93"/>
      <c r="CE830" s="93"/>
      <c r="CF830" s="93"/>
      <c r="CG830" s="93"/>
      <c r="CH830" s="93"/>
      <c r="CI830" s="93"/>
      <c r="CJ830" s="93"/>
      <c r="CK830" s="93"/>
      <c r="CL830" s="93"/>
      <c r="CM830" s="93"/>
      <c r="CN830" s="93"/>
      <c r="CO830" s="93"/>
      <c r="CP830" s="93"/>
      <c r="CQ830" s="93"/>
      <c r="CR830" s="93"/>
      <c r="CS830" s="93"/>
      <c r="CT830" s="93"/>
      <c r="CU830" s="93"/>
      <c r="CV830" s="93"/>
      <c r="CW830" s="93"/>
      <c r="CX830" s="93"/>
      <c r="CY830" s="93"/>
      <c r="CZ830" s="106"/>
      <c r="DA830" s="106"/>
      <c r="DB830" s="106"/>
      <c r="DC830" s="106"/>
      <c r="DD830" s="106"/>
      <c r="DE830" s="106"/>
      <c r="DF830" s="106"/>
      <c r="DG830" s="106"/>
      <c r="DH830" s="106"/>
      <c r="DI830" s="106"/>
      <c r="DJ830" s="106"/>
      <c r="DK830" s="106"/>
      <c r="DL830" s="106"/>
      <c r="DM830" s="106"/>
      <c r="DN830" s="106"/>
      <c r="DO830" s="106"/>
      <c r="DP830" s="106"/>
      <c r="DQ830" s="106"/>
      <c r="DR830" s="106"/>
      <c r="DS830" s="106"/>
      <c r="DT830" s="106"/>
      <c r="DU830" s="106"/>
      <c r="DV830" s="106"/>
      <c r="DW830" s="106"/>
      <c r="DX830" s="106"/>
      <c r="DY830" s="106"/>
      <c r="DZ830" s="106"/>
      <c r="EA830" s="106"/>
      <c r="EB830" s="106"/>
      <c r="EC830" s="106"/>
      <c r="ED830" s="106"/>
      <c r="EE830" s="106"/>
      <c r="EF830" s="106"/>
      <c r="EG830" s="106"/>
      <c r="EH830" s="106"/>
      <c r="EI830" s="106"/>
      <c r="EJ830" s="106"/>
      <c r="EK830" s="106"/>
      <c r="EL830" s="106"/>
      <c r="EM830" s="106"/>
      <c r="EN830" s="106"/>
      <c r="EO830" s="106"/>
      <c r="EP830" s="106"/>
      <c r="EQ830" s="106"/>
      <c r="ER830" s="106"/>
      <c r="ES830" s="106"/>
      <c r="ET830" s="106"/>
      <c r="EU830" s="106"/>
      <c r="EV830" s="106"/>
      <c r="EW830" s="106"/>
      <c r="EX830" s="106"/>
      <c r="EY830" s="106"/>
      <c r="EZ830" s="106"/>
      <c r="FA830" s="106"/>
      <c r="FB830" s="106"/>
      <c r="FC830" s="106"/>
      <c r="FD830" s="106"/>
      <c r="FE830" s="106"/>
      <c r="FF830" s="106"/>
      <c r="FG830" s="106"/>
      <c r="FH830" s="106"/>
      <c r="FI830" s="106"/>
      <c r="FJ830" s="106"/>
      <c r="FK830" s="106"/>
      <c r="FL830" s="106"/>
      <c r="FM830" s="106"/>
      <c r="FN830" s="106"/>
      <c r="FO830" s="106"/>
      <c r="FP830" s="106"/>
      <c r="FQ830" s="106"/>
      <c r="FR830" s="106"/>
      <c r="FS830" s="106"/>
      <c r="FT830" s="106"/>
      <c r="FU830" s="106"/>
    </row>
    <row r="831" spans="30:177" ht="6.95" customHeight="1" x14ac:dyDescent="0.15"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  <c r="AZ831" s="93"/>
      <c r="BA831" s="93"/>
      <c r="BB831" s="93"/>
      <c r="BC831" s="93"/>
      <c r="BD831" s="93"/>
      <c r="BE831" s="93"/>
      <c r="BF831" s="93"/>
      <c r="BG831" s="93"/>
      <c r="BH831" s="93"/>
      <c r="BI831" s="93"/>
      <c r="BJ831" s="93"/>
      <c r="BK831" s="93"/>
      <c r="BL831" s="93"/>
      <c r="BM831" s="93"/>
      <c r="BN831" s="93"/>
      <c r="BO831" s="93"/>
      <c r="BP831" s="93"/>
      <c r="BQ831" s="93"/>
      <c r="BR831" s="93"/>
      <c r="BS831" s="93"/>
      <c r="BT831" s="93"/>
      <c r="BU831" s="93"/>
      <c r="BV831" s="93"/>
      <c r="BW831" s="93"/>
      <c r="BX831" s="93"/>
      <c r="BY831" s="93"/>
      <c r="BZ831" s="93"/>
      <c r="CA831" s="93"/>
      <c r="CB831" s="93"/>
      <c r="CC831" s="93"/>
      <c r="CD831" s="93"/>
      <c r="CE831" s="93"/>
      <c r="CF831" s="93"/>
      <c r="CG831" s="93"/>
      <c r="CH831" s="93"/>
      <c r="CI831" s="93"/>
      <c r="CJ831" s="93"/>
      <c r="CK831" s="93"/>
      <c r="CL831" s="93"/>
      <c r="CM831" s="93"/>
      <c r="CN831" s="93"/>
      <c r="CO831" s="93"/>
      <c r="CP831" s="93"/>
      <c r="CQ831" s="93"/>
      <c r="CR831" s="93"/>
      <c r="CS831" s="93"/>
      <c r="CT831" s="93"/>
      <c r="CU831" s="93"/>
      <c r="CV831" s="93"/>
      <c r="CW831" s="93"/>
      <c r="CX831" s="93"/>
      <c r="CY831" s="93"/>
      <c r="CZ831" s="106"/>
      <c r="DA831" s="106"/>
      <c r="DB831" s="106"/>
      <c r="DC831" s="106"/>
      <c r="DD831" s="106"/>
      <c r="DE831" s="106"/>
      <c r="DF831" s="106"/>
      <c r="DG831" s="106"/>
      <c r="DH831" s="106"/>
      <c r="DI831" s="106"/>
      <c r="DJ831" s="106"/>
      <c r="DK831" s="106"/>
      <c r="DL831" s="106"/>
      <c r="DM831" s="106"/>
      <c r="DN831" s="106"/>
      <c r="DO831" s="106"/>
      <c r="DP831" s="106"/>
      <c r="DQ831" s="106"/>
      <c r="DR831" s="106"/>
      <c r="DS831" s="106"/>
      <c r="DT831" s="106"/>
      <c r="DU831" s="106"/>
      <c r="DV831" s="106"/>
      <c r="DW831" s="106"/>
      <c r="DX831" s="106"/>
      <c r="DY831" s="106"/>
      <c r="DZ831" s="106"/>
      <c r="EA831" s="106"/>
      <c r="EB831" s="106"/>
      <c r="EC831" s="106"/>
      <c r="ED831" s="106"/>
      <c r="EE831" s="106"/>
      <c r="EF831" s="106"/>
      <c r="EG831" s="106"/>
      <c r="EH831" s="106"/>
      <c r="EI831" s="106"/>
      <c r="EJ831" s="106"/>
      <c r="EK831" s="106"/>
      <c r="EL831" s="106"/>
      <c r="EM831" s="106"/>
      <c r="EN831" s="106"/>
      <c r="EO831" s="106"/>
      <c r="EP831" s="106"/>
      <c r="EQ831" s="106"/>
      <c r="ER831" s="106"/>
      <c r="ES831" s="106"/>
      <c r="ET831" s="106"/>
      <c r="EU831" s="106"/>
      <c r="EV831" s="106"/>
      <c r="EW831" s="106"/>
      <c r="EX831" s="106"/>
      <c r="EY831" s="106"/>
      <c r="EZ831" s="106"/>
      <c r="FA831" s="106"/>
      <c r="FB831" s="106"/>
      <c r="FC831" s="106"/>
      <c r="FD831" s="106"/>
      <c r="FE831" s="106"/>
      <c r="FF831" s="106"/>
      <c r="FG831" s="106"/>
      <c r="FH831" s="106"/>
      <c r="FI831" s="106"/>
      <c r="FJ831" s="106"/>
      <c r="FK831" s="106"/>
      <c r="FL831" s="106"/>
      <c r="FM831" s="106"/>
      <c r="FN831" s="106"/>
      <c r="FO831" s="106"/>
      <c r="FP831" s="106"/>
      <c r="FQ831" s="106"/>
      <c r="FR831" s="106"/>
      <c r="FS831" s="106"/>
      <c r="FT831" s="106"/>
      <c r="FU831" s="106"/>
    </row>
    <row r="832" spans="30:177" ht="6.95" customHeight="1" x14ac:dyDescent="0.15"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  <c r="AZ832" s="93"/>
      <c r="BA832" s="93"/>
      <c r="BB832" s="93"/>
      <c r="BC832" s="93"/>
      <c r="BD832" s="93"/>
      <c r="BE832" s="93"/>
      <c r="BF832" s="93"/>
      <c r="BG832" s="93"/>
      <c r="BH832" s="93"/>
      <c r="BI832" s="93"/>
      <c r="BJ832" s="93"/>
      <c r="BK832" s="93"/>
      <c r="BL832" s="93"/>
      <c r="BM832" s="93"/>
      <c r="BN832" s="93"/>
      <c r="BO832" s="93"/>
      <c r="BP832" s="93"/>
      <c r="BQ832" s="93"/>
      <c r="BR832" s="93"/>
      <c r="BS832" s="93"/>
      <c r="BT832" s="93"/>
      <c r="BU832" s="93"/>
      <c r="BV832" s="93"/>
      <c r="BW832" s="93"/>
      <c r="BX832" s="93"/>
      <c r="BY832" s="93"/>
      <c r="BZ832" s="93"/>
      <c r="CA832" s="93"/>
      <c r="CB832" s="93"/>
      <c r="CC832" s="93"/>
      <c r="CD832" s="93"/>
      <c r="CE832" s="93"/>
      <c r="CF832" s="93"/>
      <c r="CG832" s="93"/>
      <c r="CH832" s="93"/>
      <c r="CI832" s="93"/>
      <c r="CJ832" s="93"/>
      <c r="CK832" s="93"/>
      <c r="CL832" s="93"/>
      <c r="CM832" s="93"/>
      <c r="CN832" s="93"/>
      <c r="CO832" s="93"/>
      <c r="CP832" s="93"/>
      <c r="CQ832" s="93"/>
      <c r="CR832" s="93"/>
      <c r="CS832" s="93"/>
      <c r="CT832" s="93"/>
      <c r="CU832" s="93"/>
      <c r="CV832" s="93"/>
      <c r="CW832" s="93"/>
      <c r="CX832" s="93"/>
      <c r="CY832" s="93"/>
      <c r="CZ832" s="106"/>
      <c r="DA832" s="106"/>
      <c r="DB832" s="106"/>
      <c r="DC832" s="106"/>
      <c r="DD832" s="106"/>
      <c r="DE832" s="106"/>
      <c r="DF832" s="106"/>
      <c r="DG832" s="106"/>
      <c r="DH832" s="106"/>
      <c r="DI832" s="106"/>
      <c r="DJ832" s="106"/>
      <c r="DK832" s="106"/>
      <c r="DL832" s="106"/>
      <c r="DM832" s="106"/>
      <c r="DN832" s="106"/>
      <c r="DO832" s="106"/>
      <c r="DP832" s="106"/>
      <c r="DQ832" s="106"/>
      <c r="DR832" s="106"/>
      <c r="DS832" s="106"/>
      <c r="DT832" s="106"/>
      <c r="DU832" s="106"/>
      <c r="DV832" s="106"/>
      <c r="DW832" s="106"/>
      <c r="DX832" s="106"/>
      <c r="DY832" s="106"/>
      <c r="DZ832" s="106"/>
      <c r="EA832" s="106"/>
      <c r="EB832" s="106"/>
      <c r="EC832" s="106"/>
      <c r="ED832" s="106"/>
      <c r="EE832" s="106"/>
      <c r="EF832" s="106"/>
      <c r="EG832" s="106"/>
      <c r="EH832" s="106"/>
      <c r="EI832" s="106"/>
      <c r="EJ832" s="106"/>
      <c r="EK832" s="106"/>
      <c r="EL832" s="106"/>
      <c r="EM832" s="106"/>
      <c r="EN832" s="106"/>
      <c r="EO832" s="106"/>
      <c r="EP832" s="106"/>
      <c r="EQ832" s="106"/>
      <c r="ER832" s="106"/>
      <c r="ES832" s="106"/>
      <c r="ET832" s="106"/>
      <c r="EU832" s="106"/>
      <c r="EV832" s="106"/>
      <c r="EW832" s="106"/>
      <c r="EX832" s="106"/>
      <c r="EY832" s="106"/>
      <c r="EZ832" s="106"/>
      <c r="FA832" s="106"/>
      <c r="FB832" s="106"/>
      <c r="FC832" s="106"/>
      <c r="FD832" s="106"/>
      <c r="FE832" s="106"/>
      <c r="FF832" s="106"/>
      <c r="FG832" s="106"/>
      <c r="FH832" s="106"/>
      <c r="FI832" s="106"/>
      <c r="FJ832" s="106"/>
      <c r="FK832" s="106"/>
      <c r="FL832" s="106"/>
      <c r="FM832" s="106"/>
      <c r="FN832" s="106"/>
      <c r="FO832" s="106"/>
      <c r="FP832" s="106"/>
      <c r="FQ832" s="106"/>
      <c r="FR832" s="106"/>
      <c r="FS832" s="106"/>
      <c r="FT832" s="106"/>
      <c r="FU832" s="106"/>
    </row>
    <row r="833" spans="30:177" ht="6.95" customHeight="1" x14ac:dyDescent="0.15"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  <c r="AZ833" s="93"/>
      <c r="BA833" s="93"/>
      <c r="BB833" s="93"/>
      <c r="BC833" s="93"/>
      <c r="BD833" s="93"/>
      <c r="BE833" s="93"/>
      <c r="BF833" s="93"/>
      <c r="BG833" s="93"/>
      <c r="BH833" s="93"/>
      <c r="BI833" s="93"/>
      <c r="BJ833" s="93"/>
      <c r="BK833" s="93"/>
      <c r="BL833" s="93"/>
      <c r="BM833" s="93"/>
      <c r="BN833" s="93"/>
      <c r="BO833" s="93"/>
      <c r="BP833" s="93"/>
      <c r="BQ833" s="93"/>
      <c r="BR833" s="93"/>
      <c r="BS833" s="93"/>
      <c r="BT833" s="93"/>
      <c r="BU833" s="93"/>
      <c r="BV833" s="93"/>
      <c r="BW833" s="93"/>
      <c r="BX833" s="93"/>
      <c r="BY833" s="93"/>
      <c r="BZ833" s="93"/>
      <c r="CA833" s="93"/>
      <c r="CB833" s="93"/>
      <c r="CC833" s="93"/>
      <c r="CD833" s="93"/>
      <c r="CE833" s="93"/>
      <c r="CF833" s="93"/>
      <c r="CG833" s="93"/>
      <c r="CH833" s="93"/>
      <c r="CI833" s="93"/>
      <c r="CJ833" s="93"/>
      <c r="CK833" s="93"/>
      <c r="CL833" s="93"/>
      <c r="CM833" s="93"/>
      <c r="CN833" s="93"/>
      <c r="CO833" s="93"/>
      <c r="CP833" s="93"/>
      <c r="CQ833" s="93"/>
      <c r="CR833" s="93"/>
      <c r="CS833" s="93"/>
      <c r="CT833" s="93"/>
      <c r="CU833" s="93"/>
      <c r="CV833" s="93"/>
      <c r="CW833" s="93"/>
      <c r="CX833" s="93"/>
      <c r="CY833" s="93"/>
      <c r="CZ833" s="106"/>
      <c r="DA833" s="106"/>
      <c r="DB833" s="106"/>
      <c r="DC833" s="106"/>
      <c r="DD833" s="106"/>
      <c r="DE833" s="106"/>
      <c r="DF833" s="106"/>
      <c r="DG833" s="106"/>
      <c r="DH833" s="106"/>
      <c r="DI833" s="106"/>
      <c r="DJ833" s="106"/>
      <c r="DK833" s="106"/>
      <c r="DL833" s="106"/>
      <c r="DM833" s="106"/>
      <c r="DN833" s="106"/>
      <c r="DO833" s="106"/>
      <c r="DP833" s="106"/>
      <c r="DQ833" s="106"/>
      <c r="DR833" s="106"/>
      <c r="DS833" s="106"/>
      <c r="DT833" s="106"/>
      <c r="DU833" s="106"/>
      <c r="DV833" s="106"/>
      <c r="DW833" s="106"/>
      <c r="DX833" s="106"/>
      <c r="DY833" s="106"/>
      <c r="DZ833" s="106"/>
      <c r="EA833" s="106"/>
      <c r="EB833" s="106"/>
      <c r="EC833" s="106"/>
      <c r="ED833" s="106"/>
      <c r="EE833" s="106"/>
      <c r="EF833" s="106"/>
      <c r="EG833" s="106"/>
      <c r="EH833" s="106"/>
      <c r="EI833" s="106"/>
      <c r="EJ833" s="106"/>
      <c r="EK833" s="106"/>
      <c r="EL833" s="106"/>
      <c r="EM833" s="106"/>
      <c r="EN833" s="106"/>
      <c r="EO833" s="106"/>
      <c r="EP833" s="106"/>
      <c r="EQ833" s="106"/>
      <c r="ER833" s="106"/>
      <c r="ES833" s="106"/>
      <c r="ET833" s="106"/>
      <c r="EU833" s="106"/>
      <c r="EV833" s="106"/>
      <c r="EW833" s="106"/>
      <c r="EX833" s="106"/>
      <c r="EY833" s="106"/>
      <c r="EZ833" s="106"/>
      <c r="FA833" s="106"/>
      <c r="FB833" s="106"/>
      <c r="FC833" s="106"/>
      <c r="FD833" s="106"/>
      <c r="FE833" s="106"/>
      <c r="FF833" s="106"/>
      <c r="FG833" s="106"/>
      <c r="FH833" s="106"/>
      <c r="FI833" s="106"/>
      <c r="FJ833" s="106"/>
      <c r="FK833" s="106"/>
      <c r="FL833" s="106"/>
      <c r="FM833" s="106"/>
      <c r="FN833" s="106"/>
      <c r="FO833" s="106"/>
      <c r="FP833" s="106"/>
      <c r="FQ833" s="106"/>
      <c r="FR833" s="106"/>
      <c r="FS833" s="106"/>
      <c r="FT833" s="106"/>
      <c r="FU833" s="106"/>
    </row>
    <row r="834" spans="30:177" ht="6.95" customHeight="1" x14ac:dyDescent="0.15">
      <c r="AD834" s="93">
        <v>750</v>
      </c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  <c r="AZ834" s="93"/>
      <c r="BA834" s="93"/>
      <c r="BB834" s="93"/>
      <c r="BC834" s="93"/>
      <c r="BD834" s="93"/>
      <c r="BE834" s="93"/>
      <c r="BF834" s="93"/>
      <c r="BG834" s="93"/>
      <c r="BH834" s="93"/>
      <c r="BI834" s="93"/>
      <c r="BJ834" s="93"/>
      <c r="BK834" s="93"/>
      <c r="BL834" s="93"/>
      <c r="BM834" s="93"/>
      <c r="BN834" s="93"/>
      <c r="BO834" s="93"/>
      <c r="BP834" s="93"/>
      <c r="BR834" s="93">
        <v>750</v>
      </c>
      <c r="BS834" s="93"/>
      <c r="BT834" s="93"/>
      <c r="BU834" s="93"/>
      <c r="BV834" s="93"/>
      <c r="BW834" s="93"/>
      <c r="BX834" s="93"/>
      <c r="BY834" s="93"/>
      <c r="BZ834" s="93"/>
      <c r="CA834" s="93"/>
      <c r="CB834" s="93"/>
      <c r="CC834" s="93"/>
      <c r="CD834" s="93"/>
      <c r="CE834" s="93"/>
      <c r="CF834" s="93"/>
      <c r="CG834" s="93"/>
      <c r="CH834" s="93"/>
      <c r="CI834" s="93"/>
      <c r="CJ834" s="93"/>
      <c r="CK834" s="93"/>
      <c r="CL834" s="93"/>
      <c r="CM834" s="93"/>
      <c r="CN834" s="93"/>
      <c r="CO834" s="93"/>
      <c r="CP834" s="93"/>
      <c r="CQ834" s="93"/>
      <c r="CR834" s="93"/>
      <c r="CS834" s="93"/>
      <c r="CT834" s="93"/>
      <c r="CU834" s="93"/>
      <c r="CV834" s="93"/>
      <c r="CW834" s="93"/>
      <c r="CX834" s="93"/>
      <c r="CY834" s="93"/>
      <c r="CZ834" s="106"/>
      <c r="DA834" s="106"/>
      <c r="DB834" s="106"/>
      <c r="DC834" s="106"/>
      <c r="DD834" s="106"/>
      <c r="DE834" s="106"/>
      <c r="DF834" s="106"/>
      <c r="DG834" s="106"/>
      <c r="DH834" s="106"/>
      <c r="DI834" s="106"/>
      <c r="DJ834" s="106"/>
      <c r="DK834" s="106"/>
      <c r="DL834" s="106"/>
      <c r="DM834" s="106"/>
      <c r="DN834" s="106"/>
      <c r="DO834" s="106"/>
      <c r="DP834" s="106"/>
      <c r="DQ834" s="106"/>
      <c r="DR834" s="106"/>
      <c r="DS834" s="106"/>
      <c r="DT834" s="106"/>
      <c r="DU834" s="106"/>
      <c r="DV834" s="106"/>
      <c r="DW834" s="106"/>
      <c r="DX834" s="106"/>
      <c r="DY834" s="106"/>
      <c r="DZ834" s="106"/>
      <c r="EA834" s="106"/>
      <c r="EB834" s="106"/>
      <c r="EC834" s="106"/>
      <c r="ED834" s="106"/>
      <c r="EE834" s="106"/>
      <c r="EF834" s="106"/>
      <c r="EG834" s="106"/>
      <c r="EH834" s="106"/>
      <c r="EI834" s="106"/>
      <c r="EJ834" s="106"/>
      <c r="EK834" s="106"/>
      <c r="EL834" s="106"/>
      <c r="EM834" s="106"/>
      <c r="EN834" s="106"/>
      <c r="EO834" s="106"/>
      <c r="EP834" s="106"/>
      <c r="EQ834" s="106"/>
      <c r="ER834" s="106"/>
      <c r="ES834" s="106"/>
      <c r="ET834" s="106"/>
      <c r="EU834" s="106"/>
      <c r="EV834" s="106"/>
      <c r="EW834" s="106"/>
      <c r="EX834" s="106"/>
      <c r="EY834" s="106"/>
      <c r="EZ834" s="106"/>
      <c r="FA834" s="106"/>
      <c r="FB834" s="106"/>
      <c r="FC834" s="106"/>
      <c r="FD834" s="106"/>
      <c r="FE834" s="106"/>
      <c r="FF834" s="106"/>
      <c r="FG834" s="106"/>
      <c r="FH834" s="106"/>
      <c r="FI834" s="106"/>
      <c r="FJ834" s="106"/>
      <c r="FK834" s="106"/>
      <c r="FL834" s="106"/>
      <c r="FM834" s="106"/>
      <c r="FN834" s="106"/>
      <c r="FO834" s="106"/>
      <c r="FP834" s="106"/>
      <c r="FQ834" s="106"/>
      <c r="FR834" s="106"/>
      <c r="FS834" s="106"/>
      <c r="FT834" s="106"/>
      <c r="FU834" s="106"/>
    </row>
    <row r="835" spans="30:177" ht="6.95" customHeight="1" x14ac:dyDescent="0.15"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  <c r="AZ835" s="93"/>
      <c r="BA835" s="93"/>
      <c r="BB835" s="93"/>
      <c r="BC835" s="93"/>
      <c r="BD835" s="93"/>
      <c r="BE835" s="93"/>
      <c r="BF835" s="93"/>
      <c r="BG835" s="93"/>
      <c r="BH835" s="93"/>
      <c r="BI835" s="93"/>
      <c r="BJ835" s="93"/>
      <c r="BK835" s="93"/>
      <c r="BL835" s="93"/>
      <c r="BM835" s="93"/>
      <c r="BN835" s="93"/>
      <c r="BO835" s="93"/>
      <c r="BP835" s="93"/>
      <c r="BR835" s="93"/>
      <c r="BS835" s="93"/>
      <c r="BT835" s="93"/>
      <c r="BU835" s="93"/>
      <c r="BV835" s="93"/>
      <c r="BW835" s="93"/>
      <c r="BX835" s="93"/>
      <c r="BY835" s="93"/>
      <c r="BZ835" s="93"/>
      <c r="CA835" s="93"/>
      <c r="CB835" s="93"/>
      <c r="CC835" s="93"/>
      <c r="CD835" s="93"/>
      <c r="CE835" s="93"/>
      <c r="CF835" s="93"/>
      <c r="CG835" s="93"/>
      <c r="CH835" s="93"/>
      <c r="CI835" s="93"/>
      <c r="CJ835" s="93"/>
      <c r="CK835" s="93"/>
      <c r="CL835" s="93"/>
      <c r="CM835" s="93"/>
      <c r="CN835" s="93"/>
      <c r="CO835" s="93"/>
      <c r="CP835" s="93"/>
      <c r="CQ835" s="93"/>
      <c r="CR835" s="93"/>
      <c r="CS835" s="93"/>
      <c r="CT835" s="93"/>
      <c r="CU835" s="93"/>
      <c r="CV835" s="93"/>
      <c r="CW835" s="93"/>
      <c r="CX835" s="93"/>
      <c r="CY835" s="93"/>
      <c r="CZ835" s="106"/>
      <c r="DA835" s="106"/>
      <c r="DB835" s="106"/>
      <c r="DC835" s="106"/>
      <c r="DD835" s="106"/>
      <c r="DE835" s="106"/>
      <c r="DF835" s="106"/>
      <c r="DG835" s="106"/>
      <c r="DH835" s="106"/>
      <c r="DI835" s="106"/>
      <c r="DJ835" s="106"/>
      <c r="DK835" s="106"/>
      <c r="DL835" s="106"/>
      <c r="DM835" s="106"/>
      <c r="DN835" s="106"/>
      <c r="DO835" s="106"/>
      <c r="DP835" s="106"/>
      <c r="DQ835" s="106"/>
      <c r="DR835" s="106"/>
      <c r="DS835" s="106"/>
      <c r="DT835" s="106"/>
      <c r="DU835" s="106"/>
      <c r="DV835" s="106"/>
      <c r="DW835" s="106"/>
      <c r="DX835" s="106"/>
      <c r="DY835" s="106"/>
      <c r="DZ835" s="106"/>
      <c r="EA835" s="106"/>
      <c r="EB835" s="106"/>
      <c r="EC835" s="106"/>
      <c r="ED835" s="106"/>
      <c r="EE835" s="106"/>
      <c r="EF835" s="106"/>
      <c r="EG835" s="106"/>
      <c r="EH835" s="106"/>
      <c r="EI835" s="106"/>
      <c r="EJ835" s="106"/>
      <c r="EK835" s="106"/>
      <c r="EL835" s="106"/>
      <c r="EM835" s="106"/>
      <c r="EN835" s="106"/>
      <c r="EO835" s="106"/>
      <c r="EP835" s="106"/>
      <c r="EQ835" s="106"/>
      <c r="ER835" s="106"/>
      <c r="ES835" s="106"/>
      <c r="ET835" s="106"/>
      <c r="EU835" s="106"/>
      <c r="EV835" s="106"/>
      <c r="EW835" s="106"/>
      <c r="EX835" s="106"/>
      <c r="EY835" s="106"/>
      <c r="EZ835" s="106"/>
      <c r="FA835" s="106"/>
      <c r="FB835" s="106"/>
      <c r="FC835" s="106"/>
      <c r="FD835" s="106"/>
      <c r="FE835" s="106"/>
      <c r="FF835" s="106"/>
      <c r="FG835" s="106"/>
      <c r="FH835" s="106"/>
      <c r="FI835" s="106"/>
      <c r="FJ835" s="106"/>
      <c r="FK835" s="106"/>
      <c r="FL835" s="106"/>
      <c r="FM835" s="106"/>
      <c r="FN835" s="106"/>
      <c r="FO835" s="106"/>
      <c r="FP835" s="106"/>
      <c r="FQ835" s="106"/>
      <c r="FR835" s="106"/>
      <c r="FS835" s="106"/>
      <c r="FT835" s="106"/>
      <c r="FU835" s="106"/>
    </row>
    <row r="836" spans="30:177" ht="6.95" customHeight="1" x14ac:dyDescent="0.15"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  <c r="AZ836" s="93"/>
      <c r="BA836" s="93"/>
      <c r="BB836" s="93"/>
      <c r="BC836" s="93"/>
      <c r="BD836" s="93"/>
      <c r="BE836" s="93"/>
      <c r="BF836" s="93"/>
      <c r="BG836" s="93"/>
      <c r="BH836" s="93"/>
      <c r="BI836" s="93"/>
      <c r="BJ836" s="93"/>
      <c r="BK836" s="93"/>
      <c r="BL836" s="93"/>
      <c r="BM836" s="93"/>
      <c r="BN836" s="93"/>
      <c r="BO836" s="93"/>
      <c r="BP836" s="93"/>
      <c r="BR836" s="93"/>
      <c r="BS836" s="93"/>
      <c r="BT836" s="93"/>
      <c r="BU836" s="93"/>
      <c r="BV836" s="93"/>
      <c r="BW836" s="93"/>
      <c r="BX836" s="93"/>
      <c r="BY836" s="93"/>
      <c r="BZ836" s="93"/>
      <c r="CA836" s="93"/>
      <c r="CB836" s="93"/>
      <c r="CC836" s="93"/>
      <c r="CD836" s="93"/>
      <c r="CE836" s="93"/>
      <c r="CF836" s="93"/>
      <c r="CG836" s="93"/>
      <c r="CH836" s="93"/>
      <c r="CI836" s="93"/>
      <c r="CJ836" s="93"/>
      <c r="CK836" s="93"/>
      <c r="CL836" s="93"/>
      <c r="CM836" s="93"/>
      <c r="CN836" s="93"/>
      <c r="CO836" s="93"/>
      <c r="CP836" s="93"/>
      <c r="CQ836" s="93"/>
      <c r="CR836" s="93"/>
      <c r="CS836" s="93"/>
      <c r="CT836" s="93"/>
      <c r="CU836" s="93"/>
      <c r="CV836" s="93"/>
      <c r="CW836" s="93"/>
      <c r="CX836" s="93"/>
      <c r="CY836" s="93"/>
      <c r="CZ836" s="106"/>
      <c r="DA836" s="106"/>
      <c r="DB836" s="106"/>
      <c r="DC836" s="106"/>
      <c r="DD836" s="106"/>
      <c r="DE836" s="106"/>
      <c r="DF836" s="106"/>
      <c r="DG836" s="106"/>
      <c r="DH836" s="106"/>
      <c r="DI836" s="106"/>
      <c r="DJ836" s="106"/>
      <c r="DK836" s="106"/>
      <c r="DL836" s="106"/>
      <c r="DM836" s="106"/>
      <c r="DN836" s="106"/>
      <c r="DO836" s="106"/>
      <c r="DP836" s="106"/>
      <c r="DQ836" s="106"/>
      <c r="DR836" s="106"/>
      <c r="DS836" s="106"/>
      <c r="DT836" s="106"/>
      <c r="DU836" s="106"/>
      <c r="DV836" s="106"/>
      <c r="DW836" s="106"/>
      <c r="DX836" s="106"/>
      <c r="DY836" s="106"/>
      <c r="DZ836" s="106"/>
      <c r="EA836" s="106"/>
      <c r="EB836" s="106"/>
      <c r="EC836" s="106"/>
      <c r="ED836" s="106"/>
      <c r="EE836" s="106"/>
      <c r="EF836" s="106"/>
      <c r="EG836" s="106"/>
      <c r="EH836" s="106"/>
      <c r="EI836" s="106"/>
      <c r="EJ836" s="106"/>
      <c r="EK836" s="106"/>
      <c r="EL836" s="106"/>
      <c r="EM836" s="106"/>
      <c r="EN836" s="106"/>
      <c r="EO836" s="106"/>
      <c r="EP836" s="106"/>
      <c r="EQ836" s="106"/>
      <c r="ER836" s="106"/>
      <c r="ES836" s="106"/>
      <c r="ET836" s="106"/>
      <c r="EU836" s="106"/>
      <c r="EV836" s="106"/>
      <c r="EW836" s="106"/>
      <c r="EX836" s="106"/>
      <c r="EY836" s="106"/>
      <c r="EZ836" s="106"/>
      <c r="FA836" s="106"/>
      <c r="FB836" s="106"/>
      <c r="FC836" s="106"/>
      <c r="FD836" s="106"/>
      <c r="FE836" s="106"/>
      <c r="FF836" s="106"/>
      <c r="FG836" s="106"/>
      <c r="FH836" s="106"/>
      <c r="FI836" s="106"/>
      <c r="FJ836" s="106"/>
      <c r="FK836" s="106"/>
      <c r="FL836" s="106"/>
      <c r="FM836" s="106"/>
      <c r="FN836" s="106"/>
      <c r="FO836" s="106"/>
      <c r="FP836" s="106"/>
      <c r="FQ836" s="106"/>
      <c r="FR836" s="106"/>
      <c r="FS836" s="106"/>
      <c r="FT836" s="106"/>
      <c r="FU836" s="106"/>
    </row>
    <row r="837" spans="30:177" ht="6.95" customHeight="1" x14ac:dyDescent="0.15"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  <c r="AZ837" s="93"/>
      <c r="BA837" s="93"/>
      <c r="BB837" s="93"/>
      <c r="BC837" s="93"/>
      <c r="BD837" s="93"/>
      <c r="BE837" s="93"/>
      <c r="BF837" s="93"/>
      <c r="BG837" s="93"/>
      <c r="BH837" s="93"/>
      <c r="BI837" s="93"/>
      <c r="BJ837" s="93"/>
      <c r="BK837" s="93"/>
      <c r="BL837" s="93"/>
      <c r="BM837" s="93"/>
      <c r="BN837" s="93"/>
      <c r="BO837" s="93"/>
      <c r="BP837" s="93"/>
      <c r="BR837" s="93"/>
      <c r="BS837" s="93"/>
      <c r="BT837" s="93"/>
      <c r="BU837" s="93"/>
      <c r="BV837" s="93"/>
      <c r="BW837" s="93"/>
      <c r="BX837" s="93"/>
      <c r="BY837" s="93"/>
      <c r="BZ837" s="93"/>
      <c r="CA837" s="93"/>
      <c r="CB837" s="93"/>
      <c r="CC837" s="93"/>
      <c r="CD837" s="93"/>
      <c r="CE837" s="93"/>
      <c r="CF837" s="93"/>
      <c r="CG837" s="93"/>
      <c r="CH837" s="93"/>
      <c r="CI837" s="93"/>
      <c r="CJ837" s="93"/>
      <c r="CK837" s="93"/>
      <c r="CL837" s="93"/>
      <c r="CM837" s="93"/>
      <c r="CN837" s="93"/>
      <c r="CO837" s="93"/>
      <c r="CP837" s="93"/>
      <c r="CQ837" s="93"/>
      <c r="CR837" s="93"/>
      <c r="CS837" s="93"/>
      <c r="CT837" s="93"/>
      <c r="CU837" s="93"/>
      <c r="CV837" s="93"/>
      <c r="CW837" s="93"/>
      <c r="CX837" s="93"/>
      <c r="CY837" s="93"/>
      <c r="CZ837" s="106"/>
      <c r="DA837" s="106"/>
      <c r="DB837" s="106"/>
      <c r="DC837" s="106"/>
      <c r="DD837" s="106"/>
      <c r="DE837" s="106"/>
      <c r="DF837" s="106"/>
      <c r="DG837" s="106"/>
      <c r="DH837" s="106"/>
      <c r="DI837" s="106"/>
      <c r="DJ837" s="106"/>
      <c r="DK837" s="106"/>
      <c r="DL837" s="106"/>
      <c r="DM837" s="106"/>
      <c r="DN837" s="106"/>
      <c r="DO837" s="106"/>
      <c r="DP837" s="106"/>
      <c r="DQ837" s="106"/>
      <c r="DR837" s="106"/>
      <c r="DS837" s="106"/>
      <c r="DT837" s="106"/>
      <c r="DU837" s="106"/>
      <c r="DV837" s="106"/>
      <c r="DW837" s="106"/>
      <c r="DX837" s="106"/>
      <c r="DY837" s="106"/>
      <c r="DZ837" s="106"/>
      <c r="EA837" s="106"/>
      <c r="EB837" s="106"/>
      <c r="EC837" s="106"/>
      <c r="ED837" s="106"/>
      <c r="EE837" s="106"/>
      <c r="EF837" s="106"/>
      <c r="EG837" s="106"/>
      <c r="EH837" s="106"/>
      <c r="EI837" s="106"/>
      <c r="EJ837" s="106"/>
      <c r="EK837" s="106"/>
      <c r="EL837" s="106"/>
      <c r="EM837" s="106"/>
      <c r="EN837" s="106"/>
      <c r="EO837" s="106"/>
      <c r="EP837" s="106"/>
      <c r="EQ837" s="106"/>
      <c r="ER837" s="106"/>
      <c r="ES837" s="106"/>
      <c r="ET837" s="106"/>
      <c r="EU837" s="106"/>
      <c r="EV837" s="106"/>
      <c r="EW837" s="106"/>
      <c r="EX837" s="106"/>
      <c r="EY837" s="106"/>
      <c r="EZ837" s="106"/>
      <c r="FA837" s="106"/>
      <c r="FB837" s="106"/>
      <c r="FC837" s="106"/>
      <c r="FD837" s="106"/>
      <c r="FE837" s="106"/>
      <c r="FF837" s="106"/>
      <c r="FG837" s="106"/>
      <c r="FH837" s="106"/>
      <c r="FI837" s="106"/>
      <c r="FJ837" s="106"/>
      <c r="FK837" s="106"/>
      <c r="FL837" s="106"/>
      <c r="FM837" s="106"/>
      <c r="FN837" s="106"/>
      <c r="FO837" s="106"/>
      <c r="FP837" s="106"/>
      <c r="FQ837" s="106"/>
      <c r="FR837" s="106"/>
      <c r="FS837" s="106"/>
      <c r="FT837" s="106"/>
      <c r="FU837" s="106"/>
    </row>
    <row r="838" spans="30:177" ht="6.95" customHeight="1" x14ac:dyDescent="0.15"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  <c r="AZ838" s="93"/>
      <c r="BA838" s="93"/>
      <c r="BB838" s="93"/>
      <c r="BC838" s="93"/>
      <c r="BD838" s="93"/>
      <c r="BE838" s="93"/>
      <c r="BF838" s="93"/>
      <c r="BG838" s="93"/>
      <c r="BH838" s="93"/>
      <c r="BI838" s="93"/>
      <c r="BJ838" s="93"/>
      <c r="BK838" s="93"/>
      <c r="BL838" s="93"/>
      <c r="BM838" s="93"/>
      <c r="BN838" s="93"/>
      <c r="BO838" s="93"/>
      <c r="BP838" s="93"/>
      <c r="BR838" s="93"/>
      <c r="BS838" s="93"/>
      <c r="BT838" s="93"/>
      <c r="BU838" s="93"/>
      <c r="BV838" s="93"/>
      <c r="BW838" s="93"/>
      <c r="BX838" s="93"/>
      <c r="BY838" s="93"/>
      <c r="BZ838" s="93"/>
      <c r="CA838" s="93"/>
      <c r="CB838" s="93"/>
      <c r="CC838" s="93"/>
      <c r="CD838" s="93"/>
      <c r="CE838" s="93"/>
      <c r="CF838" s="93"/>
      <c r="CG838" s="93"/>
      <c r="CH838" s="93"/>
      <c r="CI838" s="93"/>
      <c r="CJ838" s="93"/>
      <c r="CK838" s="93"/>
      <c r="CL838" s="93"/>
      <c r="CM838" s="93"/>
      <c r="CN838" s="93"/>
      <c r="CO838" s="93"/>
      <c r="CP838" s="93"/>
      <c r="CQ838" s="93"/>
      <c r="CR838" s="93"/>
      <c r="CS838" s="93"/>
      <c r="CT838" s="93"/>
      <c r="CU838" s="93"/>
      <c r="CV838" s="93"/>
      <c r="CW838" s="93"/>
      <c r="CX838" s="93"/>
      <c r="CY838" s="93"/>
      <c r="CZ838" s="106"/>
      <c r="DA838" s="106"/>
      <c r="DB838" s="106"/>
      <c r="DC838" s="106"/>
      <c r="DD838" s="106"/>
      <c r="DE838" s="106"/>
      <c r="DF838" s="106"/>
      <c r="DG838" s="106"/>
      <c r="DH838" s="106"/>
      <c r="DI838" s="106"/>
      <c r="DJ838" s="106"/>
      <c r="DK838" s="106"/>
      <c r="DL838" s="106"/>
      <c r="DM838" s="106"/>
      <c r="DN838" s="106"/>
      <c r="DO838" s="106"/>
      <c r="DP838" s="106"/>
      <c r="DQ838" s="106"/>
      <c r="DR838" s="106"/>
      <c r="DS838" s="106"/>
      <c r="DT838" s="106"/>
      <c r="DU838" s="106"/>
      <c r="DV838" s="106"/>
      <c r="DW838" s="106"/>
      <c r="DX838" s="106"/>
      <c r="DY838" s="106"/>
      <c r="DZ838" s="106"/>
      <c r="EA838" s="106"/>
      <c r="EB838" s="106"/>
      <c r="EC838" s="106"/>
      <c r="ED838" s="106"/>
      <c r="EE838" s="106"/>
      <c r="EF838" s="106"/>
      <c r="EG838" s="106"/>
      <c r="EH838" s="106"/>
      <c r="EI838" s="106"/>
      <c r="EJ838" s="106"/>
      <c r="EK838" s="106"/>
      <c r="EL838" s="106"/>
      <c r="EM838" s="106"/>
      <c r="EN838" s="106"/>
      <c r="EO838" s="106"/>
      <c r="EP838" s="106"/>
      <c r="EQ838" s="106"/>
      <c r="ER838" s="106"/>
      <c r="ES838" s="106"/>
      <c r="ET838" s="106"/>
      <c r="EU838" s="106"/>
      <c r="EV838" s="106"/>
      <c r="EW838" s="106"/>
      <c r="EX838" s="106"/>
      <c r="EY838" s="106"/>
      <c r="EZ838" s="106"/>
      <c r="FA838" s="106"/>
      <c r="FB838" s="106"/>
      <c r="FC838" s="106"/>
      <c r="FD838" s="106"/>
      <c r="FE838" s="106"/>
      <c r="FF838" s="106"/>
      <c r="FG838" s="106"/>
      <c r="FH838" s="106"/>
      <c r="FI838" s="106"/>
      <c r="FJ838" s="106"/>
      <c r="FK838" s="106"/>
      <c r="FL838" s="106"/>
      <c r="FM838" s="106"/>
      <c r="FN838" s="106"/>
      <c r="FO838" s="106"/>
      <c r="FP838" s="106"/>
      <c r="FQ838" s="106"/>
      <c r="FR838" s="106"/>
      <c r="FS838" s="106"/>
      <c r="FT838" s="106"/>
      <c r="FU838" s="106"/>
    </row>
    <row r="839" spans="30:177" ht="6.95" customHeight="1" x14ac:dyDescent="0.15"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  <c r="AZ839" s="93"/>
      <c r="BA839" s="93"/>
      <c r="BB839" s="93"/>
      <c r="BC839" s="93"/>
      <c r="BD839" s="93"/>
      <c r="BE839" s="93"/>
      <c r="BF839" s="93"/>
      <c r="BG839" s="93"/>
      <c r="BH839" s="93"/>
      <c r="BI839" s="93"/>
      <c r="BJ839" s="93"/>
      <c r="BK839" s="93"/>
      <c r="BL839" s="93"/>
      <c r="BM839" s="93"/>
      <c r="BN839" s="93"/>
      <c r="BO839" s="93"/>
      <c r="BP839" s="93"/>
      <c r="BR839" s="93"/>
      <c r="BS839" s="93"/>
      <c r="BT839" s="93"/>
      <c r="BU839" s="93"/>
      <c r="BV839" s="93"/>
      <c r="BW839" s="93"/>
      <c r="BX839" s="93"/>
      <c r="BY839" s="93"/>
      <c r="BZ839" s="93"/>
      <c r="CA839" s="93"/>
      <c r="CB839" s="93"/>
      <c r="CC839" s="93"/>
      <c r="CD839" s="93"/>
      <c r="CE839" s="93"/>
      <c r="CF839" s="93"/>
      <c r="CG839" s="93"/>
      <c r="CH839" s="93"/>
      <c r="CI839" s="93"/>
      <c r="CJ839" s="93"/>
      <c r="CK839" s="93"/>
      <c r="CL839" s="93"/>
      <c r="CM839" s="93"/>
      <c r="CN839" s="93"/>
      <c r="CO839" s="93"/>
      <c r="CP839" s="93"/>
      <c r="CQ839" s="93"/>
      <c r="CR839" s="93"/>
      <c r="CS839" s="93"/>
      <c r="CT839" s="93"/>
      <c r="CU839" s="93"/>
      <c r="CV839" s="93"/>
      <c r="CW839" s="93"/>
      <c r="CX839" s="93"/>
      <c r="CY839" s="93"/>
      <c r="CZ839" s="106"/>
      <c r="DA839" s="106"/>
      <c r="DB839" s="106"/>
      <c r="DC839" s="106"/>
      <c r="DD839" s="106"/>
      <c r="DE839" s="106"/>
      <c r="DF839" s="106"/>
      <c r="DG839" s="106"/>
      <c r="DH839" s="106"/>
      <c r="DI839" s="106"/>
      <c r="DJ839" s="106"/>
      <c r="DK839" s="106"/>
      <c r="DL839" s="106"/>
      <c r="DM839" s="106"/>
      <c r="DN839" s="106"/>
      <c r="DO839" s="106"/>
      <c r="DP839" s="106"/>
      <c r="DQ839" s="106"/>
      <c r="DR839" s="106"/>
      <c r="DS839" s="106"/>
      <c r="DT839" s="106"/>
      <c r="DU839" s="106"/>
      <c r="DV839" s="106"/>
      <c r="DW839" s="106"/>
      <c r="DX839" s="106"/>
      <c r="DY839" s="106"/>
      <c r="DZ839" s="106"/>
      <c r="EA839" s="106"/>
      <c r="EB839" s="106"/>
      <c r="EC839" s="106"/>
      <c r="ED839" s="106"/>
      <c r="EE839" s="106"/>
      <c r="EF839" s="106"/>
      <c r="EG839" s="106"/>
      <c r="EH839" s="106"/>
      <c r="EI839" s="106"/>
      <c r="EJ839" s="106"/>
      <c r="EK839" s="106"/>
      <c r="EL839" s="106"/>
      <c r="EM839" s="106"/>
      <c r="EN839" s="106"/>
      <c r="EO839" s="106"/>
      <c r="EP839" s="106"/>
      <c r="EQ839" s="106"/>
      <c r="ER839" s="106"/>
      <c r="ES839" s="106"/>
      <c r="ET839" s="106"/>
      <c r="EU839" s="106"/>
      <c r="EV839" s="106"/>
      <c r="EW839" s="106"/>
      <c r="EX839" s="106"/>
      <c r="EY839" s="106"/>
      <c r="EZ839" s="106"/>
      <c r="FA839" s="106"/>
      <c r="FB839" s="106"/>
      <c r="FC839" s="106"/>
      <c r="FD839" s="106"/>
      <c r="FE839" s="106"/>
      <c r="FF839" s="106"/>
      <c r="FG839" s="106"/>
      <c r="FH839" s="106"/>
      <c r="FI839" s="106"/>
      <c r="FJ839" s="106"/>
      <c r="FK839" s="106"/>
      <c r="FL839" s="106"/>
      <c r="FM839" s="106"/>
      <c r="FN839" s="106"/>
      <c r="FO839" s="106"/>
      <c r="FP839" s="106"/>
      <c r="FQ839" s="106"/>
      <c r="FR839" s="106"/>
      <c r="FS839" s="106"/>
      <c r="FT839" s="106"/>
      <c r="FU839" s="106"/>
    </row>
    <row r="840" spans="30:177" ht="6.95" customHeight="1" x14ac:dyDescent="0.15"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  <c r="AZ840" s="93"/>
      <c r="BA840" s="93"/>
      <c r="BB840" s="93"/>
      <c r="BC840" s="93"/>
      <c r="BD840" s="93"/>
      <c r="BE840" s="93"/>
      <c r="BF840" s="93"/>
      <c r="BG840" s="93"/>
      <c r="BH840" s="93"/>
      <c r="BI840" s="93"/>
      <c r="BJ840" s="93"/>
      <c r="BK840" s="93"/>
      <c r="BL840" s="93"/>
      <c r="BM840" s="93"/>
      <c r="BN840" s="93"/>
      <c r="BO840" s="93"/>
      <c r="BP840" s="93"/>
      <c r="BR840" s="93"/>
      <c r="BS840" s="93"/>
      <c r="BT840" s="93"/>
      <c r="BU840" s="93"/>
      <c r="BV840" s="93"/>
      <c r="BW840" s="93"/>
      <c r="BX840" s="93"/>
      <c r="BY840" s="93"/>
      <c r="BZ840" s="93"/>
      <c r="CA840" s="93"/>
      <c r="CB840" s="93"/>
      <c r="CC840" s="93"/>
      <c r="CD840" s="93"/>
      <c r="CE840" s="93"/>
      <c r="CF840" s="93"/>
      <c r="CG840" s="93"/>
      <c r="CH840" s="93"/>
      <c r="CI840" s="93"/>
      <c r="CJ840" s="93"/>
      <c r="CK840" s="93"/>
      <c r="CL840" s="93"/>
      <c r="CM840" s="93"/>
      <c r="CN840" s="93"/>
      <c r="CO840" s="93"/>
      <c r="CP840" s="93"/>
      <c r="CQ840" s="93"/>
      <c r="CR840" s="93"/>
      <c r="CS840" s="93"/>
      <c r="CT840" s="93"/>
      <c r="CU840" s="93"/>
      <c r="CV840" s="93"/>
      <c r="CW840" s="93"/>
      <c r="CX840" s="93"/>
      <c r="CY840" s="93"/>
      <c r="CZ840" s="106"/>
      <c r="DA840" s="106"/>
      <c r="DB840" s="106"/>
      <c r="DC840" s="106"/>
      <c r="DD840" s="106"/>
      <c r="DE840" s="106"/>
      <c r="DF840" s="106"/>
      <c r="DG840" s="106"/>
      <c r="DH840" s="106"/>
      <c r="DI840" s="106"/>
      <c r="DJ840" s="106"/>
      <c r="DK840" s="106"/>
      <c r="DL840" s="106"/>
      <c r="DM840" s="106"/>
      <c r="DN840" s="106"/>
      <c r="DO840" s="106"/>
      <c r="DP840" s="106"/>
      <c r="DQ840" s="106"/>
      <c r="DR840" s="106"/>
      <c r="DS840" s="106"/>
      <c r="DT840" s="106"/>
      <c r="DU840" s="106"/>
      <c r="DV840" s="106"/>
      <c r="DW840" s="106"/>
      <c r="DX840" s="106"/>
      <c r="DY840" s="106"/>
      <c r="DZ840" s="106"/>
      <c r="EA840" s="106"/>
      <c r="EB840" s="106"/>
      <c r="EC840" s="106"/>
      <c r="ED840" s="106"/>
      <c r="EE840" s="106"/>
      <c r="EF840" s="106"/>
      <c r="EG840" s="106"/>
      <c r="EH840" s="106"/>
      <c r="EI840" s="106"/>
      <c r="EJ840" s="106"/>
      <c r="EK840" s="106"/>
      <c r="EL840" s="106"/>
      <c r="EM840" s="106"/>
      <c r="EN840" s="106"/>
      <c r="EO840" s="106"/>
      <c r="EP840" s="106"/>
      <c r="EQ840" s="106"/>
      <c r="ER840" s="106"/>
      <c r="ES840" s="106"/>
      <c r="ET840" s="106"/>
      <c r="EU840" s="106"/>
      <c r="EV840" s="106"/>
      <c r="EW840" s="106"/>
      <c r="EX840" s="106"/>
      <c r="EY840" s="106"/>
      <c r="EZ840" s="106"/>
      <c r="FA840" s="106"/>
      <c r="FB840" s="106"/>
      <c r="FC840" s="106"/>
      <c r="FD840" s="106"/>
      <c r="FE840" s="106"/>
      <c r="FF840" s="106"/>
      <c r="FG840" s="106"/>
      <c r="FH840" s="106"/>
      <c r="FI840" s="106"/>
      <c r="FJ840" s="106"/>
      <c r="FK840" s="106"/>
      <c r="FL840" s="106"/>
      <c r="FM840" s="106"/>
      <c r="FN840" s="106"/>
      <c r="FO840" s="106"/>
      <c r="FP840" s="106"/>
      <c r="FQ840" s="106"/>
      <c r="FR840" s="106"/>
      <c r="FS840" s="106"/>
      <c r="FT840" s="106"/>
      <c r="FU840" s="106"/>
    </row>
    <row r="841" spans="30:177" ht="6.95" customHeight="1" x14ac:dyDescent="0.15"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  <c r="AZ841" s="93"/>
      <c r="BA841" s="93"/>
      <c r="BB841" s="93"/>
      <c r="BC841" s="93"/>
      <c r="BD841" s="93"/>
      <c r="BE841" s="93"/>
      <c r="BF841" s="93"/>
      <c r="BG841" s="93"/>
      <c r="BH841" s="93"/>
      <c r="BI841" s="93"/>
      <c r="BJ841" s="93"/>
      <c r="BK841" s="93"/>
      <c r="BL841" s="93"/>
      <c r="BM841" s="93"/>
      <c r="BN841" s="93"/>
      <c r="BO841" s="93"/>
      <c r="BP841" s="93"/>
      <c r="BR841" s="93"/>
      <c r="BS841" s="93"/>
      <c r="BT841" s="93"/>
      <c r="BU841" s="93"/>
      <c r="BV841" s="93"/>
      <c r="BW841" s="93"/>
      <c r="BX841" s="93"/>
      <c r="BY841" s="93"/>
      <c r="BZ841" s="93"/>
      <c r="CA841" s="93"/>
      <c r="CB841" s="93"/>
      <c r="CC841" s="93"/>
      <c r="CD841" s="93"/>
      <c r="CE841" s="93"/>
      <c r="CF841" s="93"/>
      <c r="CG841" s="93"/>
      <c r="CH841" s="93"/>
      <c r="CI841" s="93"/>
      <c r="CJ841" s="93"/>
      <c r="CK841" s="93"/>
      <c r="CL841" s="93"/>
      <c r="CM841" s="93"/>
      <c r="CN841" s="93"/>
      <c r="CO841" s="93"/>
      <c r="CP841" s="93"/>
      <c r="CQ841" s="93"/>
      <c r="CR841" s="93"/>
      <c r="CS841" s="93"/>
      <c r="CT841" s="93"/>
      <c r="CU841" s="93"/>
      <c r="CV841" s="93"/>
      <c r="CW841" s="93"/>
      <c r="CX841" s="93"/>
      <c r="CY841" s="93"/>
      <c r="CZ841" s="106"/>
      <c r="DA841" s="106"/>
      <c r="DB841" s="106"/>
      <c r="DC841" s="106"/>
      <c r="DD841" s="106"/>
      <c r="DE841" s="106"/>
      <c r="DF841" s="106"/>
      <c r="DG841" s="106"/>
      <c r="DH841" s="106"/>
      <c r="DI841" s="106"/>
      <c r="DJ841" s="106"/>
      <c r="DK841" s="106"/>
      <c r="DL841" s="106"/>
      <c r="DM841" s="106"/>
      <c r="DN841" s="106"/>
      <c r="DO841" s="106"/>
      <c r="DP841" s="106"/>
      <c r="DQ841" s="106"/>
      <c r="DR841" s="106"/>
      <c r="DS841" s="106"/>
      <c r="DT841" s="106"/>
      <c r="DU841" s="106"/>
      <c r="DV841" s="106"/>
      <c r="DW841" s="106"/>
      <c r="DX841" s="106"/>
      <c r="DY841" s="106"/>
      <c r="DZ841" s="106"/>
      <c r="EA841" s="106"/>
      <c r="EB841" s="106"/>
      <c r="EC841" s="106"/>
      <c r="ED841" s="106"/>
      <c r="EE841" s="106"/>
      <c r="EF841" s="106"/>
      <c r="EG841" s="106"/>
      <c r="EH841" s="106"/>
      <c r="EI841" s="106"/>
      <c r="EJ841" s="106"/>
      <c r="EK841" s="106"/>
      <c r="EL841" s="106"/>
      <c r="EM841" s="106"/>
      <c r="EN841" s="106"/>
      <c r="EO841" s="106"/>
      <c r="EP841" s="106"/>
      <c r="EQ841" s="106"/>
      <c r="ER841" s="106"/>
      <c r="ES841" s="106"/>
      <c r="ET841" s="106"/>
      <c r="EU841" s="106"/>
      <c r="EV841" s="106"/>
      <c r="EW841" s="106"/>
      <c r="EX841" s="106"/>
      <c r="EY841" s="106"/>
      <c r="EZ841" s="106"/>
      <c r="FA841" s="106"/>
      <c r="FB841" s="106"/>
      <c r="FC841" s="106"/>
      <c r="FD841" s="106"/>
      <c r="FE841" s="106"/>
      <c r="FF841" s="106"/>
      <c r="FG841" s="106"/>
      <c r="FH841" s="106"/>
      <c r="FI841" s="106"/>
      <c r="FJ841" s="106"/>
      <c r="FK841" s="106"/>
      <c r="FL841" s="106"/>
      <c r="FM841" s="106"/>
      <c r="FN841" s="106"/>
      <c r="FO841" s="106"/>
      <c r="FP841" s="106"/>
      <c r="FQ841" s="106"/>
      <c r="FR841" s="106"/>
      <c r="FS841" s="106"/>
      <c r="FT841" s="106"/>
      <c r="FU841" s="106"/>
    </row>
    <row r="842" spans="30:177" ht="6.95" customHeight="1" x14ac:dyDescent="0.15"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  <c r="AZ842" s="93"/>
      <c r="BA842" s="93"/>
      <c r="BB842" s="93"/>
      <c r="BC842" s="93"/>
      <c r="BD842" s="93"/>
      <c r="BE842" s="93"/>
      <c r="BF842" s="93"/>
      <c r="BG842" s="93"/>
      <c r="BH842" s="93"/>
      <c r="BI842" s="93"/>
      <c r="BJ842" s="93"/>
      <c r="BK842" s="93"/>
      <c r="BL842" s="93"/>
      <c r="BM842" s="93"/>
      <c r="BN842" s="93"/>
      <c r="BO842" s="93"/>
      <c r="BP842" s="93"/>
      <c r="BR842" s="93"/>
      <c r="BS842" s="93"/>
      <c r="BT842" s="93"/>
      <c r="BU842" s="93"/>
      <c r="BV842" s="93"/>
      <c r="BW842" s="93"/>
      <c r="BX842" s="93"/>
      <c r="BY842" s="93"/>
      <c r="BZ842" s="93"/>
      <c r="CA842" s="93"/>
      <c r="CB842" s="93"/>
      <c r="CC842" s="93"/>
      <c r="CD842" s="93"/>
      <c r="CE842" s="93"/>
      <c r="CF842" s="93"/>
      <c r="CG842" s="93"/>
      <c r="CH842" s="93"/>
      <c r="CI842" s="93"/>
      <c r="CJ842" s="93"/>
      <c r="CK842" s="93"/>
      <c r="CL842" s="93"/>
      <c r="CM842" s="93"/>
      <c r="CN842" s="93"/>
      <c r="CO842" s="93"/>
      <c r="CP842" s="93"/>
      <c r="CQ842" s="93"/>
      <c r="CR842" s="93"/>
      <c r="CS842" s="93"/>
      <c r="CT842" s="93"/>
      <c r="CU842" s="93"/>
      <c r="CV842" s="93"/>
      <c r="CW842" s="93"/>
      <c r="CX842" s="93"/>
      <c r="CY842" s="93"/>
      <c r="CZ842" s="106"/>
      <c r="DA842" s="106"/>
      <c r="DB842" s="106"/>
      <c r="DC842" s="106"/>
      <c r="DD842" s="106"/>
      <c r="DE842" s="106"/>
      <c r="DF842" s="106"/>
      <c r="DG842" s="106"/>
      <c r="DH842" s="106"/>
      <c r="DI842" s="106"/>
      <c r="DJ842" s="106"/>
      <c r="DK842" s="106"/>
      <c r="DL842" s="106"/>
      <c r="DM842" s="106"/>
      <c r="DN842" s="106"/>
      <c r="DO842" s="106"/>
      <c r="DP842" s="106"/>
      <c r="DQ842" s="106"/>
      <c r="DR842" s="106"/>
      <c r="DS842" s="106"/>
      <c r="DT842" s="106"/>
      <c r="DU842" s="106"/>
      <c r="DV842" s="106"/>
      <c r="DW842" s="106"/>
      <c r="DX842" s="106"/>
      <c r="DY842" s="106"/>
      <c r="DZ842" s="106"/>
      <c r="EA842" s="106"/>
      <c r="EB842" s="106"/>
      <c r="EC842" s="106"/>
      <c r="ED842" s="106"/>
      <c r="EE842" s="106"/>
      <c r="EF842" s="106"/>
      <c r="EG842" s="106"/>
      <c r="EH842" s="106"/>
      <c r="EI842" s="106"/>
      <c r="EJ842" s="106"/>
      <c r="EK842" s="106"/>
      <c r="EL842" s="106"/>
      <c r="EM842" s="106"/>
      <c r="EN842" s="106"/>
      <c r="EO842" s="106"/>
      <c r="EP842" s="106"/>
      <c r="EQ842" s="106"/>
      <c r="ER842" s="106"/>
      <c r="ES842" s="106"/>
      <c r="ET842" s="106"/>
      <c r="EU842" s="106"/>
      <c r="EV842" s="106"/>
      <c r="EW842" s="106"/>
      <c r="EX842" s="106"/>
      <c r="EY842" s="106"/>
      <c r="EZ842" s="106"/>
      <c r="FA842" s="106"/>
      <c r="FB842" s="106"/>
      <c r="FC842" s="106"/>
      <c r="FD842" s="106"/>
      <c r="FE842" s="106"/>
      <c r="FF842" s="106"/>
      <c r="FG842" s="106"/>
      <c r="FH842" s="106"/>
      <c r="FI842" s="106"/>
      <c r="FJ842" s="106"/>
      <c r="FK842" s="106"/>
      <c r="FL842" s="106"/>
      <c r="FM842" s="106"/>
      <c r="FN842" s="106"/>
      <c r="FO842" s="106"/>
      <c r="FP842" s="106"/>
      <c r="FQ842" s="106"/>
      <c r="FR842" s="106"/>
      <c r="FS842" s="106"/>
      <c r="FT842" s="106"/>
      <c r="FU842" s="106"/>
    </row>
    <row r="843" spans="30:177" ht="6.95" customHeight="1" x14ac:dyDescent="0.15"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  <c r="AZ843" s="93"/>
      <c r="BA843" s="93"/>
      <c r="BB843" s="93"/>
      <c r="BC843" s="93"/>
      <c r="BD843" s="93"/>
      <c r="BE843" s="93"/>
      <c r="BF843" s="93"/>
      <c r="BG843" s="93"/>
      <c r="BH843" s="93"/>
      <c r="BI843" s="93"/>
      <c r="BJ843" s="93"/>
      <c r="BK843" s="93"/>
      <c r="BL843" s="93"/>
      <c r="BM843" s="93"/>
      <c r="BN843" s="93"/>
      <c r="BO843" s="93"/>
      <c r="BP843" s="93"/>
      <c r="BR843" s="93"/>
      <c r="BS843" s="93"/>
      <c r="BT843" s="93"/>
      <c r="BU843" s="93"/>
      <c r="BV843" s="93"/>
      <c r="BW843" s="93"/>
      <c r="BX843" s="93"/>
      <c r="BY843" s="93"/>
      <c r="BZ843" s="93"/>
      <c r="CA843" s="93"/>
      <c r="CB843" s="93"/>
      <c r="CC843" s="93"/>
      <c r="CD843" s="93"/>
      <c r="CE843" s="93"/>
      <c r="CF843" s="93"/>
      <c r="CG843" s="93"/>
      <c r="CH843" s="93"/>
      <c r="CI843" s="93"/>
      <c r="CJ843" s="93"/>
      <c r="CK843" s="93"/>
      <c r="CL843" s="93"/>
      <c r="CM843" s="93"/>
      <c r="CN843" s="93"/>
      <c r="CO843" s="93"/>
      <c r="CP843" s="93"/>
      <c r="CQ843" s="93"/>
      <c r="CR843" s="93"/>
      <c r="CS843" s="93"/>
      <c r="CT843" s="93"/>
      <c r="CU843" s="93"/>
      <c r="CV843" s="93"/>
      <c r="CW843" s="93"/>
      <c r="CX843" s="93"/>
      <c r="CY843" s="93"/>
      <c r="CZ843" s="106"/>
      <c r="DA843" s="106"/>
      <c r="DB843" s="106"/>
      <c r="DC843" s="106"/>
      <c r="DD843" s="106"/>
      <c r="DE843" s="106"/>
      <c r="DF843" s="106"/>
      <c r="DG843" s="106"/>
      <c r="DH843" s="106"/>
      <c r="DI843" s="106"/>
      <c r="DJ843" s="106"/>
      <c r="DK843" s="106"/>
      <c r="DL843" s="106"/>
      <c r="DM843" s="106"/>
      <c r="DN843" s="106"/>
      <c r="DO843" s="106"/>
      <c r="DP843" s="106"/>
      <c r="DQ843" s="106"/>
      <c r="DR843" s="106"/>
      <c r="DS843" s="106"/>
      <c r="DT843" s="106"/>
      <c r="DU843" s="106"/>
      <c r="DV843" s="106"/>
      <c r="DW843" s="106"/>
      <c r="DX843" s="106"/>
      <c r="DY843" s="106"/>
      <c r="DZ843" s="106"/>
      <c r="EA843" s="106"/>
      <c r="EB843" s="106"/>
      <c r="EC843" s="106"/>
      <c r="ED843" s="106"/>
      <c r="EE843" s="106"/>
      <c r="EF843" s="106"/>
      <c r="EG843" s="106"/>
      <c r="EH843" s="106"/>
      <c r="EI843" s="106"/>
      <c r="EJ843" s="106"/>
      <c r="EK843" s="106"/>
      <c r="EL843" s="106"/>
      <c r="EM843" s="106"/>
      <c r="EN843" s="106"/>
      <c r="EO843" s="106"/>
      <c r="EP843" s="106"/>
      <c r="EQ843" s="106"/>
      <c r="ER843" s="106"/>
      <c r="ES843" s="106"/>
      <c r="ET843" s="106"/>
      <c r="EU843" s="106"/>
      <c r="EV843" s="106"/>
      <c r="EW843" s="106"/>
      <c r="EX843" s="106"/>
      <c r="EY843" s="106"/>
      <c r="EZ843" s="106"/>
      <c r="FA843" s="106"/>
      <c r="FB843" s="106"/>
      <c r="FC843" s="106"/>
      <c r="FD843" s="106"/>
      <c r="FE843" s="106"/>
      <c r="FF843" s="106"/>
      <c r="FG843" s="106"/>
      <c r="FH843" s="106"/>
      <c r="FI843" s="106"/>
      <c r="FJ843" s="106"/>
      <c r="FK843" s="106"/>
      <c r="FL843" s="106"/>
      <c r="FM843" s="106"/>
      <c r="FN843" s="106"/>
      <c r="FO843" s="106"/>
      <c r="FP843" s="106"/>
      <c r="FQ843" s="106"/>
      <c r="FR843" s="106"/>
      <c r="FS843" s="106"/>
      <c r="FT843" s="106"/>
      <c r="FU843" s="106"/>
    </row>
    <row r="844" spans="30:177" ht="6.95" customHeight="1" x14ac:dyDescent="0.15"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  <c r="AZ844" s="93"/>
      <c r="BA844" s="93"/>
      <c r="BB844" s="93"/>
      <c r="BC844" s="93"/>
      <c r="BD844" s="93"/>
      <c r="BE844" s="93"/>
      <c r="BF844" s="93"/>
      <c r="BG844" s="93"/>
      <c r="BH844" s="93"/>
      <c r="BI844" s="93"/>
      <c r="BJ844" s="93"/>
      <c r="BK844" s="93"/>
      <c r="BL844" s="93"/>
      <c r="BM844" s="93"/>
      <c r="BN844" s="93"/>
      <c r="BO844" s="93"/>
      <c r="BP844" s="93"/>
      <c r="BR844" s="93"/>
      <c r="BS844" s="93"/>
      <c r="BT844" s="93"/>
      <c r="BU844" s="93"/>
      <c r="BV844" s="93"/>
      <c r="BW844" s="93"/>
      <c r="BX844" s="93"/>
      <c r="BY844" s="93"/>
      <c r="BZ844" s="93"/>
      <c r="CA844" s="93"/>
      <c r="CB844" s="93"/>
      <c r="CC844" s="93"/>
      <c r="CD844" s="93"/>
      <c r="CE844" s="93"/>
      <c r="CF844" s="93"/>
      <c r="CG844" s="93"/>
      <c r="CH844" s="93"/>
      <c r="CI844" s="93"/>
      <c r="CJ844" s="93"/>
      <c r="CK844" s="93"/>
      <c r="CL844" s="93"/>
      <c r="CM844" s="93"/>
      <c r="CN844" s="93"/>
      <c r="CO844" s="93"/>
      <c r="CP844" s="93"/>
      <c r="CQ844" s="93"/>
      <c r="CR844" s="93"/>
      <c r="CS844" s="93"/>
      <c r="CT844" s="93"/>
      <c r="CU844" s="93"/>
      <c r="CV844" s="93"/>
      <c r="CW844" s="93"/>
      <c r="CX844" s="93"/>
      <c r="CY844" s="93"/>
      <c r="CZ844" s="106"/>
      <c r="DA844" s="106"/>
      <c r="DB844" s="106"/>
      <c r="DC844" s="106"/>
      <c r="DD844" s="106"/>
      <c r="DE844" s="106"/>
      <c r="DF844" s="106"/>
      <c r="DG844" s="106"/>
      <c r="DH844" s="106"/>
      <c r="DI844" s="106"/>
      <c r="DJ844" s="106"/>
      <c r="DK844" s="106"/>
      <c r="DL844" s="106"/>
      <c r="DM844" s="106"/>
      <c r="DN844" s="106"/>
      <c r="DO844" s="106"/>
      <c r="DP844" s="106"/>
      <c r="DQ844" s="106"/>
      <c r="DR844" s="106"/>
      <c r="DS844" s="106"/>
      <c r="DT844" s="106"/>
      <c r="DU844" s="106"/>
      <c r="DV844" s="106"/>
      <c r="DW844" s="106"/>
      <c r="DX844" s="106"/>
      <c r="DY844" s="106"/>
      <c r="DZ844" s="106"/>
      <c r="EA844" s="106"/>
      <c r="EB844" s="106"/>
      <c r="EC844" s="106"/>
      <c r="ED844" s="106"/>
      <c r="EE844" s="106"/>
      <c r="EF844" s="106"/>
      <c r="EG844" s="106"/>
      <c r="EH844" s="106"/>
      <c r="EI844" s="106"/>
      <c r="EJ844" s="106"/>
      <c r="EK844" s="106"/>
      <c r="EL844" s="106"/>
      <c r="EM844" s="106"/>
      <c r="EN844" s="106"/>
      <c r="EO844" s="106"/>
      <c r="EP844" s="106"/>
      <c r="EQ844" s="106"/>
      <c r="ER844" s="106"/>
      <c r="ES844" s="106"/>
      <c r="ET844" s="106"/>
      <c r="EU844" s="106"/>
      <c r="EV844" s="106"/>
      <c r="EW844" s="106"/>
      <c r="EX844" s="106"/>
      <c r="EY844" s="106"/>
      <c r="EZ844" s="106"/>
      <c r="FA844" s="106"/>
      <c r="FB844" s="106"/>
      <c r="FC844" s="106"/>
      <c r="FD844" s="106"/>
      <c r="FE844" s="106"/>
      <c r="FF844" s="106"/>
      <c r="FG844" s="106"/>
      <c r="FH844" s="106"/>
      <c r="FI844" s="106"/>
      <c r="FJ844" s="106"/>
      <c r="FK844" s="106"/>
      <c r="FL844" s="106"/>
      <c r="FM844" s="106"/>
      <c r="FN844" s="106"/>
      <c r="FO844" s="106"/>
      <c r="FP844" s="106"/>
      <c r="FQ844" s="106"/>
      <c r="FR844" s="106"/>
      <c r="FS844" s="106"/>
      <c r="FT844" s="106"/>
      <c r="FU844" s="106"/>
    </row>
    <row r="845" spans="30:177" ht="6.95" customHeight="1" x14ac:dyDescent="0.15"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  <c r="AZ845" s="93"/>
      <c r="BA845" s="93"/>
      <c r="BB845" s="93"/>
      <c r="BC845" s="93"/>
      <c r="BD845" s="93"/>
      <c r="BE845" s="93"/>
      <c r="BF845" s="93"/>
      <c r="BG845" s="93"/>
      <c r="BH845" s="93"/>
      <c r="BI845" s="93"/>
      <c r="BJ845" s="93"/>
      <c r="BK845" s="93"/>
      <c r="BL845" s="93"/>
      <c r="BM845" s="93"/>
      <c r="BN845" s="93"/>
      <c r="BO845" s="93"/>
      <c r="BP845" s="93"/>
      <c r="BR845" s="93"/>
      <c r="BS845" s="93"/>
      <c r="BT845" s="93"/>
      <c r="BU845" s="93"/>
      <c r="BV845" s="93"/>
      <c r="BW845" s="93"/>
      <c r="BX845" s="93"/>
      <c r="BY845" s="93"/>
      <c r="BZ845" s="93"/>
      <c r="CA845" s="93"/>
      <c r="CB845" s="93"/>
      <c r="CC845" s="93"/>
      <c r="CD845" s="93"/>
      <c r="CE845" s="93"/>
      <c r="CF845" s="93"/>
      <c r="CG845" s="93"/>
      <c r="CH845" s="93"/>
      <c r="CI845" s="93"/>
      <c r="CJ845" s="93"/>
      <c r="CK845" s="93"/>
      <c r="CL845" s="93"/>
      <c r="CM845" s="93"/>
      <c r="CN845" s="93"/>
      <c r="CO845" s="93"/>
      <c r="CP845" s="93"/>
      <c r="CQ845" s="93"/>
      <c r="CR845" s="93"/>
      <c r="CS845" s="93"/>
      <c r="CT845" s="93"/>
      <c r="CU845" s="93"/>
      <c r="CV845" s="93"/>
      <c r="CW845" s="93"/>
      <c r="CX845" s="93"/>
      <c r="CY845" s="93"/>
      <c r="CZ845" s="106"/>
      <c r="DA845" s="106"/>
      <c r="DB845" s="106"/>
      <c r="DC845" s="106"/>
      <c r="DD845" s="106"/>
      <c r="DE845" s="106"/>
      <c r="DF845" s="106"/>
      <c r="DG845" s="106"/>
      <c r="DH845" s="106"/>
      <c r="DI845" s="106"/>
      <c r="DJ845" s="106"/>
      <c r="DK845" s="106"/>
      <c r="DL845" s="106"/>
      <c r="DM845" s="106"/>
      <c r="DN845" s="106"/>
      <c r="DO845" s="106"/>
      <c r="DP845" s="106"/>
      <c r="DQ845" s="106"/>
      <c r="DR845" s="106"/>
      <c r="DS845" s="106"/>
      <c r="DT845" s="106"/>
      <c r="DU845" s="106"/>
      <c r="DV845" s="106"/>
      <c r="DW845" s="106"/>
      <c r="DX845" s="106"/>
      <c r="DY845" s="106"/>
      <c r="DZ845" s="106"/>
      <c r="EA845" s="106"/>
      <c r="EB845" s="106"/>
      <c r="EC845" s="106"/>
      <c r="ED845" s="106"/>
      <c r="EE845" s="106"/>
      <c r="EF845" s="106"/>
      <c r="EG845" s="106"/>
      <c r="EH845" s="106"/>
      <c r="EI845" s="106"/>
      <c r="EJ845" s="106"/>
      <c r="EK845" s="106"/>
      <c r="EL845" s="106"/>
      <c r="EM845" s="106"/>
      <c r="EN845" s="106"/>
      <c r="EO845" s="106"/>
      <c r="EP845" s="106"/>
      <c r="EQ845" s="106"/>
      <c r="ER845" s="106"/>
      <c r="ES845" s="106"/>
      <c r="ET845" s="106"/>
      <c r="EU845" s="106"/>
      <c r="EV845" s="106"/>
      <c r="EW845" s="106"/>
      <c r="EX845" s="106"/>
      <c r="EY845" s="106"/>
      <c r="EZ845" s="106"/>
      <c r="FA845" s="106"/>
      <c r="FB845" s="106"/>
      <c r="FC845" s="106"/>
      <c r="FD845" s="106"/>
      <c r="FE845" s="106"/>
      <c r="FF845" s="106"/>
      <c r="FG845" s="106"/>
      <c r="FH845" s="106"/>
      <c r="FI845" s="106"/>
      <c r="FJ845" s="106"/>
      <c r="FK845" s="106"/>
      <c r="FL845" s="106"/>
      <c r="FM845" s="106"/>
      <c r="FN845" s="106"/>
      <c r="FO845" s="106"/>
      <c r="FP845" s="106"/>
      <c r="FQ845" s="106"/>
      <c r="FR845" s="106"/>
      <c r="FS845" s="106"/>
      <c r="FT845" s="106"/>
      <c r="FU845" s="106"/>
    </row>
    <row r="846" spans="30:177" ht="6.95" customHeight="1" x14ac:dyDescent="0.15"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  <c r="AZ846" s="93"/>
      <c r="BA846" s="93"/>
      <c r="BB846" s="93"/>
      <c r="BC846" s="93"/>
      <c r="BD846" s="93"/>
      <c r="BE846" s="93"/>
      <c r="BF846" s="93"/>
      <c r="BG846" s="93"/>
      <c r="BH846" s="93"/>
      <c r="BI846" s="93"/>
      <c r="BJ846" s="93"/>
      <c r="BK846" s="93"/>
      <c r="BL846" s="93"/>
      <c r="BM846" s="93"/>
      <c r="BN846" s="93"/>
      <c r="BO846" s="93"/>
      <c r="BP846" s="93"/>
      <c r="BR846" s="93"/>
      <c r="BS846" s="93"/>
      <c r="BT846" s="93"/>
      <c r="BU846" s="93"/>
      <c r="BV846" s="93"/>
      <c r="BW846" s="93"/>
      <c r="BX846" s="93"/>
      <c r="BY846" s="93"/>
      <c r="BZ846" s="93"/>
      <c r="CA846" s="93"/>
      <c r="CB846" s="93"/>
      <c r="CC846" s="93"/>
      <c r="CD846" s="93"/>
      <c r="CE846" s="93"/>
      <c r="CF846" s="93"/>
      <c r="CG846" s="93"/>
      <c r="CH846" s="93"/>
      <c r="CI846" s="93"/>
      <c r="CJ846" s="93"/>
      <c r="CK846" s="93"/>
      <c r="CL846" s="93"/>
      <c r="CM846" s="93"/>
      <c r="CN846" s="93"/>
      <c r="CO846" s="93"/>
      <c r="CP846" s="93"/>
      <c r="CQ846" s="93"/>
      <c r="CR846" s="93"/>
      <c r="CS846" s="93"/>
      <c r="CT846" s="93"/>
      <c r="CU846" s="93"/>
      <c r="CV846" s="93"/>
      <c r="CW846" s="93"/>
      <c r="CX846" s="93"/>
      <c r="CY846" s="93"/>
      <c r="CZ846" s="106"/>
      <c r="DA846" s="106"/>
      <c r="DB846" s="106"/>
      <c r="DC846" s="106"/>
      <c r="DD846" s="106"/>
      <c r="DE846" s="106"/>
      <c r="DF846" s="106"/>
      <c r="DG846" s="106"/>
      <c r="DH846" s="106"/>
      <c r="DI846" s="106"/>
      <c r="DJ846" s="106"/>
      <c r="DK846" s="106"/>
      <c r="DL846" s="106"/>
      <c r="DM846" s="106"/>
      <c r="DN846" s="106"/>
      <c r="DO846" s="106"/>
      <c r="DP846" s="106"/>
      <c r="DQ846" s="106"/>
      <c r="DR846" s="106"/>
      <c r="DS846" s="106"/>
      <c r="DT846" s="106"/>
      <c r="DU846" s="106"/>
      <c r="DV846" s="106"/>
      <c r="DW846" s="106"/>
      <c r="DX846" s="106"/>
      <c r="DY846" s="106"/>
      <c r="DZ846" s="106"/>
      <c r="EA846" s="106"/>
      <c r="EB846" s="106"/>
      <c r="EC846" s="106"/>
      <c r="ED846" s="106"/>
      <c r="EE846" s="106"/>
      <c r="EF846" s="106"/>
      <c r="EG846" s="106"/>
      <c r="EH846" s="106"/>
      <c r="EI846" s="106"/>
      <c r="EJ846" s="106"/>
      <c r="EK846" s="106"/>
      <c r="EL846" s="106"/>
      <c r="EM846" s="106"/>
      <c r="EN846" s="106"/>
      <c r="EO846" s="106"/>
      <c r="EP846" s="106"/>
      <c r="EQ846" s="106"/>
      <c r="ER846" s="106"/>
      <c r="ES846" s="106"/>
      <c r="ET846" s="106"/>
      <c r="EU846" s="106"/>
      <c r="EV846" s="106"/>
      <c r="EW846" s="106"/>
      <c r="EX846" s="106"/>
      <c r="EY846" s="106"/>
      <c r="EZ846" s="106"/>
      <c r="FA846" s="106"/>
      <c r="FB846" s="106"/>
      <c r="FC846" s="106"/>
      <c r="FD846" s="106"/>
      <c r="FE846" s="106"/>
      <c r="FF846" s="106"/>
      <c r="FG846" s="106"/>
      <c r="FH846" s="106"/>
      <c r="FI846" s="106"/>
      <c r="FJ846" s="106"/>
      <c r="FK846" s="106"/>
      <c r="FL846" s="106"/>
      <c r="FM846" s="106"/>
      <c r="FN846" s="106"/>
      <c r="FO846" s="106"/>
      <c r="FP846" s="106"/>
      <c r="FQ846" s="106"/>
      <c r="FR846" s="106"/>
      <c r="FS846" s="106"/>
      <c r="FT846" s="106"/>
      <c r="FU846" s="106"/>
    </row>
    <row r="847" spans="30:177" ht="6.95" customHeight="1" x14ac:dyDescent="0.15"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  <c r="AZ847" s="93"/>
      <c r="BA847" s="93"/>
      <c r="BB847" s="93"/>
      <c r="BC847" s="93"/>
      <c r="BD847" s="93"/>
      <c r="BE847" s="93"/>
      <c r="BF847" s="93"/>
      <c r="BG847" s="93"/>
      <c r="BH847" s="93"/>
      <c r="BI847" s="93"/>
      <c r="BJ847" s="93"/>
      <c r="BK847" s="93"/>
      <c r="BL847" s="93"/>
      <c r="BM847" s="93"/>
      <c r="BN847" s="93"/>
      <c r="BO847" s="93"/>
      <c r="BP847" s="93"/>
      <c r="BR847" s="93"/>
      <c r="BS847" s="93"/>
      <c r="BT847" s="93"/>
      <c r="BU847" s="93"/>
      <c r="BV847" s="93"/>
      <c r="BW847" s="93"/>
      <c r="BX847" s="93"/>
      <c r="BY847" s="93"/>
      <c r="BZ847" s="93"/>
      <c r="CA847" s="93"/>
      <c r="CB847" s="93"/>
      <c r="CC847" s="93"/>
      <c r="CD847" s="93"/>
      <c r="CE847" s="93"/>
      <c r="CF847" s="93"/>
      <c r="CG847" s="93"/>
      <c r="CH847" s="93"/>
      <c r="CI847" s="93"/>
      <c r="CJ847" s="93"/>
      <c r="CK847" s="93"/>
      <c r="CL847" s="93"/>
      <c r="CM847" s="93"/>
      <c r="CN847" s="93"/>
      <c r="CO847" s="93"/>
      <c r="CP847" s="93"/>
      <c r="CQ847" s="93"/>
      <c r="CR847" s="93"/>
      <c r="CS847" s="93"/>
      <c r="CT847" s="93"/>
      <c r="CU847" s="93"/>
      <c r="CV847" s="93"/>
      <c r="CW847" s="93"/>
      <c r="CX847" s="93"/>
      <c r="CY847" s="93"/>
      <c r="CZ847" s="106"/>
      <c r="DA847" s="106"/>
      <c r="DB847" s="106"/>
      <c r="DC847" s="106"/>
      <c r="DD847" s="106"/>
      <c r="DE847" s="106"/>
      <c r="DF847" s="106"/>
      <c r="DG847" s="106"/>
      <c r="DH847" s="106"/>
      <c r="DI847" s="106"/>
      <c r="DJ847" s="106"/>
      <c r="DK847" s="106"/>
      <c r="DL847" s="106"/>
      <c r="DM847" s="106"/>
      <c r="DN847" s="106"/>
      <c r="DO847" s="106"/>
      <c r="DP847" s="106"/>
      <c r="DQ847" s="106"/>
      <c r="DR847" s="106"/>
      <c r="DS847" s="106"/>
      <c r="DT847" s="106"/>
      <c r="DU847" s="106"/>
      <c r="DV847" s="106"/>
      <c r="DW847" s="106"/>
      <c r="DX847" s="106"/>
      <c r="DY847" s="106"/>
      <c r="DZ847" s="106"/>
      <c r="EA847" s="106"/>
      <c r="EB847" s="106"/>
      <c r="EC847" s="106"/>
      <c r="ED847" s="106"/>
      <c r="EE847" s="106"/>
      <c r="EF847" s="106"/>
      <c r="EG847" s="106"/>
      <c r="EH847" s="106"/>
      <c r="EI847" s="106"/>
      <c r="EJ847" s="106"/>
      <c r="EK847" s="106"/>
      <c r="EL847" s="106"/>
      <c r="EM847" s="106"/>
      <c r="EN847" s="106"/>
      <c r="EO847" s="106"/>
      <c r="EP847" s="106"/>
      <c r="EQ847" s="106"/>
      <c r="ER847" s="106"/>
      <c r="ES847" s="106"/>
      <c r="ET847" s="106"/>
      <c r="EU847" s="106"/>
      <c r="EV847" s="106"/>
      <c r="EW847" s="106"/>
      <c r="EX847" s="106"/>
      <c r="EY847" s="106"/>
      <c r="EZ847" s="106"/>
      <c r="FA847" s="106"/>
      <c r="FB847" s="106"/>
      <c r="FC847" s="106"/>
      <c r="FD847" s="106"/>
      <c r="FE847" s="106"/>
      <c r="FF847" s="106"/>
      <c r="FG847" s="106"/>
      <c r="FH847" s="106"/>
      <c r="FI847" s="106"/>
      <c r="FJ847" s="106"/>
      <c r="FK847" s="106"/>
      <c r="FL847" s="106"/>
      <c r="FM847" s="106"/>
      <c r="FN847" s="106"/>
      <c r="FO847" s="106"/>
      <c r="FP847" s="106"/>
      <c r="FQ847" s="106"/>
      <c r="FR847" s="106"/>
      <c r="FS847" s="106"/>
      <c r="FT847" s="106"/>
      <c r="FU847" s="106"/>
    </row>
    <row r="848" spans="30:177" ht="6.95" customHeight="1" x14ac:dyDescent="0.15"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3"/>
      <c r="BF848" s="93"/>
      <c r="BG848" s="93"/>
      <c r="BH848" s="93"/>
      <c r="BI848" s="93"/>
      <c r="BJ848" s="93"/>
      <c r="BK848" s="93"/>
      <c r="BL848" s="93"/>
      <c r="BM848" s="93"/>
      <c r="BN848" s="93"/>
      <c r="BO848" s="93"/>
      <c r="BP848" s="93"/>
      <c r="BR848" s="93"/>
      <c r="BS848" s="93"/>
      <c r="BT848" s="93"/>
      <c r="BU848" s="93"/>
      <c r="BV848" s="93"/>
      <c r="BW848" s="93"/>
      <c r="BX848" s="93"/>
      <c r="BY848" s="93"/>
      <c r="BZ848" s="93"/>
      <c r="CA848" s="93"/>
      <c r="CB848" s="93"/>
      <c r="CC848" s="93"/>
      <c r="CD848" s="93"/>
      <c r="CE848" s="93"/>
      <c r="CF848" s="93"/>
      <c r="CG848" s="93"/>
      <c r="CH848" s="93"/>
      <c r="CI848" s="93"/>
      <c r="CJ848" s="93"/>
      <c r="CK848" s="93"/>
      <c r="CL848" s="93"/>
      <c r="CM848" s="93"/>
      <c r="CN848" s="93"/>
      <c r="CO848" s="93"/>
      <c r="CP848" s="93"/>
      <c r="CQ848" s="93"/>
      <c r="CR848" s="93"/>
      <c r="CS848" s="93"/>
      <c r="CT848" s="93"/>
      <c r="CU848" s="93"/>
      <c r="CV848" s="93"/>
      <c r="CW848" s="93"/>
      <c r="CX848" s="93"/>
      <c r="CY848" s="93"/>
      <c r="CZ848" s="106"/>
      <c r="DA848" s="106"/>
      <c r="DB848" s="106"/>
      <c r="DC848" s="106"/>
      <c r="DD848" s="106"/>
      <c r="DE848" s="106"/>
      <c r="DF848" s="106"/>
      <c r="DG848" s="106"/>
      <c r="DH848" s="106"/>
      <c r="DI848" s="106"/>
      <c r="DJ848" s="106"/>
      <c r="DK848" s="106"/>
      <c r="DL848" s="106"/>
      <c r="DM848" s="106"/>
      <c r="DN848" s="106"/>
      <c r="DO848" s="106"/>
      <c r="DP848" s="106"/>
      <c r="DQ848" s="106"/>
      <c r="DR848" s="106"/>
      <c r="DS848" s="106"/>
      <c r="DT848" s="106"/>
      <c r="DU848" s="106"/>
      <c r="DV848" s="106"/>
      <c r="DW848" s="106"/>
      <c r="DX848" s="106"/>
      <c r="DY848" s="106"/>
      <c r="DZ848" s="106"/>
      <c r="EA848" s="106"/>
      <c r="EB848" s="106"/>
      <c r="EC848" s="106"/>
      <c r="ED848" s="106"/>
      <c r="EE848" s="106"/>
      <c r="EF848" s="106"/>
      <c r="EG848" s="106"/>
      <c r="EH848" s="106"/>
      <c r="EI848" s="106"/>
      <c r="EJ848" s="106"/>
      <c r="EK848" s="106"/>
      <c r="EL848" s="106"/>
      <c r="EM848" s="106"/>
      <c r="EN848" s="106"/>
      <c r="EO848" s="106"/>
      <c r="EP848" s="106"/>
      <c r="EQ848" s="106"/>
      <c r="ER848" s="106"/>
      <c r="ES848" s="106"/>
      <c r="ET848" s="106"/>
      <c r="EU848" s="106"/>
      <c r="EV848" s="106"/>
      <c r="EW848" s="106"/>
      <c r="EX848" s="106"/>
      <c r="EY848" s="106"/>
      <c r="EZ848" s="106"/>
      <c r="FA848" s="106"/>
      <c r="FB848" s="106"/>
      <c r="FC848" s="106"/>
      <c r="FD848" s="106"/>
      <c r="FE848" s="106"/>
      <c r="FF848" s="106"/>
      <c r="FG848" s="106"/>
      <c r="FH848" s="106"/>
      <c r="FI848" s="106"/>
      <c r="FJ848" s="106"/>
      <c r="FK848" s="106"/>
      <c r="FL848" s="106"/>
      <c r="FM848" s="106"/>
      <c r="FN848" s="106"/>
      <c r="FO848" s="106"/>
      <c r="FP848" s="106"/>
      <c r="FQ848" s="106"/>
      <c r="FR848" s="106"/>
      <c r="FS848" s="106"/>
      <c r="FT848" s="106"/>
      <c r="FU848" s="106"/>
    </row>
    <row r="849" spans="30:177" ht="6.95" customHeight="1" x14ac:dyDescent="0.15"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  <c r="AZ849" s="93"/>
      <c r="BA849" s="93"/>
      <c r="BB849" s="93"/>
      <c r="BC849" s="93"/>
      <c r="BD849" s="93"/>
      <c r="BE849" s="93"/>
      <c r="BF849" s="93"/>
      <c r="BG849" s="93"/>
      <c r="BH849" s="93"/>
      <c r="BI849" s="93"/>
      <c r="BJ849" s="93"/>
      <c r="BK849" s="93"/>
      <c r="BL849" s="93"/>
      <c r="BM849" s="93"/>
      <c r="BN849" s="93"/>
      <c r="BO849" s="93"/>
      <c r="BP849" s="93"/>
      <c r="BR849" s="93"/>
      <c r="BS849" s="93"/>
      <c r="BT849" s="93"/>
      <c r="BU849" s="93"/>
      <c r="BV849" s="93"/>
      <c r="BW849" s="93"/>
      <c r="BX849" s="93"/>
      <c r="BY849" s="93"/>
      <c r="BZ849" s="93"/>
      <c r="CA849" s="93"/>
      <c r="CB849" s="93"/>
      <c r="CC849" s="93"/>
      <c r="CD849" s="93"/>
      <c r="CE849" s="93"/>
      <c r="CF849" s="93"/>
      <c r="CG849" s="93"/>
      <c r="CH849" s="93"/>
      <c r="CI849" s="93"/>
      <c r="CJ849" s="93"/>
      <c r="CK849" s="93"/>
      <c r="CL849" s="93"/>
      <c r="CM849" s="93"/>
      <c r="CN849" s="93"/>
      <c r="CO849" s="93"/>
      <c r="CP849" s="93"/>
      <c r="CQ849" s="93"/>
      <c r="CR849" s="93"/>
      <c r="CS849" s="93"/>
      <c r="CT849" s="93"/>
      <c r="CU849" s="93"/>
      <c r="CV849" s="93"/>
      <c r="CW849" s="93"/>
      <c r="CX849" s="93"/>
      <c r="CY849" s="93"/>
      <c r="CZ849" s="106"/>
      <c r="DA849" s="106"/>
      <c r="DB849" s="106"/>
      <c r="DC849" s="106"/>
      <c r="DD849" s="106"/>
      <c r="DE849" s="106"/>
      <c r="DF849" s="106"/>
      <c r="DG849" s="106"/>
      <c r="DH849" s="106"/>
      <c r="DI849" s="106"/>
      <c r="DJ849" s="106"/>
      <c r="DK849" s="106"/>
      <c r="DL849" s="106"/>
      <c r="DM849" s="106"/>
      <c r="DN849" s="106"/>
      <c r="DO849" s="106"/>
      <c r="DP849" s="106"/>
      <c r="DQ849" s="106"/>
      <c r="DR849" s="106"/>
      <c r="DS849" s="106"/>
      <c r="DT849" s="106"/>
      <c r="DU849" s="106"/>
      <c r="DV849" s="106"/>
      <c r="DW849" s="106"/>
      <c r="DX849" s="106"/>
      <c r="DY849" s="106"/>
      <c r="DZ849" s="106"/>
      <c r="EA849" s="106"/>
      <c r="EB849" s="106"/>
      <c r="EC849" s="106"/>
      <c r="ED849" s="106"/>
      <c r="EE849" s="106"/>
      <c r="EF849" s="106"/>
      <c r="EG849" s="106"/>
      <c r="EH849" s="106"/>
      <c r="EI849" s="106"/>
      <c r="EJ849" s="106"/>
      <c r="EK849" s="106"/>
      <c r="EL849" s="106"/>
      <c r="EM849" s="106"/>
      <c r="EN849" s="106"/>
      <c r="EO849" s="106"/>
      <c r="EP849" s="106"/>
      <c r="EQ849" s="106"/>
      <c r="ER849" s="106"/>
      <c r="ES849" s="106"/>
      <c r="ET849" s="106"/>
      <c r="EU849" s="106"/>
      <c r="EV849" s="106"/>
      <c r="EW849" s="106"/>
      <c r="EX849" s="106"/>
      <c r="EY849" s="106"/>
      <c r="EZ849" s="106"/>
      <c r="FA849" s="106"/>
      <c r="FB849" s="106"/>
      <c r="FC849" s="106"/>
      <c r="FD849" s="106"/>
      <c r="FE849" s="106"/>
      <c r="FF849" s="106"/>
      <c r="FG849" s="106"/>
      <c r="FH849" s="106"/>
      <c r="FI849" s="106"/>
      <c r="FJ849" s="106"/>
      <c r="FK849" s="106"/>
      <c r="FL849" s="106"/>
      <c r="FM849" s="106"/>
      <c r="FN849" s="106"/>
      <c r="FO849" s="106"/>
      <c r="FP849" s="106"/>
      <c r="FQ849" s="106"/>
      <c r="FR849" s="106"/>
      <c r="FS849" s="106"/>
      <c r="FT849" s="106"/>
      <c r="FU849" s="106"/>
    </row>
    <row r="850" spans="30:177" ht="6.95" customHeight="1" x14ac:dyDescent="0.15"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  <c r="AZ850" s="93"/>
      <c r="BA850" s="93"/>
      <c r="BB850" s="93"/>
      <c r="BC850" s="93"/>
      <c r="BD850" s="93"/>
      <c r="BE850" s="93"/>
      <c r="BF850" s="93"/>
      <c r="BG850" s="93"/>
      <c r="BH850" s="93"/>
      <c r="BI850" s="93"/>
      <c r="BJ850" s="93"/>
      <c r="BK850" s="93"/>
      <c r="BL850" s="93"/>
      <c r="BM850" s="93"/>
      <c r="BN850" s="93"/>
      <c r="BO850" s="93"/>
      <c r="BP850" s="93"/>
      <c r="BR850" s="93"/>
      <c r="BS850" s="93"/>
      <c r="BT850" s="93"/>
      <c r="BU850" s="93"/>
      <c r="BV850" s="93"/>
      <c r="BW850" s="93"/>
      <c r="BX850" s="93"/>
      <c r="BY850" s="93"/>
      <c r="BZ850" s="93"/>
      <c r="CA850" s="93"/>
      <c r="CB850" s="93"/>
      <c r="CC850" s="93"/>
      <c r="CD850" s="93"/>
      <c r="CE850" s="93"/>
      <c r="CF850" s="93"/>
      <c r="CG850" s="93"/>
      <c r="CH850" s="93"/>
      <c r="CI850" s="93"/>
      <c r="CJ850" s="93"/>
      <c r="CK850" s="93"/>
      <c r="CL850" s="93"/>
      <c r="CM850" s="93"/>
      <c r="CN850" s="93"/>
      <c r="CO850" s="93"/>
      <c r="CP850" s="93"/>
      <c r="CQ850" s="93"/>
      <c r="CR850" s="93"/>
      <c r="CS850" s="93"/>
      <c r="CT850" s="93"/>
      <c r="CU850" s="93"/>
      <c r="CV850" s="93"/>
      <c r="CW850" s="93"/>
      <c r="CX850" s="93"/>
      <c r="CY850" s="93"/>
      <c r="CZ850" s="106"/>
      <c r="DA850" s="106"/>
      <c r="DB850" s="106"/>
      <c r="DC850" s="106"/>
      <c r="DD850" s="106"/>
      <c r="DE850" s="106"/>
      <c r="DF850" s="106"/>
      <c r="DG850" s="106"/>
      <c r="DH850" s="106"/>
      <c r="DI850" s="106"/>
      <c r="DJ850" s="106"/>
      <c r="DK850" s="106"/>
      <c r="DL850" s="106"/>
      <c r="DM850" s="106"/>
      <c r="DN850" s="106"/>
      <c r="DO850" s="106"/>
      <c r="DP850" s="106"/>
      <c r="DQ850" s="106"/>
      <c r="DR850" s="106"/>
      <c r="DS850" s="106"/>
      <c r="DT850" s="106"/>
      <c r="DU850" s="106"/>
      <c r="DV850" s="106"/>
      <c r="DW850" s="106"/>
      <c r="DX850" s="106"/>
      <c r="DY850" s="106"/>
      <c r="DZ850" s="106"/>
      <c r="EA850" s="106"/>
      <c r="EB850" s="106"/>
      <c r="EC850" s="106"/>
      <c r="ED850" s="106"/>
      <c r="EE850" s="106"/>
      <c r="EF850" s="106"/>
      <c r="EG850" s="106"/>
      <c r="EH850" s="106"/>
      <c r="EI850" s="106"/>
      <c r="EJ850" s="106"/>
      <c r="EK850" s="106"/>
      <c r="EL850" s="106"/>
      <c r="EM850" s="106"/>
      <c r="EN850" s="106"/>
      <c r="EO850" s="106"/>
      <c r="EP850" s="106"/>
      <c r="EQ850" s="106"/>
      <c r="ER850" s="106"/>
      <c r="ES850" s="106"/>
      <c r="ET850" s="106"/>
      <c r="EU850" s="106"/>
      <c r="EV850" s="106"/>
      <c r="EW850" s="106"/>
      <c r="EX850" s="106"/>
      <c r="EY850" s="106"/>
      <c r="EZ850" s="106"/>
      <c r="FA850" s="106"/>
      <c r="FB850" s="106"/>
      <c r="FC850" s="106"/>
      <c r="FD850" s="106"/>
      <c r="FE850" s="106"/>
      <c r="FF850" s="106"/>
      <c r="FG850" s="106"/>
      <c r="FH850" s="106"/>
      <c r="FI850" s="106"/>
      <c r="FJ850" s="106"/>
      <c r="FK850" s="106"/>
      <c r="FL850" s="106"/>
      <c r="FM850" s="106"/>
      <c r="FN850" s="106"/>
      <c r="FO850" s="106"/>
      <c r="FP850" s="106"/>
      <c r="FQ850" s="106"/>
      <c r="FR850" s="106"/>
      <c r="FS850" s="106"/>
      <c r="FT850" s="106"/>
      <c r="FU850" s="106"/>
    </row>
    <row r="851" spans="30:177" ht="6.95" customHeight="1" x14ac:dyDescent="0.15"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3"/>
      <c r="BF851" s="93"/>
      <c r="BG851" s="93"/>
      <c r="BH851" s="93"/>
      <c r="BI851" s="93"/>
      <c r="BJ851" s="93"/>
      <c r="BK851" s="93"/>
      <c r="BL851" s="93"/>
      <c r="BM851" s="93"/>
      <c r="BN851" s="93"/>
      <c r="BO851" s="93"/>
      <c r="BP851" s="93"/>
      <c r="BR851" s="93"/>
      <c r="BS851" s="93"/>
      <c r="BT851" s="93"/>
      <c r="BU851" s="93"/>
      <c r="BV851" s="93"/>
      <c r="BW851" s="93"/>
      <c r="BX851" s="93"/>
      <c r="BY851" s="93"/>
      <c r="BZ851" s="93"/>
      <c r="CA851" s="93"/>
      <c r="CB851" s="93"/>
      <c r="CC851" s="93"/>
      <c r="CD851" s="93"/>
      <c r="CE851" s="93"/>
      <c r="CF851" s="93"/>
      <c r="CG851" s="93"/>
      <c r="CH851" s="93"/>
      <c r="CI851" s="93"/>
      <c r="CJ851" s="93"/>
      <c r="CK851" s="93"/>
      <c r="CL851" s="93"/>
      <c r="CM851" s="93"/>
      <c r="CN851" s="93"/>
      <c r="CO851" s="93"/>
      <c r="CP851" s="93"/>
      <c r="CQ851" s="93"/>
      <c r="CR851" s="93"/>
      <c r="CS851" s="93"/>
      <c r="CT851" s="93"/>
      <c r="CU851" s="93"/>
      <c r="CV851" s="93"/>
      <c r="CW851" s="93"/>
      <c r="CX851" s="93"/>
      <c r="CY851" s="93"/>
      <c r="CZ851" s="106"/>
      <c r="DA851" s="106"/>
      <c r="DB851" s="106"/>
      <c r="DC851" s="106"/>
      <c r="DD851" s="106"/>
      <c r="DE851" s="106"/>
      <c r="DF851" s="106"/>
      <c r="DG851" s="106"/>
      <c r="DH851" s="106"/>
      <c r="DI851" s="106"/>
      <c r="DJ851" s="106"/>
      <c r="DK851" s="106"/>
      <c r="DL851" s="106"/>
      <c r="DM851" s="106"/>
      <c r="DN851" s="106"/>
      <c r="DO851" s="106"/>
      <c r="DP851" s="106"/>
      <c r="DQ851" s="106"/>
      <c r="DR851" s="106"/>
      <c r="DS851" s="106"/>
      <c r="DT851" s="106"/>
      <c r="DU851" s="106"/>
      <c r="DV851" s="106"/>
      <c r="DW851" s="106"/>
      <c r="DX851" s="106"/>
      <c r="DY851" s="106"/>
      <c r="DZ851" s="106"/>
      <c r="EA851" s="106"/>
      <c r="EB851" s="106"/>
      <c r="EC851" s="106"/>
      <c r="ED851" s="106"/>
      <c r="EE851" s="106"/>
      <c r="EF851" s="106"/>
      <c r="EG851" s="106"/>
      <c r="EH851" s="106"/>
      <c r="EI851" s="106"/>
      <c r="EJ851" s="106"/>
      <c r="EK851" s="106"/>
      <c r="EL851" s="106"/>
      <c r="EM851" s="106"/>
      <c r="EN851" s="106"/>
      <c r="EO851" s="106"/>
      <c r="EP851" s="106"/>
      <c r="EQ851" s="106"/>
      <c r="ER851" s="106"/>
      <c r="ES851" s="106"/>
      <c r="ET851" s="106"/>
      <c r="EU851" s="106"/>
      <c r="EV851" s="106"/>
      <c r="EW851" s="106"/>
      <c r="EX851" s="106"/>
      <c r="EY851" s="106"/>
      <c r="EZ851" s="106"/>
      <c r="FA851" s="106"/>
      <c r="FB851" s="106"/>
      <c r="FC851" s="106"/>
      <c r="FD851" s="106"/>
      <c r="FE851" s="106"/>
      <c r="FF851" s="106"/>
      <c r="FG851" s="106"/>
      <c r="FH851" s="106"/>
      <c r="FI851" s="106"/>
      <c r="FJ851" s="106"/>
      <c r="FK851" s="106"/>
      <c r="FL851" s="106"/>
      <c r="FM851" s="106"/>
      <c r="FN851" s="106"/>
      <c r="FO851" s="106"/>
      <c r="FP851" s="106"/>
      <c r="FQ851" s="106"/>
      <c r="FR851" s="106"/>
      <c r="FS851" s="106"/>
      <c r="FT851" s="106"/>
      <c r="FU851" s="106"/>
    </row>
    <row r="852" spans="30:177" ht="6.95" customHeight="1" x14ac:dyDescent="0.15"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  <c r="AZ852" s="93"/>
      <c r="BA852" s="93"/>
      <c r="BB852" s="93"/>
      <c r="BC852" s="93"/>
      <c r="BD852" s="93"/>
      <c r="BE852" s="93"/>
      <c r="BF852" s="93"/>
      <c r="BG852" s="93"/>
      <c r="BH852" s="93"/>
      <c r="BI852" s="93"/>
      <c r="BJ852" s="93"/>
      <c r="BK852" s="93"/>
      <c r="BL852" s="93"/>
      <c r="BM852" s="93"/>
      <c r="BN852" s="93"/>
      <c r="BO852" s="93"/>
      <c r="BP852" s="93"/>
      <c r="BR852" s="93"/>
      <c r="BS852" s="93"/>
      <c r="BT852" s="93"/>
      <c r="BU852" s="93"/>
      <c r="BV852" s="93"/>
      <c r="BW852" s="93"/>
      <c r="BX852" s="93"/>
      <c r="BY852" s="93"/>
      <c r="BZ852" s="93"/>
      <c r="CA852" s="93"/>
      <c r="CB852" s="93"/>
      <c r="CC852" s="93"/>
      <c r="CD852" s="93"/>
      <c r="CE852" s="93"/>
      <c r="CF852" s="93"/>
      <c r="CG852" s="93"/>
      <c r="CH852" s="93"/>
      <c r="CI852" s="93"/>
      <c r="CJ852" s="93"/>
      <c r="CK852" s="93"/>
      <c r="CL852" s="93"/>
      <c r="CM852" s="93"/>
      <c r="CN852" s="93"/>
      <c r="CO852" s="93"/>
      <c r="CP852" s="93"/>
      <c r="CQ852" s="93"/>
      <c r="CR852" s="93"/>
      <c r="CS852" s="93"/>
      <c r="CT852" s="93"/>
      <c r="CU852" s="93"/>
      <c r="CV852" s="93"/>
      <c r="CW852" s="93"/>
      <c r="CX852" s="93"/>
      <c r="CY852" s="93"/>
      <c r="CZ852" s="106"/>
      <c r="DA852" s="106"/>
      <c r="DB852" s="106"/>
      <c r="DC852" s="106"/>
      <c r="DD852" s="106"/>
      <c r="DE852" s="106"/>
      <c r="DF852" s="106"/>
      <c r="DG852" s="106"/>
      <c r="DH852" s="106"/>
      <c r="DI852" s="106"/>
      <c r="DJ852" s="106"/>
      <c r="DK852" s="106"/>
      <c r="DL852" s="106"/>
      <c r="DM852" s="106"/>
      <c r="DN852" s="106"/>
      <c r="DO852" s="106"/>
      <c r="DP852" s="106"/>
      <c r="DQ852" s="106"/>
      <c r="DR852" s="106"/>
      <c r="DS852" s="106"/>
      <c r="DT852" s="106"/>
      <c r="DU852" s="106"/>
      <c r="DV852" s="106"/>
      <c r="DW852" s="106"/>
      <c r="DX852" s="106"/>
      <c r="DY852" s="106"/>
      <c r="DZ852" s="106"/>
      <c r="EA852" s="106"/>
      <c r="EB852" s="106"/>
      <c r="EC852" s="106"/>
      <c r="ED852" s="106"/>
      <c r="EE852" s="106"/>
      <c r="EF852" s="106"/>
      <c r="EG852" s="106"/>
      <c r="EH852" s="106"/>
      <c r="EI852" s="106"/>
      <c r="EJ852" s="106"/>
      <c r="EK852" s="106"/>
      <c r="EL852" s="106"/>
      <c r="EM852" s="106"/>
      <c r="EN852" s="106"/>
      <c r="EO852" s="106"/>
      <c r="EP852" s="106"/>
      <c r="EQ852" s="106"/>
      <c r="ER852" s="106"/>
      <c r="ES852" s="106"/>
      <c r="ET852" s="106"/>
      <c r="EU852" s="106"/>
      <c r="EV852" s="106"/>
      <c r="EW852" s="106"/>
      <c r="EX852" s="106"/>
      <c r="EY852" s="106"/>
      <c r="EZ852" s="106"/>
      <c r="FA852" s="106"/>
      <c r="FB852" s="106"/>
      <c r="FC852" s="106"/>
      <c r="FD852" s="106"/>
      <c r="FE852" s="106"/>
      <c r="FF852" s="106"/>
      <c r="FG852" s="106"/>
      <c r="FH852" s="106"/>
      <c r="FI852" s="106"/>
      <c r="FJ852" s="106"/>
      <c r="FK852" s="106"/>
      <c r="FL852" s="106"/>
      <c r="FM852" s="106"/>
      <c r="FN852" s="106"/>
      <c r="FO852" s="106"/>
      <c r="FP852" s="106"/>
      <c r="FQ852" s="106"/>
      <c r="FR852" s="106"/>
      <c r="FS852" s="106"/>
      <c r="FT852" s="106"/>
      <c r="FU852" s="106"/>
    </row>
    <row r="853" spans="30:177" ht="6.95" customHeight="1" x14ac:dyDescent="0.15"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  <c r="AZ853" s="93"/>
      <c r="BA853" s="93"/>
      <c r="BB853" s="93"/>
      <c r="BC853" s="93"/>
      <c r="BD853" s="93"/>
      <c r="BE853" s="93"/>
      <c r="BF853" s="93"/>
      <c r="BG853" s="93"/>
      <c r="BH853" s="93"/>
      <c r="BI853" s="93"/>
      <c r="BJ853" s="93"/>
      <c r="BK853" s="93"/>
      <c r="BL853" s="93"/>
      <c r="BM853" s="93"/>
      <c r="BN853" s="93"/>
      <c r="BO853" s="93"/>
      <c r="BP853" s="93"/>
      <c r="BR853" s="93"/>
      <c r="BS853" s="93"/>
      <c r="BT853" s="93"/>
      <c r="BU853" s="93"/>
      <c r="BV853" s="93"/>
      <c r="BW853" s="93"/>
      <c r="BX853" s="93"/>
      <c r="BY853" s="93"/>
      <c r="BZ853" s="93"/>
      <c r="CA853" s="93"/>
      <c r="CB853" s="93"/>
      <c r="CC853" s="93"/>
      <c r="CD853" s="93"/>
      <c r="CE853" s="93"/>
      <c r="CF853" s="93"/>
      <c r="CG853" s="93"/>
      <c r="CH853" s="93"/>
      <c r="CI853" s="93"/>
      <c r="CJ853" s="93"/>
      <c r="CK853" s="93"/>
      <c r="CL853" s="93"/>
      <c r="CM853" s="93"/>
      <c r="CN853" s="93"/>
      <c r="CO853" s="93"/>
      <c r="CP853" s="93"/>
      <c r="CQ853" s="93"/>
      <c r="CR853" s="93"/>
      <c r="CS853" s="93"/>
      <c r="CT853" s="93"/>
      <c r="CU853" s="93"/>
      <c r="CV853" s="93"/>
      <c r="CW853" s="93"/>
      <c r="CX853" s="93"/>
      <c r="CY853" s="93"/>
      <c r="CZ853" s="106"/>
      <c r="DA853" s="106"/>
      <c r="DB853" s="106"/>
      <c r="DC853" s="106"/>
      <c r="DD853" s="106"/>
      <c r="DE853" s="106"/>
      <c r="DF853" s="106"/>
      <c r="DG853" s="106"/>
      <c r="DH853" s="106"/>
      <c r="DI853" s="106"/>
      <c r="DJ853" s="106"/>
      <c r="DK853" s="106"/>
      <c r="DL853" s="106"/>
      <c r="DM853" s="106"/>
      <c r="DN853" s="106"/>
      <c r="DO853" s="106"/>
      <c r="DP853" s="106"/>
      <c r="DQ853" s="106"/>
      <c r="DR853" s="106"/>
      <c r="DS853" s="106"/>
      <c r="DT853" s="106"/>
      <c r="DU853" s="106"/>
      <c r="DV853" s="106"/>
      <c r="DW853" s="106"/>
      <c r="DX853" s="106"/>
      <c r="DY853" s="106"/>
      <c r="DZ853" s="106"/>
      <c r="EA853" s="106"/>
      <c r="EB853" s="106"/>
      <c r="EC853" s="106"/>
      <c r="ED853" s="106"/>
      <c r="EE853" s="106"/>
      <c r="EF853" s="106"/>
      <c r="EG853" s="106"/>
      <c r="EH853" s="106"/>
      <c r="EI853" s="106"/>
      <c r="EJ853" s="106"/>
      <c r="EK853" s="106"/>
      <c r="EL853" s="106"/>
      <c r="EM853" s="106"/>
      <c r="EN853" s="106"/>
      <c r="EO853" s="106"/>
      <c r="EP853" s="106"/>
      <c r="EQ853" s="106"/>
      <c r="ER853" s="106"/>
      <c r="ES853" s="106"/>
      <c r="ET853" s="106"/>
      <c r="EU853" s="106"/>
      <c r="EV853" s="106"/>
      <c r="EW853" s="106"/>
      <c r="EX853" s="106"/>
      <c r="EY853" s="106"/>
      <c r="EZ853" s="106"/>
      <c r="FA853" s="106"/>
      <c r="FB853" s="106"/>
      <c r="FC853" s="106"/>
      <c r="FD853" s="106"/>
      <c r="FE853" s="106"/>
      <c r="FF853" s="106"/>
      <c r="FG853" s="106"/>
      <c r="FH853" s="106"/>
      <c r="FI853" s="106"/>
      <c r="FJ853" s="106"/>
      <c r="FK853" s="106"/>
      <c r="FL853" s="106"/>
      <c r="FM853" s="106"/>
      <c r="FN853" s="106"/>
      <c r="FO853" s="106"/>
      <c r="FP853" s="106"/>
      <c r="FQ853" s="106"/>
      <c r="FR853" s="106"/>
      <c r="FS853" s="106"/>
      <c r="FT853" s="106"/>
      <c r="FU853" s="106"/>
    </row>
    <row r="854" spans="30:177" ht="6.95" customHeight="1" x14ac:dyDescent="0.15"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  <c r="AZ854" s="93"/>
      <c r="BA854" s="93"/>
      <c r="BB854" s="93"/>
      <c r="BC854" s="93"/>
      <c r="BD854" s="93"/>
      <c r="BE854" s="93"/>
      <c r="BF854" s="93"/>
      <c r="BG854" s="93"/>
      <c r="BH854" s="93"/>
      <c r="BI854" s="93"/>
      <c r="BJ854" s="93"/>
      <c r="BK854" s="93"/>
      <c r="BL854" s="93"/>
      <c r="BM854" s="93"/>
      <c r="BN854" s="93"/>
      <c r="BO854" s="93"/>
      <c r="BP854" s="93"/>
      <c r="BR854" s="93"/>
      <c r="BS854" s="93"/>
      <c r="BT854" s="93"/>
      <c r="BU854" s="93"/>
      <c r="BV854" s="93"/>
      <c r="BW854" s="93"/>
      <c r="BX854" s="93"/>
      <c r="BY854" s="93"/>
      <c r="BZ854" s="93"/>
      <c r="CA854" s="93"/>
      <c r="CB854" s="93"/>
      <c r="CC854" s="93"/>
      <c r="CD854" s="93"/>
      <c r="CE854" s="93"/>
      <c r="CF854" s="93"/>
      <c r="CG854" s="93"/>
      <c r="CH854" s="93"/>
      <c r="CI854" s="93"/>
      <c r="CJ854" s="93"/>
      <c r="CK854" s="93"/>
      <c r="CL854" s="93"/>
      <c r="CM854" s="93"/>
      <c r="CN854" s="93"/>
      <c r="CO854" s="93"/>
      <c r="CP854" s="93"/>
      <c r="CQ854" s="93"/>
      <c r="CR854" s="93"/>
      <c r="CS854" s="93"/>
      <c r="CT854" s="93"/>
      <c r="CU854" s="93"/>
      <c r="CV854" s="93"/>
      <c r="CW854" s="93"/>
      <c r="CX854" s="93"/>
      <c r="CY854" s="93"/>
      <c r="CZ854" s="106"/>
      <c r="DA854" s="106"/>
      <c r="DB854" s="106"/>
      <c r="DC854" s="106"/>
      <c r="DD854" s="106"/>
      <c r="DE854" s="106"/>
      <c r="DF854" s="106"/>
      <c r="DG854" s="106"/>
      <c r="DH854" s="106"/>
      <c r="DI854" s="106"/>
      <c r="DJ854" s="106"/>
      <c r="DK854" s="106"/>
      <c r="DL854" s="106"/>
      <c r="DM854" s="106"/>
      <c r="DN854" s="106"/>
      <c r="DO854" s="106"/>
      <c r="DP854" s="106"/>
      <c r="DQ854" s="106"/>
      <c r="DR854" s="106"/>
      <c r="DS854" s="106"/>
      <c r="DT854" s="106"/>
      <c r="DU854" s="106"/>
      <c r="DV854" s="106"/>
      <c r="DW854" s="106"/>
      <c r="DX854" s="106"/>
      <c r="DY854" s="106"/>
      <c r="DZ854" s="106"/>
      <c r="EA854" s="106"/>
      <c r="EB854" s="106"/>
      <c r="EC854" s="106"/>
      <c r="ED854" s="106"/>
      <c r="EE854" s="106"/>
      <c r="EF854" s="106"/>
      <c r="EG854" s="106"/>
      <c r="EH854" s="106"/>
      <c r="EI854" s="106"/>
      <c r="EJ854" s="106"/>
      <c r="EK854" s="106"/>
      <c r="EL854" s="106"/>
      <c r="EM854" s="106"/>
      <c r="EN854" s="106"/>
      <c r="EO854" s="106"/>
      <c r="EP854" s="106"/>
      <c r="EQ854" s="106"/>
      <c r="ER854" s="106"/>
      <c r="ES854" s="106"/>
      <c r="ET854" s="106"/>
      <c r="EU854" s="106"/>
      <c r="EV854" s="106"/>
      <c r="EW854" s="106"/>
      <c r="EX854" s="106"/>
      <c r="EY854" s="106"/>
      <c r="EZ854" s="106"/>
      <c r="FA854" s="106"/>
      <c r="FB854" s="106"/>
      <c r="FC854" s="106"/>
      <c r="FD854" s="106"/>
      <c r="FE854" s="106"/>
      <c r="FF854" s="106"/>
      <c r="FG854" s="106"/>
      <c r="FH854" s="106"/>
      <c r="FI854" s="106"/>
      <c r="FJ854" s="106"/>
      <c r="FK854" s="106"/>
      <c r="FL854" s="106"/>
      <c r="FM854" s="106"/>
      <c r="FN854" s="106"/>
      <c r="FO854" s="106"/>
      <c r="FP854" s="106"/>
      <c r="FQ854" s="106"/>
      <c r="FR854" s="106"/>
      <c r="FS854" s="106"/>
      <c r="FT854" s="106"/>
      <c r="FU854" s="106"/>
    </row>
    <row r="855" spans="30:177" ht="6.95" customHeight="1" x14ac:dyDescent="0.15"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  <c r="AZ855" s="93"/>
      <c r="BA855" s="93"/>
      <c r="BB855" s="93"/>
      <c r="BC855" s="93"/>
      <c r="BD855" s="93"/>
      <c r="BE855" s="93"/>
      <c r="BF855" s="93"/>
      <c r="BG855" s="93"/>
      <c r="BH855" s="93"/>
      <c r="BI855" s="93"/>
      <c r="BJ855" s="93"/>
      <c r="BK855" s="93"/>
      <c r="BL855" s="93"/>
      <c r="BM855" s="93"/>
      <c r="BN855" s="93"/>
      <c r="BO855" s="93"/>
      <c r="BP855" s="93"/>
      <c r="BR855" s="93"/>
      <c r="BS855" s="93"/>
      <c r="BT855" s="93"/>
      <c r="BU855" s="93"/>
      <c r="BV855" s="93"/>
      <c r="BW855" s="93"/>
      <c r="BX855" s="93"/>
      <c r="BY855" s="93"/>
      <c r="BZ855" s="93"/>
      <c r="CA855" s="93"/>
      <c r="CB855" s="93"/>
      <c r="CC855" s="93"/>
      <c r="CD855" s="93"/>
      <c r="CE855" s="93"/>
      <c r="CF855" s="93"/>
      <c r="CG855" s="93"/>
      <c r="CH855" s="93"/>
      <c r="CI855" s="93"/>
      <c r="CJ855" s="93"/>
      <c r="CK855" s="93"/>
      <c r="CL855" s="93"/>
      <c r="CM855" s="93"/>
      <c r="CN855" s="93"/>
      <c r="CO855" s="93"/>
      <c r="CP855" s="93"/>
      <c r="CQ855" s="93"/>
      <c r="CR855" s="93"/>
      <c r="CS855" s="93"/>
      <c r="CT855" s="93"/>
      <c r="CU855" s="93"/>
      <c r="CV855" s="93"/>
      <c r="CW855" s="93"/>
      <c r="CX855" s="93"/>
      <c r="CY855" s="93"/>
      <c r="CZ855" s="106"/>
      <c r="DA855" s="106"/>
      <c r="DB855" s="106"/>
      <c r="DC855" s="106"/>
      <c r="DD855" s="106"/>
      <c r="DE855" s="106"/>
      <c r="DF855" s="106"/>
      <c r="DG855" s="106"/>
      <c r="DH855" s="106"/>
      <c r="DI855" s="106"/>
      <c r="DJ855" s="106"/>
      <c r="DK855" s="106"/>
      <c r="DL855" s="106"/>
      <c r="DM855" s="106"/>
      <c r="DN855" s="106"/>
      <c r="DO855" s="106"/>
      <c r="DP855" s="106"/>
      <c r="DQ855" s="106"/>
      <c r="DR855" s="106"/>
      <c r="DS855" s="106"/>
      <c r="DT855" s="106"/>
      <c r="DU855" s="106"/>
      <c r="DV855" s="106"/>
      <c r="DW855" s="106"/>
      <c r="DX855" s="106"/>
      <c r="DY855" s="106"/>
      <c r="DZ855" s="106"/>
      <c r="EA855" s="106"/>
      <c r="EB855" s="106"/>
      <c r="EC855" s="106"/>
      <c r="ED855" s="106"/>
      <c r="EE855" s="106"/>
      <c r="EF855" s="106"/>
      <c r="EG855" s="106"/>
      <c r="EH855" s="106"/>
      <c r="EI855" s="106"/>
      <c r="EJ855" s="106"/>
      <c r="EK855" s="106"/>
      <c r="EL855" s="106"/>
      <c r="EM855" s="106"/>
      <c r="EN855" s="106"/>
      <c r="EO855" s="106"/>
      <c r="EP855" s="106"/>
      <c r="EQ855" s="106"/>
      <c r="ER855" s="106"/>
      <c r="ES855" s="106"/>
      <c r="ET855" s="106"/>
      <c r="EU855" s="106"/>
      <c r="EV855" s="106"/>
      <c r="EW855" s="106"/>
      <c r="EX855" s="106"/>
      <c r="EY855" s="106"/>
      <c r="EZ855" s="106"/>
      <c r="FA855" s="106"/>
      <c r="FB855" s="106"/>
      <c r="FC855" s="106"/>
      <c r="FD855" s="106"/>
      <c r="FE855" s="106"/>
      <c r="FF855" s="106"/>
      <c r="FG855" s="106"/>
      <c r="FH855" s="106"/>
      <c r="FI855" s="106"/>
      <c r="FJ855" s="106"/>
      <c r="FK855" s="106"/>
      <c r="FL855" s="106"/>
      <c r="FM855" s="106"/>
      <c r="FN855" s="106"/>
      <c r="FO855" s="106"/>
      <c r="FP855" s="106"/>
      <c r="FQ855" s="106"/>
      <c r="FR855" s="106"/>
      <c r="FS855" s="106"/>
      <c r="FT855" s="106"/>
      <c r="FU855" s="106"/>
    </row>
    <row r="856" spans="30:177" ht="6.95" customHeight="1" x14ac:dyDescent="0.15"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  <c r="AZ856" s="93"/>
      <c r="BA856" s="93"/>
      <c r="BB856" s="93"/>
      <c r="BC856" s="93"/>
      <c r="BD856" s="93"/>
      <c r="BE856" s="93"/>
      <c r="BF856" s="93"/>
      <c r="BG856" s="93"/>
      <c r="BH856" s="93"/>
      <c r="BI856" s="93"/>
      <c r="BJ856" s="93"/>
      <c r="BK856" s="93"/>
      <c r="BL856" s="93"/>
      <c r="BM856" s="93"/>
      <c r="BN856" s="93"/>
      <c r="BO856" s="93"/>
      <c r="BP856" s="93"/>
      <c r="BR856" s="93"/>
      <c r="BS856" s="93"/>
      <c r="BT856" s="93"/>
      <c r="BU856" s="93"/>
      <c r="BV856" s="93"/>
      <c r="BW856" s="93"/>
      <c r="BX856" s="93"/>
      <c r="BY856" s="93"/>
      <c r="BZ856" s="93"/>
      <c r="CA856" s="93"/>
      <c r="CB856" s="93"/>
      <c r="CC856" s="93"/>
      <c r="CD856" s="93"/>
      <c r="CE856" s="93"/>
      <c r="CF856" s="93"/>
      <c r="CG856" s="93"/>
      <c r="CH856" s="93"/>
      <c r="CI856" s="93"/>
      <c r="CJ856" s="93"/>
      <c r="CK856" s="93"/>
      <c r="CL856" s="93"/>
      <c r="CM856" s="93"/>
      <c r="CN856" s="93"/>
      <c r="CO856" s="93"/>
      <c r="CP856" s="93"/>
      <c r="CQ856" s="93"/>
      <c r="CR856" s="93"/>
      <c r="CS856" s="93"/>
      <c r="CT856" s="93"/>
      <c r="CU856" s="93"/>
      <c r="CV856" s="93"/>
      <c r="CW856" s="93"/>
      <c r="CX856" s="93"/>
      <c r="CY856" s="93"/>
      <c r="CZ856" s="106"/>
      <c r="DA856" s="106"/>
      <c r="DB856" s="106"/>
      <c r="DC856" s="106"/>
      <c r="DD856" s="106"/>
      <c r="DE856" s="106"/>
      <c r="DF856" s="106"/>
      <c r="DG856" s="106"/>
      <c r="DH856" s="106"/>
      <c r="DI856" s="106"/>
      <c r="DJ856" s="106"/>
      <c r="DK856" s="106"/>
      <c r="DL856" s="106"/>
      <c r="DM856" s="106"/>
      <c r="DN856" s="106"/>
      <c r="DO856" s="106"/>
      <c r="DP856" s="106"/>
      <c r="DQ856" s="106"/>
      <c r="DR856" s="106"/>
      <c r="DS856" s="106"/>
      <c r="DT856" s="106"/>
      <c r="DU856" s="106"/>
      <c r="DV856" s="106"/>
      <c r="DW856" s="106"/>
      <c r="DX856" s="106"/>
      <c r="DY856" s="106"/>
      <c r="DZ856" s="106"/>
      <c r="EA856" s="106"/>
      <c r="EB856" s="106"/>
      <c r="EC856" s="106"/>
      <c r="ED856" s="106"/>
      <c r="EE856" s="106"/>
      <c r="EF856" s="106"/>
      <c r="EG856" s="106"/>
      <c r="EH856" s="106"/>
      <c r="EI856" s="106"/>
      <c r="EJ856" s="106"/>
      <c r="EK856" s="106"/>
      <c r="EL856" s="106"/>
      <c r="EM856" s="106"/>
      <c r="EN856" s="106"/>
      <c r="EO856" s="106"/>
      <c r="EP856" s="106"/>
      <c r="EQ856" s="106"/>
      <c r="ER856" s="106"/>
      <c r="ES856" s="106"/>
      <c r="ET856" s="106"/>
      <c r="EU856" s="106"/>
      <c r="EV856" s="106"/>
      <c r="EW856" s="106"/>
      <c r="EX856" s="106"/>
      <c r="EY856" s="106"/>
      <c r="EZ856" s="106"/>
      <c r="FA856" s="106"/>
      <c r="FB856" s="106"/>
      <c r="FC856" s="106"/>
      <c r="FD856" s="106"/>
      <c r="FE856" s="106"/>
      <c r="FF856" s="106"/>
      <c r="FG856" s="106"/>
      <c r="FH856" s="106"/>
      <c r="FI856" s="106"/>
      <c r="FJ856" s="106"/>
      <c r="FK856" s="106"/>
      <c r="FL856" s="106"/>
      <c r="FM856" s="106"/>
      <c r="FN856" s="106"/>
      <c r="FO856" s="106"/>
      <c r="FP856" s="106"/>
      <c r="FQ856" s="106"/>
      <c r="FR856" s="106"/>
      <c r="FS856" s="106"/>
      <c r="FT856" s="106"/>
      <c r="FU856" s="106"/>
    </row>
    <row r="857" spans="30:177" ht="6.95" customHeight="1" x14ac:dyDescent="0.15"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  <c r="AZ857" s="93"/>
      <c r="BA857" s="93"/>
      <c r="BB857" s="93"/>
      <c r="BC857" s="93"/>
      <c r="BD857" s="93"/>
      <c r="BE857" s="93"/>
      <c r="BF857" s="93"/>
      <c r="BG857" s="93"/>
      <c r="BH857" s="93"/>
      <c r="BI857" s="93"/>
      <c r="BJ857" s="93"/>
      <c r="BK857" s="93"/>
      <c r="BL857" s="93"/>
      <c r="BM857" s="93"/>
      <c r="BN857" s="93"/>
      <c r="BO857" s="93"/>
      <c r="BP857" s="93"/>
      <c r="BR857" s="93"/>
      <c r="BS857" s="93"/>
      <c r="BT857" s="93"/>
      <c r="BU857" s="93"/>
      <c r="BV857" s="93"/>
      <c r="BW857" s="93"/>
      <c r="BX857" s="93"/>
      <c r="BY857" s="93"/>
      <c r="BZ857" s="93"/>
      <c r="CA857" s="93"/>
      <c r="CB857" s="93"/>
      <c r="CC857" s="93"/>
      <c r="CD857" s="93"/>
      <c r="CE857" s="93"/>
      <c r="CF857" s="93"/>
      <c r="CG857" s="93"/>
      <c r="CH857" s="93"/>
      <c r="CI857" s="93"/>
      <c r="CJ857" s="93"/>
      <c r="CK857" s="93"/>
      <c r="CL857" s="93"/>
      <c r="CM857" s="93"/>
      <c r="CN857" s="93"/>
      <c r="CO857" s="93"/>
      <c r="CP857" s="93"/>
      <c r="CQ857" s="93"/>
      <c r="CR857" s="93"/>
      <c r="CS857" s="93"/>
      <c r="CT857" s="93"/>
      <c r="CU857" s="93"/>
      <c r="CV857" s="93"/>
      <c r="CW857" s="93"/>
      <c r="CX857" s="93"/>
      <c r="CY857" s="93"/>
      <c r="CZ857" s="106"/>
      <c r="DA857" s="106"/>
      <c r="DB857" s="106"/>
      <c r="DC857" s="106"/>
      <c r="DD857" s="106"/>
      <c r="DE857" s="106"/>
      <c r="DF857" s="106"/>
      <c r="DG857" s="106"/>
      <c r="DH857" s="106"/>
      <c r="DI857" s="106"/>
      <c r="DJ857" s="106"/>
      <c r="DK857" s="106"/>
      <c r="DL857" s="106"/>
      <c r="DM857" s="106"/>
      <c r="DN857" s="106"/>
      <c r="DO857" s="106"/>
      <c r="DP857" s="106"/>
      <c r="DQ857" s="106"/>
      <c r="DR857" s="106"/>
      <c r="DS857" s="106"/>
      <c r="DT857" s="106"/>
      <c r="DU857" s="106"/>
      <c r="DV857" s="106"/>
      <c r="DW857" s="106"/>
      <c r="DX857" s="106"/>
      <c r="DY857" s="106"/>
      <c r="DZ857" s="106"/>
      <c r="EA857" s="106"/>
      <c r="EB857" s="106"/>
      <c r="EC857" s="106"/>
      <c r="ED857" s="106"/>
      <c r="EE857" s="106"/>
      <c r="EF857" s="106"/>
      <c r="EG857" s="106"/>
      <c r="EH857" s="106"/>
      <c r="EI857" s="106"/>
      <c r="EJ857" s="106"/>
      <c r="EK857" s="106"/>
      <c r="EL857" s="106"/>
      <c r="EM857" s="106"/>
      <c r="EN857" s="106"/>
      <c r="EO857" s="106"/>
      <c r="EP857" s="106"/>
      <c r="EQ857" s="106"/>
      <c r="ER857" s="106"/>
      <c r="ES857" s="106"/>
      <c r="ET857" s="106"/>
      <c r="EU857" s="106"/>
      <c r="EV857" s="106"/>
      <c r="EW857" s="106"/>
      <c r="EX857" s="106"/>
      <c r="EY857" s="106"/>
      <c r="EZ857" s="106"/>
      <c r="FA857" s="106"/>
      <c r="FB857" s="106"/>
      <c r="FC857" s="106"/>
      <c r="FD857" s="106"/>
      <c r="FE857" s="106"/>
      <c r="FF857" s="106"/>
      <c r="FG857" s="106"/>
      <c r="FH857" s="106"/>
      <c r="FI857" s="106"/>
      <c r="FJ857" s="106"/>
      <c r="FK857" s="106"/>
      <c r="FL857" s="106"/>
      <c r="FM857" s="106"/>
      <c r="FN857" s="106"/>
      <c r="FO857" s="106"/>
      <c r="FP857" s="106"/>
      <c r="FQ857" s="106"/>
      <c r="FR857" s="106"/>
      <c r="FS857" s="106"/>
      <c r="FT857" s="106"/>
      <c r="FU857" s="106"/>
    </row>
    <row r="858" spans="30:177" ht="6.95" customHeight="1" x14ac:dyDescent="0.15"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3"/>
      <c r="BD858" s="93"/>
      <c r="BE858" s="93"/>
      <c r="BF858" s="93"/>
      <c r="BG858" s="93"/>
      <c r="BH858" s="93"/>
      <c r="BI858" s="93"/>
      <c r="BJ858" s="93"/>
      <c r="BK858" s="93"/>
      <c r="BL858" s="93"/>
      <c r="BM858" s="93"/>
      <c r="BN858" s="93"/>
      <c r="BO858" s="93"/>
      <c r="BP858" s="93"/>
      <c r="BR858" s="93"/>
      <c r="BS858" s="93"/>
      <c r="BT858" s="93"/>
      <c r="BU858" s="93"/>
      <c r="BV858" s="93"/>
      <c r="BW858" s="93"/>
      <c r="BX858" s="93"/>
      <c r="BY858" s="93"/>
      <c r="BZ858" s="93"/>
      <c r="CA858" s="93"/>
      <c r="CB858" s="93"/>
      <c r="CC858" s="93"/>
      <c r="CD858" s="93"/>
      <c r="CE858" s="93"/>
      <c r="CF858" s="93"/>
      <c r="CG858" s="93"/>
      <c r="CH858" s="93"/>
      <c r="CI858" s="93"/>
      <c r="CJ858" s="93"/>
      <c r="CK858" s="93"/>
      <c r="CL858" s="93"/>
      <c r="CM858" s="93"/>
      <c r="CN858" s="93"/>
      <c r="CO858" s="93"/>
      <c r="CP858" s="93"/>
      <c r="CQ858" s="93"/>
      <c r="CR858" s="93"/>
      <c r="CS858" s="93"/>
      <c r="CT858" s="93"/>
      <c r="CU858" s="93"/>
      <c r="CV858" s="93"/>
      <c r="CW858" s="93"/>
      <c r="CX858" s="93"/>
      <c r="CY858" s="93"/>
      <c r="CZ858" s="106"/>
      <c r="DA858" s="106"/>
      <c r="DB858" s="106"/>
      <c r="DC858" s="106"/>
      <c r="DD858" s="106"/>
      <c r="DE858" s="106"/>
      <c r="DF858" s="106"/>
      <c r="DG858" s="106"/>
      <c r="DH858" s="106"/>
      <c r="DI858" s="106"/>
      <c r="DJ858" s="106"/>
      <c r="DK858" s="106"/>
      <c r="DL858" s="106"/>
      <c r="DM858" s="106"/>
      <c r="DN858" s="106"/>
      <c r="DO858" s="106"/>
      <c r="DP858" s="106"/>
      <c r="DQ858" s="106"/>
      <c r="DR858" s="106"/>
      <c r="DS858" s="106"/>
      <c r="DT858" s="106"/>
      <c r="DU858" s="106"/>
      <c r="DV858" s="106"/>
      <c r="DW858" s="106"/>
      <c r="DX858" s="106"/>
      <c r="DY858" s="106"/>
      <c r="DZ858" s="106"/>
      <c r="EA858" s="106"/>
      <c r="EB858" s="106"/>
      <c r="EC858" s="106"/>
      <c r="ED858" s="106"/>
      <c r="EE858" s="106"/>
      <c r="EF858" s="106"/>
      <c r="EG858" s="106"/>
      <c r="EH858" s="106"/>
      <c r="EI858" s="106"/>
      <c r="EJ858" s="106"/>
      <c r="EK858" s="106"/>
      <c r="EL858" s="106"/>
      <c r="EM858" s="106"/>
      <c r="EN858" s="106"/>
      <c r="EO858" s="106"/>
      <c r="EP858" s="106"/>
      <c r="EQ858" s="106"/>
      <c r="ER858" s="106"/>
      <c r="ES858" s="106"/>
      <c r="ET858" s="106"/>
      <c r="EU858" s="106"/>
      <c r="EV858" s="106"/>
      <c r="EW858" s="106"/>
      <c r="EX858" s="106"/>
      <c r="EY858" s="106"/>
      <c r="EZ858" s="106"/>
      <c r="FA858" s="106"/>
      <c r="FB858" s="106"/>
      <c r="FC858" s="106"/>
      <c r="FD858" s="106"/>
      <c r="FE858" s="106"/>
      <c r="FF858" s="106"/>
      <c r="FG858" s="106"/>
      <c r="FH858" s="106"/>
      <c r="FI858" s="106"/>
      <c r="FJ858" s="106"/>
      <c r="FK858" s="106"/>
      <c r="FL858" s="106"/>
      <c r="FM858" s="106"/>
      <c r="FN858" s="106"/>
      <c r="FO858" s="106"/>
      <c r="FP858" s="106"/>
      <c r="FQ858" s="106"/>
      <c r="FR858" s="106"/>
      <c r="FS858" s="106"/>
      <c r="FT858" s="106"/>
      <c r="FU858" s="106"/>
    </row>
    <row r="859" spans="30:177" ht="6.95" customHeight="1" x14ac:dyDescent="0.15"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  <c r="AZ859" s="93"/>
      <c r="BA859" s="93"/>
      <c r="BB859" s="93"/>
      <c r="BC859" s="93"/>
      <c r="BD859" s="93"/>
      <c r="BE859" s="93"/>
      <c r="BF859" s="93"/>
      <c r="BG859" s="93"/>
      <c r="BH859" s="93"/>
      <c r="BI859" s="93"/>
      <c r="BJ859" s="93"/>
      <c r="BK859" s="93"/>
      <c r="BL859" s="93"/>
      <c r="BM859" s="93"/>
      <c r="BN859" s="93"/>
      <c r="BO859" s="93"/>
      <c r="BP859" s="93"/>
      <c r="BR859" s="93"/>
      <c r="BS859" s="93"/>
      <c r="BT859" s="93"/>
      <c r="BU859" s="93"/>
      <c r="BV859" s="93"/>
      <c r="BW859" s="93"/>
      <c r="BX859" s="93"/>
      <c r="BY859" s="93"/>
      <c r="BZ859" s="93"/>
      <c r="CA859" s="93"/>
      <c r="CB859" s="93"/>
      <c r="CC859" s="93"/>
      <c r="CD859" s="93"/>
      <c r="CE859" s="93"/>
      <c r="CF859" s="93"/>
      <c r="CG859" s="93"/>
      <c r="CH859" s="93"/>
      <c r="CI859" s="93"/>
      <c r="CJ859" s="93"/>
      <c r="CK859" s="93"/>
      <c r="CL859" s="93"/>
      <c r="CM859" s="93"/>
      <c r="CN859" s="93"/>
      <c r="CO859" s="93"/>
      <c r="CP859" s="93"/>
      <c r="CQ859" s="93"/>
      <c r="CR859" s="93"/>
      <c r="CS859" s="93"/>
      <c r="CT859" s="93"/>
      <c r="CU859" s="93"/>
      <c r="CV859" s="93"/>
      <c r="CW859" s="93"/>
      <c r="CX859" s="93"/>
      <c r="CY859" s="93"/>
      <c r="CZ859" s="106"/>
      <c r="DA859" s="106"/>
      <c r="DB859" s="106"/>
      <c r="DC859" s="106"/>
      <c r="DD859" s="106"/>
      <c r="DE859" s="106"/>
      <c r="DF859" s="106"/>
      <c r="DG859" s="106"/>
      <c r="DH859" s="106"/>
      <c r="DI859" s="106"/>
      <c r="DJ859" s="106"/>
      <c r="DK859" s="106"/>
      <c r="DL859" s="106"/>
      <c r="DM859" s="106"/>
      <c r="DN859" s="106"/>
      <c r="DO859" s="106"/>
      <c r="DP859" s="106"/>
      <c r="DQ859" s="106"/>
      <c r="DR859" s="106"/>
      <c r="DS859" s="106"/>
      <c r="DT859" s="106"/>
      <c r="DU859" s="106"/>
      <c r="DV859" s="106"/>
      <c r="DW859" s="106"/>
      <c r="DX859" s="106"/>
      <c r="DY859" s="106"/>
      <c r="DZ859" s="106"/>
      <c r="EA859" s="106"/>
      <c r="EB859" s="106"/>
      <c r="EC859" s="106"/>
      <c r="ED859" s="106"/>
      <c r="EE859" s="106"/>
      <c r="EF859" s="106"/>
      <c r="EG859" s="106"/>
      <c r="EH859" s="106"/>
      <c r="EI859" s="106"/>
      <c r="EJ859" s="106"/>
      <c r="EK859" s="106"/>
      <c r="EL859" s="106"/>
      <c r="EM859" s="106"/>
      <c r="EN859" s="106"/>
      <c r="EO859" s="106"/>
      <c r="EP859" s="106"/>
      <c r="EQ859" s="106"/>
      <c r="ER859" s="106"/>
      <c r="ES859" s="106"/>
      <c r="ET859" s="106"/>
      <c r="EU859" s="106"/>
      <c r="EV859" s="106"/>
      <c r="EW859" s="106"/>
      <c r="EX859" s="106"/>
      <c r="EY859" s="106"/>
      <c r="EZ859" s="106"/>
      <c r="FA859" s="106"/>
      <c r="FB859" s="106"/>
      <c r="FC859" s="106"/>
      <c r="FD859" s="106"/>
      <c r="FE859" s="106"/>
      <c r="FF859" s="106"/>
      <c r="FG859" s="106"/>
      <c r="FH859" s="106"/>
      <c r="FI859" s="106"/>
      <c r="FJ859" s="106"/>
      <c r="FK859" s="106"/>
      <c r="FL859" s="106"/>
      <c r="FM859" s="106"/>
      <c r="FN859" s="106"/>
      <c r="FO859" s="106"/>
      <c r="FP859" s="106"/>
      <c r="FQ859" s="106"/>
      <c r="FR859" s="106"/>
      <c r="FS859" s="106"/>
      <c r="FT859" s="106"/>
      <c r="FU859" s="106"/>
    </row>
    <row r="860" spans="30:177" ht="6.95" customHeight="1" x14ac:dyDescent="0.15"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3"/>
      <c r="BF860" s="93"/>
      <c r="BG860" s="93"/>
      <c r="BH860" s="93"/>
      <c r="BI860" s="93"/>
      <c r="BJ860" s="93"/>
      <c r="BK860" s="93"/>
      <c r="BL860" s="93"/>
      <c r="BM860" s="93"/>
      <c r="BN860" s="93"/>
      <c r="BO860" s="93"/>
      <c r="BP860" s="93"/>
      <c r="BR860" s="93"/>
      <c r="BS860" s="93"/>
      <c r="BT860" s="93"/>
      <c r="BU860" s="93"/>
      <c r="BV860" s="93"/>
      <c r="BW860" s="93"/>
      <c r="BX860" s="93"/>
      <c r="BY860" s="93"/>
      <c r="BZ860" s="93"/>
      <c r="CA860" s="93"/>
      <c r="CB860" s="93"/>
      <c r="CC860" s="93"/>
      <c r="CD860" s="93"/>
      <c r="CE860" s="93"/>
      <c r="CF860" s="93"/>
      <c r="CG860" s="93"/>
      <c r="CH860" s="93"/>
      <c r="CI860" s="93"/>
      <c r="CJ860" s="93"/>
      <c r="CK860" s="93"/>
      <c r="CL860" s="93"/>
      <c r="CM860" s="93"/>
      <c r="CN860" s="93"/>
      <c r="CO860" s="93"/>
      <c r="CP860" s="93"/>
      <c r="CQ860" s="93"/>
      <c r="CR860" s="93"/>
      <c r="CS860" s="93"/>
      <c r="CT860" s="93"/>
      <c r="CU860" s="93"/>
      <c r="CV860" s="93"/>
      <c r="CW860" s="93"/>
      <c r="CX860" s="93"/>
      <c r="CY860" s="93"/>
      <c r="CZ860" s="106"/>
      <c r="DA860" s="106"/>
      <c r="DB860" s="106"/>
      <c r="DC860" s="106"/>
      <c r="DD860" s="106"/>
      <c r="DE860" s="106"/>
      <c r="DF860" s="106"/>
      <c r="DG860" s="106"/>
      <c r="DH860" s="106"/>
      <c r="DI860" s="106"/>
      <c r="DJ860" s="106"/>
      <c r="DK860" s="106"/>
      <c r="DL860" s="106"/>
      <c r="DM860" s="106"/>
      <c r="DN860" s="106"/>
      <c r="DO860" s="106"/>
      <c r="DP860" s="106"/>
      <c r="DQ860" s="106"/>
      <c r="DR860" s="106"/>
      <c r="DS860" s="106"/>
      <c r="DT860" s="106"/>
      <c r="DU860" s="106"/>
      <c r="DV860" s="106"/>
      <c r="DW860" s="106"/>
      <c r="DX860" s="106"/>
      <c r="DY860" s="106"/>
      <c r="DZ860" s="106"/>
      <c r="EA860" s="106"/>
      <c r="EB860" s="106"/>
      <c r="EC860" s="106"/>
      <c r="ED860" s="106"/>
      <c r="EE860" s="106"/>
      <c r="EF860" s="106"/>
      <c r="EG860" s="106"/>
      <c r="EH860" s="106"/>
      <c r="EI860" s="106"/>
      <c r="EJ860" s="106"/>
      <c r="EK860" s="106"/>
      <c r="EL860" s="106"/>
      <c r="EM860" s="106"/>
      <c r="EN860" s="106"/>
      <c r="EO860" s="106"/>
      <c r="EP860" s="106"/>
      <c r="EQ860" s="106"/>
      <c r="ER860" s="106"/>
      <c r="ES860" s="106"/>
      <c r="ET860" s="106"/>
      <c r="EU860" s="106"/>
      <c r="EV860" s="106"/>
      <c r="EW860" s="106"/>
      <c r="EX860" s="106"/>
      <c r="EY860" s="106"/>
      <c r="EZ860" s="106"/>
      <c r="FA860" s="106"/>
      <c r="FB860" s="106"/>
      <c r="FC860" s="106"/>
      <c r="FD860" s="106"/>
      <c r="FE860" s="106"/>
      <c r="FF860" s="106"/>
      <c r="FG860" s="106"/>
      <c r="FH860" s="106"/>
      <c r="FI860" s="106"/>
      <c r="FJ860" s="106"/>
      <c r="FK860" s="106"/>
      <c r="FL860" s="106"/>
      <c r="FM860" s="106"/>
      <c r="FN860" s="106"/>
      <c r="FO860" s="106"/>
      <c r="FP860" s="106"/>
      <c r="FQ860" s="106"/>
      <c r="FR860" s="106"/>
      <c r="FS860" s="106"/>
      <c r="FT860" s="106"/>
      <c r="FU860" s="106"/>
    </row>
    <row r="861" spans="30:177" ht="6.95" customHeight="1" x14ac:dyDescent="0.15"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  <c r="AZ861" s="93"/>
      <c r="BA861" s="93"/>
      <c r="BB861" s="93"/>
      <c r="BC861" s="93"/>
      <c r="BD861" s="93"/>
      <c r="BE861" s="93"/>
      <c r="BF861" s="93"/>
      <c r="BG861" s="93"/>
      <c r="BH861" s="93"/>
      <c r="BI861" s="93"/>
      <c r="BJ861" s="93"/>
      <c r="BK861" s="93"/>
      <c r="BL861" s="93"/>
      <c r="BM861" s="93"/>
      <c r="BN861" s="93"/>
      <c r="BO861" s="93"/>
      <c r="BP861" s="93"/>
      <c r="BR861" s="93"/>
      <c r="BS861" s="93"/>
      <c r="BT861" s="93"/>
      <c r="BU861" s="93"/>
      <c r="BV861" s="93"/>
      <c r="BW861" s="93"/>
      <c r="BX861" s="93"/>
      <c r="BY861" s="93"/>
      <c r="BZ861" s="93"/>
      <c r="CA861" s="93"/>
      <c r="CB861" s="93"/>
      <c r="CC861" s="93"/>
      <c r="CD861" s="93"/>
      <c r="CE861" s="93"/>
      <c r="CF861" s="93"/>
      <c r="CG861" s="93"/>
      <c r="CH861" s="93"/>
      <c r="CI861" s="93"/>
      <c r="CJ861" s="93"/>
      <c r="CK861" s="93"/>
      <c r="CL861" s="93"/>
      <c r="CM861" s="93"/>
      <c r="CN861" s="93"/>
      <c r="CO861" s="93"/>
      <c r="CP861" s="93"/>
      <c r="CQ861" s="93"/>
      <c r="CR861" s="93"/>
      <c r="CS861" s="93"/>
      <c r="CT861" s="93"/>
      <c r="CU861" s="93"/>
      <c r="CV861" s="93"/>
      <c r="CW861" s="93"/>
      <c r="CX861" s="93"/>
      <c r="CY861" s="93"/>
      <c r="CZ861" s="106"/>
      <c r="DA861" s="106"/>
      <c r="DB861" s="106"/>
      <c r="DC861" s="106"/>
      <c r="DD861" s="106"/>
      <c r="DE861" s="106"/>
      <c r="DF861" s="106"/>
      <c r="DG861" s="106"/>
      <c r="DH861" s="106"/>
      <c r="DI861" s="106"/>
      <c r="DJ861" s="106"/>
      <c r="DK861" s="106"/>
      <c r="DL861" s="106"/>
      <c r="DM861" s="106"/>
      <c r="DN861" s="106"/>
      <c r="DO861" s="106"/>
      <c r="DP861" s="106"/>
      <c r="DQ861" s="106"/>
      <c r="DR861" s="106"/>
      <c r="DS861" s="106"/>
      <c r="DT861" s="106"/>
      <c r="DU861" s="106"/>
      <c r="DV861" s="106"/>
      <c r="DW861" s="106"/>
      <c r="DX861" s="106"/>
      <c r="DY861" s="106"/>
      <c r="DZ861" s="106"/>
      <c r="EA861" s="106"/>
      <c r="EB861" s="106"/>
      <c r="EC861" s="106"/>
      <c r="ED861" s="106"/>
      <c r="EE861" s="106"/>
      <c r="EF861" s="106"/>
      <c r="EG861" s="106"/>
      <c r="EH861" s="106"/>
      <c r="EI861" s="106"/>
      <c r="EJ861" s="106"/>
      <c r="EK861" s="106"/>
      <c r="EL861" s="106"/>
      <c r="EM861" s="106"/>
      <c r="EN861" s="106"/>
      <c r="EO861" s="106"/>
      <c r="EP861" s="106"/>
      <c r="EQ861" s="106"/>
      <c r="ER861" s="106"/>
      <c r="ES861" s="106"/>
      <c r="ET861" s="106"/>
      <c r="EU861" s="106"/>
      <c r="EV861" s="106"/>
      <c r="EW861" s="106"/>
      <c r="EX861" s="106"/>
      <c r="EY861" s="106"/>
      <c r="EZ861" s="106"/>
      <c r="FA861" s="106"/>
      <c r="FB861" s="106"/>
      <c r="FC861" s="106"/>
      <c r="FD861" s="106"/>
      <c r="FE861" s="106"/>
      <c r="FF861" s="106"/>
      <c r="FG861" s="106"/>
      <c r="FH861" s="106"/>
      <c r="FI861" s="106"/>
      <c r="FJ861" s="106"/>
      <c r="FK861" s="106"/>
      <c r="FL861" s="106"/>
      <c r="FM861" s="106"/>
      <c r="FN861" s="106"/>
      <c r="FO861" s="106"/>
      <c r="FP861" s="106"/>
      <c r="FQ861" s="106"/>
      <c r="FR861" s="106"/>
      <c r="FS861" s="106"/>
      <c r="FT861" s="106"/>
      <c r="FU861" s="106"/>
    </row>
    <row r="862" spans="30:177" ht="6.95" customHeight="1" x14ac:dyDescent="0.15"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  <c r="AZ862" s="93"/>
      <c r="BA862" s="93"/>
      <c r="BB862" s="93"/>
      <c r="BC862" s="93"/>
      <c r="BD862" s="93"/>
      <c r="BE862" s="93"/>
      <c r="BF862" s="93"/>
      <c r="BG862" s="93"/>
      <c r="BH862" s="93"/>
      <c r="BI862" s="93"/>
      <c r="BJ862" s="93"/>
      <c r="BK862" s="93"/>
      <c r="BL862" s="93"/>
      <c r="BM862" s="93"/>
      <c r="BN862" s="93"/>
      <c r="BO862" s="93"/>
      <c r="BP862" s="93"/>
      <c r="BR862" s="93"/>
      <c r="BS862" s="93"/>
      <c r="BT862" s="93"/>
      <c r="BU862" s="93"/>
      <c r="BV862" s="93"/>
      <c r="BW862" s="93"/>
      <c r="BX862" s="93"/>
      <c r="BY862" s="93"/>
      <c r="BZ862" s="93"/>
      <c r="CA862" s="93"/>
      <c r="CB862" s="93"/>
      <c r="CC862" s="93"/>
      <c r="CD862" s="93"/>
      <c r="CE862" s="93"/>
      <c r="CF862" s="93"/>
      <c r="CG862" s="93"/>
      <c r="CH862" s="93"/>
      <c r="CI862" s="93"/>
      <c r="CJ862" s="93"/>
      <c r="CK862" s="93"/>
      <c r="CL862" s="93"/>
      <c r="CM862" s="93"/>
      <c r="CN862" s="93"/>
      <c r="CO862" s="93"/>
      <c r="CP862" s="93"/>
      <c r="CQ862" s="93"/>
      <c r="CR862" s="93"/>
      <c r="CS862" s="93"/>
      <c r="CT862" s="93"/>
      <c r="CU862" s="93"/>
      <c r="CV862" s="93"/>
      <c r="CW862" s="93"/>
      <c r="CX862" s="93"/>
      <c r="CY862" s="93"/>
      <c r="CZ862" s="106"/>
      <c r="DA862" s="106"/>
      <c r="DB862" s="106"/>
      <c r="DC862" s="106"/>
      <c r="DD862" s="106"/>
      <c r="DE862" s="106"/>
      <c r="DF862" s="106"/>
      <c r="DG862" s="106"/>
      <c r="DH862" s="106"/>
      <c r="DI862" s="106"/>
      <c r="DJ862" s="106"/>
      <c r="DK862" s="106"/>
      <c r="DL862" s="106"/>
      <c r="DM862" s="106"/>
      <c r="DN862" s="106"/>
      <c r="DO862" s="106"/>
      <c r="DP862" s="106"/>
      <c r="DQ862" s="106"/>
      <c r="DR862" s="106"/>
      <c r="DS862" s="106"/>
      <c r="DT862" s="106"/>
      <c r="DU862" s="106"/>
      <c r="DV862" s="106"/>
      <c r="DW862" s="106"/>
      <c r="DX862" s="106"/>
      <c r="DY862" s="106"/>
      <c r="DZ862" s="106"/>
      <c r="EA862" s="106"/>
      <c r="EB862" s="106"/>
      <c r="EC862" s="106"/>
      <c r="ED862" s="106"/>
      <c r="EE862" s="106"/>
      <c r="EF862" s="106"/>
      <c r="EG862" s="106"/>
      <c r="EH862" s="106"/>
      <c r="EI862" s="106"/>
      <c r="EJ862" s="106"/>
      <c r="EK862" s="106"/>
      <c r="EL862" s="106"/>
      <c r="EM862" s="106"/>
      <c r="EN862" s="106"/>
      <c r="EO862" s="106"/>
      <c r="EP862" s="106"/>
      <c r="EQ862" s="106"/>
      <c r="ER862" s="106"/>
      <c r="ES862" s="106"/>
      <c r="ET862" s="106"/>
      <c r="EU862" s="106"/>
      <c r="EV862" s="106"/>
      <c r="EW862" s="106"/>
      <c r="EX862" s="106"/>
      <c r="EY862" s="106"/>
      <c r="EZ862" s="106"/>
      <c r="FA862" s="106"/>
      <c r="FB862" s="106"/>
      <c r="FC862" s="106"/>
      <c r="FD862" s="106"/>
      <c r="FE862" s="106"/>
      <c r="FF862" s="106"/>
      <c r="FG862" s="106"/>
      <c r="FH862" s="106"/>
      <c r="FI862" s="106"/>
      <c r="FJ862" s="106"/>
      <c r="FK862" s="106"/>
      <c r="FL862" s="106"/>
      <c r="FM862" s="106"/>
      <c r="FN862" s="106"/>
      <c r="FO862" s="106"/>
      <c r="FP862" s="106"/>
      <c r="FQ862" s="106"/>
      <c r="FR862" s="106"/>
      <c r="FS862" s="106"/>
      <c r="FT862" s="106"/>
      <c r="FU862" s="106"/>
    </row>
    <row r="863" spans="30:177" ht="6.95" customHeight="1" x14ac:dyDescent="0.15"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  <c r="AZ863" s="93"/>
      <c r="BA863" s="93"/>
      <c r="BB863" s="93"/>
      <c r="BC863" s="93"/>
      <c r="BD863" s="93"/>
      <c r="BE863" s="93"/>
      <c r="BF863" s="93"/>
      <c r="BG863" s="93"/>
      <c r="BH863" s="93"/>
      <c r="BI863" s="93"/>
      <c r="BJ863" s="93"/>
      <c r="BK863" s="93"/>
      <c r="BL863" s="93"/>
      <c r="BM863" s="93"/>
      <c r="BN863" s="93"/>
      <c r="BO863" s="93"/>
      <c r="BP863" s="93"/>
      <c r="BR863" s="93"/>
      <c r="BS863" s="93"/>
      <c r="BT863" s="93"/>
      <c r="BU863" s="93"/>
      <c r="BV863" s="93"/>
      <c r="BW863" s="93"/>
      <c r="BX863" s="93"/>
      <c r="BY863" s="93"/>
      <c r="BZ863" s="93"/>
      <c r="CA863" s="93"/>
      <c r="CB863" s="93"/>
      <c r="CC863" s="93"/>
      <c r="CD863" s="93"/>
      <c r="CE863" s="93"/>
      <c r="CF863" s="93"/>
      <c r="CG863" s="93"/>
      <c r="CH863" s="93"/>
      <c r="CI863" s="93"/>
      <c r="CJ863" s="93"/>
      <c r="CK863" s="93"/>
      <c r="CL863" s="93"/>
      <c r="CM863" s="93"/>
      <c r="CN863" s="93"/>
      <c r="CO863" s="93"/>
      <c r="CP863" s="93"/>
      <c r="CQ863" s="93"/>
      <c r="CR863" s="93"/>
      <c r="CS863" s="93"/>
      <c r="CT863" s="93"/>
      <c r="CU863" s="93"/>
      <c r="CV863" s="93"/>
      <c r="CW863" s="93"/>
      <c r="CX863" s="93"/>
      <c r="CY863" s="93"/>
      <c r="CZ863" s="106"/>
      <c r="DA863" s="106"/>
      <c r="DB863" s="106"/>
      <c r="DC863" s="106"/>
      <c r="DD863" s="106"/>
      <c r="DE863" s="106"/>
      <c r="DF863" s="106"/>
      <c r="DG863" s="106"/>
      <c r="DH863" s="106"/>
      <c r="DI863" s="106"/>
      <c r="DJ863" s="106"/>
      <c r="DK863" s="106"/>
      <c r="DL863" s="106"/>
      <c r="DM863" s="106"/>
      <c r="DN863" s="106"/>
      <c r="DO863" s="106"/>
      <c r="DP863" s="106"/>
      <c r="DQ863" s="106"/>
      <c r="DR863" s="106"/>
      <c r="DS863" s="106"/>
      <c r="DT863" s="106"/>
      <c r="DU863" s="106"/>
      <c r="DV863" s="106"/>
      <c r="DW863" s="106"/>
      <c r="DX863" s="106"/>
      <c r="DY863" s="106"/>
      <c r="DZ863" s="106"/>
      <c r="EA863" s="106"/>
      <c r="EB863" s="106"/>
      <c r="EC863" s="106"/>
      <c r="ED863" s="106"/>
      <c r="EE863" s="106"/>
      <c r="EF863" s="106"/>
      <c r="EG863" s="106"/>
      <c r="EH863" s="106"/>
      <c r="EI863" s="106"/>
      <c r="EJ863" s="106"/>
      <c r="EK863" s="106"/>
      <c r="EL863" s="106"/>
      <c r="EM863" s="106"/>
      <c r="EN863" s="106"/>
      <c r="EO863" s="106"/>
      <c r="EP863" s="106"/>
      <c r="EQ863" s="106"/>
      <c r="ER863" s="106"/>
      <c r="ES863" s="106"/>
      <c r="ET863" s="106"/>
      <c r="EU863" s="106"/>
      <c r="EV863" s="106"/>
      <c r="EW863" s="106"/>
      <c r="EX863" s="106"/>
      <c r="EY863" s="106"/>
      <c r="EZ863" s="106"/>
      <c r="FA863" s="106"/>
      <c r="FB863" s="106"/>
      <c r="FC863" s="106"/>
      <c r="FD863" s="106"/>
      <c r="FE863" s="106"/>
      <c r="FF863" s="106"/>
      <c r="FG863" s="106"/>
      <c r="FH863" s="106"/>
      <c r="FI863" s="106"/>
      <c r="FJ863" s="106"/>
      <c r="FK863" s="106"/>
      <c r="FL863" s="106"/>
      <c r="FM863" s="106"/>
      <c r="FN863" s="106"/>
      <c r="FO863" s="106"/>
      <c r="FP863" s="106"/>
      <c r="FQ863" s="106"/>
      <c r="FR863" s="106"/>
      <c r="FS863" s="106"/>
      <c r="FT863" s="106"/>
      <c r="FU863" s="106"/>
    </row>
    <row r="864" spans="30:177" ht="6.95" customHeight="1" x14ac:dyDescent="0.15"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  <c r="AZ864" s="93"/>
      <c r="BA864" s="93"/>
      <c r="BB864" s="93"/>
      <c r="BC864" s="93"/>
      <c r="BD864" s="93"/>
      <c r="BE864" s="93"/>
      <c r="BF864" s="93"/>
      <c r="BG864" s="93"/>
      <c r="BH864" s="93"/>
      <c r="BI864" s="93"/>
      <c r="BJ864" s="93"/>
      <c r="BK864" s="93"/>
      <c r="BL864" s="93"/>
      <c r="BM864" s="93"/>
      <c r="BN864" s="93"/>
      <c r="BO864" s="93"/>
      <c r="BP864" s="93"/>
      <c r="BR864" s="93"/>
      <c r="BS864" s="93"/>
      <c r="BT864" s="93"/>
      <c r="BU864" s="93"/>
      <c r="BV864" s="93"/>
      <c r="BW864" s="93"/>
      <c r="BX864" s="93"/>
      <c r="BY864" s="93"/>
      <c r="BZ864" s="93"/>
      <c r="CA864" s="93"/>
      <c r="CB864" s="93"/>
      <c r="CC864" s="93"/>
      <c r="CD864" s="93"/>
      <c r="CE864" s="93"/>
      <c r="CF864" s="93"/>
      <c r="CG864" s="93"/>
      <c r="CH864" s="93"/>
      <c r="CI864" s="93"/>
      <c r="CJ864" s="93"/>
      <c r="CK864" s="93"/>
      <c r="CL864" s="93"/>
      <c r="CM864" s="93"/>
      <c r="CN864" s="93"/>
      <c r="CO864" s="93"/>
      <c r="CP864" s="93"/>
      <c r="CQ864" s="93"/>
      <c r="CR864" s="93"/>
      <c r="CS864" s="93"/>
      <c r="CT864" s="93"/>
      <c r="CU864" s="93"/>
      <c r="CV864" s="93"/>
      <c r="CW864" s="93"/>
      <c r="CX864" s="93"/>
      <c r="CY864" s="93"/>
      <c r="CZ864" s="106"/>
      <c r="DA864" s="106"/>
      <c r="DB864" s="106"/>
      <c r="DC864" s="106"/>
      <c r="DD864" s="106"/>
      <c r="DE864" s="106"/>
      <c r="DF864" s="106"/>
      <c r="DG864" s="106"/>
      <c r="DH864" s="106"/>
      <c r="DI864" s="106"/>
      <c r="DJ864" s="106"/>
      <c r="DK864" s="106"/>
      <c r="DL864" s="106"/>
      <c r="DM864" s="106"/>
      <c r="DN864" s="106"/>
      <c r="DO864" s="106"/>
      <c r="DP864" s="106"/>
      <c r="DQ864" s="106"/>
      <c r="DR864" s="106"/>
      <c r="DS864" s="106"/>
      <c r="DT864" s="106"/>
      <c r="DU864" s="106"/>
      <c r="DV864" s="106"/>
      <c r="DW864" s="106"/>
      <c r="DX864" s="106"/>
      <c r="DY864" s="106"/>
      <c r="DZ864" s="106"/>
      <c r="EA864" s="106"/>
      <c r="EB864" s="106"/>
      <c r="EC864" s="106"/>
      <c r="ED864" s="106"/>
      <c r="EE864" s="106"/>
      <c r="EF864" s="106"/>
      <c r="EG864" s="106"/>
      <c r="EH864" s="106"/>
      <c r="EI864" s="106"/>
      <c r="EJ864" s="106"/>
      <c r="EK864" s="106"/>
      <c r="EL864" s="106"/>
      <c r="EM864" s="106"/>
      <c r="EN864" s="106"/>
      <c r="EO864" s="106"/>
      <c r="EP864" s="106"/>
      <c r="EQ864" s="106"/>
      <c r="ER864" s="106"/>
      <c r="ES864" s="106"/>
      <c r="ET864" s="106"/>
      <c r="EU864" s="106"/>
      <c r="EV864" s="106"/>
      <c r="EW864" s="106"/>
      <c r="EX864" s="106"/>
      <c r="EY864" s="106"/>
      <c r="EZ864" s="106"/>
      <c r="FA864" s="106"/>
      <c r="FB864" s="106"/>
      <c r="FC864" s="106"/>
      <c r="FD864" s="106"/>
      <c r="FE864" s="106"/>
      <c r="FF864" s="106"/>
      <c r="FG864" s="106"/>
      <c r="FH864" s="106"/>
      <c r="FI864" s="106"/>
      <c r="FJ864" s="106"/>
      <c r="FK864" s="106"/>
      <c r="FL864" s="106"/>
      <c r="FM864" s="106"/>
      <c r="FN864" s="106"/>
      <c r="FO864" s="106"/>
      <c r="FP864" s="106"/>
      <c r="FQ864" s="106"/>
      <c r="FR864" s="106"/>
      <c r="FS864" s="106"/>
      <c r="FT864" s="106"/>
      <c r="FU864" s="106"/>
    </row>
    <row r="865" spans="30:177" ht="6.95" customHeight="1" x14ac:dyDescent="0.15"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3"/>
      <c r="BD865" s="93"/>
      <c r="BE865" s="93"/>
      <c r="BF865" s="93"/>
      <c r="BG865" s="93"/>
      <c r="BH865" s="93"/>
      <c r="BI865" s="93"/>
      <c r="BJ865" s="93"/>
      <c r="BK865" s="93"/>
      <c r="BL865" s="93"/>
      <c r="BM865" s="93"/>
      <c r="BN865" s="93"/>
      <c r="BO865" s="93"/>
      <c r="BP865" s="93"/>
      <c r="BR865" s="93"/>
      <c r="BS865" s="93"/>
      <c r="BT865" s="93"/>
      <c r="BU865" s="93"/>
      <c r="BV865" s="93"/>
      <c r="BW865" s="93"/>
      <c r="BX865" s="93"/>
      <c r="BY865" s="93"/>
      <c r="BZ865" s="93"/>
      <c r="CA865" s="93"/>
      <c r="CB865" s="93"/>
      <c r="CC865" s="93"/>
      <c r="CD865" s="93"/>
      <c r="CE865" s="93"/>
      <c r="CF865" s="93"/>
      <c r="CG865" s="93"/>
      <c r="CH865" s="93"/>
      <c r="CI865" s="93"/>
      <c r="CJ865" s="93"/>
      <c r="CK865" s="93"/>
      <c r="CL865" s="93"/>
      <c r="CM865" s="93"/>
      <c r="CN865" s="93"/>
      <c r="CO865" s="93"/>
      <c r="CP865" s="93"/>
      <c r="CQ865" s="93"/>
      <c r="CR865" s="93"/>
      <c r="CS865" s="93"/>
      <c r="CT865" s="93"/>
      <c r="CU865" s="93"/>
      <c r="CV865" s="93"/>
      <c r="CW865" s="93"/>
      <c r="CX865" s="93"/>
      <c r="CY865" s="93"/>
      <c r="CZ865" s="106"/>
      <c r="DA865" s="106"/>
      <c r="DB865" s="106"/>
      <c r="DC865" s="106"/>
      <c r="DD865" s="106"/>
      <c r="DE865" s="106"/>
      <c r="DF865" s="106"/>
      <c r="DG865" s="106"/>
      <c r="DH865" s="106"/>
      <c r="DI865" s="106"/>
      <c r="DJ865" s="106"/>
      <c r="DK865" s="106"/>
      <c r="DL865" s="106"/>
      <c r="DM865" s="106"/>
      <c r="DN865" s="106"/>
      <c r="DO865" s="106"/>
      <c r="DP865" s="106"/>
      <c r="DQ865" s="106"/>
      <c r="DR865" s="106"/>
      <c r="DS865" s="106"/>
      <c r="DT865" s="106"/>
      <c r="DU865" s="106"/>
      <c r="DV865" s="106"/>
      <c r="DW865" s="106"/>
      <c r="DX865" s="106"/>
      <c r="DY865" s="106"/>
      <c r="DZ865" s="106"/>
      <c r="EA865" s="106"/>
      <c r="EB865" s="106"/>
      <c r="EC865" s="106"/>
      <c r="ED865" s="106"/>
      <c r="EE865" s="106"/>
      <c r="EF865" s="106"/>
      <c r="EG865" s="106"/>
      <c r="EH865" s="106"/>
      <c r="EI865" s="106"/>
      <c r="EJ865" s="106"/>
      <c r="EK865" s="106"/>
      <c r="EL865" s="106"/>
      <c r="EM865" s="106"/>
      <c r="EN865" s="106"/>
      <c r="EO865" s="106"/>
      <c r="EP865" s="106"/>
      <c r="EQ865" s="106"/>
      <c r="ER865" s="106"/>
      <c r="ES865" s="106"/>
      <c r="ET865" s="106"/>
      <c r="EU865" s="106"/>
      <c r="EV865" s="106"/>
      <c r="EW865" s="106"/>
      <c r="EX865" s="106"/>
      <c r="EY865" s="106"/>
      <c r="EZ865" s="106"/>
      <c r="FA865" s="106"/>
      <c r="FB865" s="106"/>
      <c r="FC865" s="106"/>
      <c r="FD865" s="106"/>
      <c r="FE865" s="106"/>
      <c r="FF865" s="106"/>
      <c r="FG865" s="106"/>
      <c r="FH865" s="106"/>
      <c r="FI865" s="106"/>
      <c r="FJ865" s="106"/>
      <c r="FK865" s="106"/>
      <c r="FL865" s="106"/>
      <c r="FM865" s="106"/>
      <c r="FN865" s="106"/>
      <c r="FO865" s="106"/>
      <c r="FP865" s="106"/>
      <c r="FQ865" s="106"/>
      <c r="FR865" s="106"/>
      <c r="FS865" s="106"/>
      <c r="FT865" s="106"/>
      <c r="FU865" s="106"/>
    </row>
    <row r="866" spans="30:177" ht="6.95" customHeight="1" x14ac:dyDescent="0.15"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3"/>
      <c r="BF866" s="93"/>
      <c r="BG866" s="93"/>
      <c r="BH866" s="93"/>
      <c r="BI866" s="93"/>
      <c r="BJ866" s="93"/>
      <c r="BK866" s="93"/>
      <c r="BL866" s="93"/>
      <c r="BM866" s="93"/>
      <c r="BN866" s="93"/>
      <c r="BO866" s="93"/>
      <c r="BP866" s="93"/>
      <c r="BR866" s="93"/>
      <c r="BS866" s="93"/>
      <c r="BT866" s="93"/>
      <c r="BU866" s="93"/>
      <c r="BV866" s="93"/>
      <c r="BW866" s="93"/>
      <c r="BX866" s="93"/>
      <c r="BY866" s="93"/>
      <c r="BZ866" s="93"/>
      <c r="CA866" s="93"/>
      <c r="CB866" s="93"/>
      <c r="CC866" s="93"/>
      <c r="CD866" s="93"/>
      <c r="CE866" s="93"/>
      <c r="CF866" s="93"/>
      <c r="CG866" s="93"/>
      <c r="CH866" s="93"/>
      <c r="CI866" s="93"/>
      <c r="CJ866" s="93"/>
      <c r="CK866" s="93"/>
      <c r="CL866" s="93"/>
      <c r="CM866" s="93"/>
      <c r="CN866" s="93"/>
      <c r="CO866" s="93"/>
      <c r="CP866" s="93"/>
      <c r="CQ866" s="93"/>
      <c r="CR866" s="93"/>
      <c r="CS866" s="93"/>
      <c r="CT866" s="93"/>
      <c r="CU866" s="93"/>
      <c r="CV866" s="93"/>
      <c r="CW866" s="93"/>
      <c r="CX866" s="93"/>
      <c r="CY866" s="93"/>
      <c r="CZ866" s="106"/>
      <c r="DA866" s="106"/>
      <c r="DB866" s="106"/>
      <c r="DC866" s="106"/>
      <c r="DD866" s="106"/>
      <c r="DE866" s="106"/>
      <c r="DF866" s="106"/>
      <c r="DG866" s="106"/>
      <c r="DH866" s="106"/>
      <c r="DI866" s="106"/>
      <c r="DJ866" s="106"/>
      <c r="DK866" s="106"/>
      <c r="DL866" s="106"/>
      <c r="DM866" s="106"/>
      <c r="DN866" s="106"/>
      <c r="DO866" s="106"/>
      <c r="DP866" s="106"/>
      <c r="DQ866" s="106"/>
      <c r="DR866" s="106"/>
      <c r="DS866" s="106"/>
      <c r="DT866" s="106"/>
      <c r="DU866" s="106"/>
      <c r="DV866" s="106"/>
      <c r="DW866" s="106"/>
      <c r="DX866" s="106"/>
      <c r="DY866" s="106"/>
      <c r="DZ866" s="106"/>
      <c r="EA866" s="106"/>
      <c r="EB866" s="106"/>
      <c r="EC866" s="106"/>
      <c r="ED866" s="106"/>
      <c r="EE866" s="106"/>
      <c r="EF866" s="106"/>
      <c r="EG866" s="106"/>
      <c r="EH866" s="106"/>
      <c r="EI866" s="106"/>
      <c r="EJ866" s="106"/>
      <c r="EK866" s="106"/>
      <c r="EL866" s="106"/>
      <c r="EM866" s="106"/>
      <c r="EN866" s="106"/>
      <c r="EO866" s="106"/>
      <c r="EP866" s="106"/>
      <c r="EQ866" s="106"/>
      <c r="ER866" s="106"/>
      <c r="ES866" s="106"/>
      <c r="ET866" s="106"/>
      <c r="EU866" s="106"/>
      <c r="EV866" s="106"/>
      <c r="EW866" s="106"/>
      <c r="EX866" s="106"/>
      <c r="EY866" s="106"/>
      <c r="EZ866" s="106"/>
      <c r="FA866" s="106"/>
      <c r="FB866" s="106"/>
      <c r="FC866" s="106"/>
      <c r="FD866" s="106"/>
      <c r="FE866" s="106"/>
      <c r="FF866" s="106"/>
      <c r="FG866" s="106"/>
      <c r="FH866" s="106"/>
      <c r="FI866" s="106"/>
      <c r="FJ866" s="106"/>
      <c r="FK866" s="106"/>
      <c r="FL866" s="106"/>
      <c r="FM866" s="106"/>
      <c r="FN866" s="106"/>
      <c r="FO866" s="106"/>
      <c r="FP866" s="106"/>
      <c r="FQ866" s="106"/>
      <c r="FR866" s="106"/>
      <c r="FS866" s="106"/>
      <c r="FT866" s="106"/>
      <c r="FU866" s="106"/>
    </row>
    <row r="867" spans="30:177" ht="6.95" customHeight="1" x14ac:dyDescent="0.15"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  <c r="AZ867" s="93"/>
      <c r="BA867" s="93"/>
      <c r="BB867" s="93"/>
      <c r="BC867" s="93"/>
      <c r="BD867" s="93"/>
      <c r="BE867" s="93"/>
      <c r="BF867" s="93"/>
      <c r="BG867" s="93"/>
      <c r="BH867" s="93"/>
      <c r="BI867" s="93"/>
      <c r="BJ867" s="93"/>
      <c r="BK867" s="93"/>
      <c r="BL867" s="93"/>
      <c r="BM867" s="93"/>
      <c r="BN867" s="93"/>
      <c r="BO867" s="93"/>
      <c r="BP867" s="93"/>
      <c r="BR867" s="93"/>
      <c r="BS867" s="93"/>
      <c r="BT867" s="93"/>
      <c r="BU867" s="93"/>
      <c r="BV867" s="93"/>
      <c r="BW867" s="93"/>
      <c r="BX867" s="93"/>
      <c r="BY867" s="93"/>
      <c r="BZ867" s="93"/>
      <c r="CA867" s="93"/>
      <c r="CB867" s="93"/>
      <c r="CC867" s="93"/>
      <c r="CD867" s="93"/>
      <c r="CE867" s="93"/>
      <c r="CF867" s="93"/>
      <c r="CG867" s="93"/>
      <c r="CH867" s="93"/>
      <c r="CI867" s="93"/>
      <c r="CJ867" s="93"/>
      <c r="CK867" s="93"/>
      <c r="CL867" s="93"/>
      <c r="CM867" s="93"/>
      <c r="CN867" s="93"/>
      <c r="CO867" s="93"/>
      <c r="CP867" s="93"/>
      <c r="CQ867" s="93"/>
      <c r="CR867" s="93"/>
      <c r="CS867" s="93"/>
      <c r="CT867" s="93"/>
      <c r="CU867" s="93"/>
      <c r="CV867" s="93"/>
      <c r="CW867" s="93"/>
      <c r="CX867" s="93"/>
      <c r="CY867" s="93"/>
      <c r="CZ867" s="106"/>
      <c r="DA867" s="106"/>
      <c r="DB867" s="106"/>
      <c r="DC867" s="106"/>
      <c r="DD867" s="106"/>
      <c r="DE867" s="106"/>
      <c r="DF867" s="106"/>
      <c r="DG867" s="106"/>
      <c r="DH867" s="106"/>
      <c r="DI867" s="106"/>
      <c r="DJ867" s="106"/>
      <c r="DK867" s="106"/>
      <c r="DL867" s="106"/>
      <c r="DM867" s="106"/>
      <c r="DN867" s="106"/>
      <c r="DO867" s="106"/>
      <c r="DP867" s="106"/>
      <c r="DQ867" s="106"/>
      <c r="DR867" s="106"/>
      <c r="DS867" s="106"/>
      <c r="DT867" s="106"/>
      <c r="DU867" s="106"/>
      <c r="DV867" s="106"/>
      <c r="DW867" s="106"/>
      <c r="DX867" s="106"/>
      <c r="DY867" s="106"/>
      <c r="DZ867" s="106"/>
      <c r="EA867" s="106"/>
      <c r="EB867" s="106"/>
      <c r="EC867" s="106"/>
      <c r="ED867" s="106"/>
      <c r="EE867" s="106"/>
      <c r="EF867" s="106"/>
      <c r="EG867" s="106"/>
      <c r="EH867" s="106"/>
      <c r="EI867" s="106"/>
      <c r="EJ867" s="106"/>
      <c r="EK867" s="106"/>
      <c r="EL867" s="106"/>
      <c r="EM867" s="106"/>
      <c r="EN867" s="106"/>
      <c r="EO867" s="106"/>
      <c r="EP867" s="106"/>
      <c r="EQ867" s="106"/>
      <c r="ER867" s="106"/>
      <c r="ES867" s="106"/>
      <c r="ET867" s="106"/>
      <c r="EU867" s="106"/>
      <c r="EV867" s="106"/>
      <c r="EW867" s="106"/>
      <c r="EX867" s="106"/>
      <c r="EY867" s="106"/>
      <c r="EZ867" s="106"/>
      <c r="FA867" s="106"/>
      <c r="FB867" s="106"/>
      <c r="FC867" s="106"/>
      <c r="FD867" s="106"/>
      <c r="FE867" s="106"/>
      <c r="FF867" s="106"/>
      <c r="FG867" s="106"/>
      <c r="FH867" s="106"/>
      <c r="FI867" s="106"/>
      <c r="FJ867" s="106"/>
      <c r="FK867" s="106"/>
      <c r="FL867" s="106"/>
      <c r="FM867" s="106"/>
      <c r="FN867" s="106"/>
      <c r="FO867" s="106"/>
      <c r="FP867" s="106"/>
      <c r="FQ867" s="106"/>
      <c r="FR867" s="106"/>
      <c r="FS867" s="106"/>
      <c r="FT867" s="106"/>
      <c r="FU867" s="106"/>
    </row>
    <row r="868" spans="30:177" ht="6.95" customHeight="1" x14ac:dyDescent="0.15"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  <c r="AZ868" s="93"/>
      <c r="BA868" s="93"/>
      <c r="BB868" s="93"/>
      <c r="BC868" s="93"/>
      <c r="BD868" s="93"/>
      <c r="BE868" s="93"/>
      <c r="BF868" s="93"/>
      <c r="BG868" s="93"/>
      <c r="BH868" s="93"/>
      <c r="BI868" s="93"/>
      <c r="BJ868" s="93"/>
      <c r="BK868" s="93"/>
      <c r="BL868" s="93"/>
      <c r="BM868" s="93"/>
      <c r="BN868" s="93"/>
      <c r="BO868" s="93"/>
      <c r="BP868" s="93"/>
      <c r="BR868" s="93"/>
      <c r="BS868" s="93"/>
      <c r="BT868" s="93"/>
      <c r="BU868" s="93"/>
      <c r="BV868" s="93"/>
      <c r="BW868" s="93"/>
      <c r="BX868" s="93"/>
      <c r="BY868" s="93"/>
      <c r="BZ868" s="93"/>
      <c r="CA868" s="93"/>
      <c r="CB868" s="93"/>
      <c r="CC868" s="93"/>
      <c r="CD868" s="93"/>
      <c r="CE868" s="93"/>
      <c r="CF868" s="93"/>
      <c r="CG868" s="93"/>
      <c r="CH868" s="93"/>
      <c r="CI868" s="93"/>
      <c r="CJ868" s="93"/>
      <c r="CK868" s="93"/>
      <c r="CL868" s="93"/>
      <c r="CM868" s="93"/>
      <c r="CN868" s="93"/>
      <c r="CO868" s="93"/>
      <c r="CP868" s="93"/>
      <c r="CQ868" s="93"/>
      <c r="CR868" s="93"/>
      <c r="CS868" s="93"/>
      <c r="CT868" s="93"/>
      <c r="CU868" s="93"/>
      <c r="CV868" s="93"/>
      <c r="CW868" s="93"/>
      <c r="CX868" s="93"/>
      <c r="CY868" s="93"/>
      <c r="CZ868" s="106"/>
      <c r="DA868" s="106"/>
      <c r="DB868" s="106"/>
      <c r="DC868" s="106"/>
      <c r="DD868" s="106"/>
      <c r="DE868" s="106"/>
      <c r="DF868" s="106"/>
      <c r="DG868" s="106"/>
      <c r="DH868" s="106"/>
      <c r="DI868" s="106"/>
      <c r="DJ868" s="106"/>
      <c r="DK868" s="106"/>
      <c r="DL868" s="106"/>
      <c r="DM868" s="106"/>
      <c r="DN868" s="106"/>
      <c r="DO868" s="106"/>
      <c r="DP868" s="106"/>
      <c r="DQ868" s="106"/>
      <c r="DR868" s="106"/>
      <c r="DS868" s="106"/>
      <c r="DT868" s="106"/>
      <c r="DU868" s="106"/>
      <c r="DV868" s="106"/>
      <c r="DW868" s="106"/>
      <c r="DX868" s="106"/>
      <c r="DY868" s="106"/>
      <c r="DZ868" s="106"/>
      <c r="EA868" s="106"/>
      <c r="EB868" s="106"/>
      <c r="EC868" s="106"/>
      <c r="ED868" s="106"/>
      <c r="EE868" s="106"/>
      <c r="EF868" s="106"/>
      <c r="EG868" s="106"/>
      <c r="EH868" s="106"/>
      <c r="EI868" s="106"/>
      <c r="EJ868" s="106"/>
      <c r="EK868" s="106"/>
      <c r="EL868" s="106"/>
      <c r="EM868" s="106"/>
      <c r="EN868" s="106"/>
      <c r="EO868" s="106"/>
      <c r="EP868" s="106"/>
      <c r="EQ868" s="106"/>
      <c r="ER868" s="106"/>
      <c r="ES868" s="106"/>
      <c r="ET868" s="106"/>
      <c r="EU868" s="106"/>
      <c r="EV868" s="106"/>
      <c r="EW868" s="106"/>
      <c r="EX868" s="106"/>
      <c r="EY868" s="106"/>
      <c r="EZ868" s="106"/>
      <c r="FA868" s="106"/>
      <c r="FB868" s="106"/>
      <c r="FC868" s="106"/>
      <c r="FD868" s="106"/>
      <c r="FE868" s="106"/>
      <c r="FF868" s="106"/>
      <c r="FG868" s="106"/>
      <c r="FH868" s="106"/>
      <c r="FI868" s="106"/>
      <c r="FJ868" s="106"/>
      <c r="FK868" s="106"/>
      <c r="FL868" s="106"/>
      <c r="FM868" s="106"/>
      <c r="FN868" s="106"/>
      <c r="FO868" s="106"/>
      <c r="FP868" s="106"/>
      <c r="FQ868" s="106"/>
      <c r="FR868" s="106"/>
      <c r="FS868" s="106"/>
      <c r="FT868" s="106"/>
      <c r="FU868" s="106"/>
    </row>
    <row r="869" spans="30:177" ht="6.95" customHeight="1" x14ac:dyDescent="0.15"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3"/>
      <c r="BF869" s="93"/>
      <c r="BG869" s="93"/>
      <c r="BH869" s="93"/>
      <c r="BI869" s="93"/>
      <c r="BJ869" s="93"/>
      <c r="BK869" s="93"/>
      <c r="BL869" s="93"/>
      <c r="BM869" s="93"/>
      <c r="BN869" s="93"/>
      <c r="BO869" s="93"/>
      <c r="BP869" s="93"/>
      <c r="BR869" s="93"/>
      <c r="BS869" s="93"/>
      <c r="BT869" s="93"/>
      <c r="BU869" s="93"/>
      <c r="BV869" s="93"/>
      <c r="BW869" s="93"/>
      <c r="BX869" s="93"/>
      <c r="BY869" s="93"/>
      <c r="BZ869" s="93"/>
      <c r="CA869" s="93"/>
      <c r="CB869" s="93"/>
      <c r="CC869" s="93"/>
      <c r="CD869" s="93"/>
      <c r="CE869" s="93"/>
      <c r="CF869" s="93"/>
      <c r="CG869" s="93"/>
      <c r="CH869" s="93"/>
      <c r="CI869" s="93"/>
      <c r="CJ869" s="93"/>
      <c r="CK869" s="93"/>
      <c r="CL869" s="93"/>
      <c r="CM869" s="93"/>
      <c r="CN869" s="93"/>
      <c r="CO869" s="93"/>
      <c r="CP869" s="93"/>
      <c r="CQ869" s="93"/>
      <c r="CR869" s="93"/>
      <c r="CS869" s="93"/>
      <c r="CT869" s="93"/>
      <c r="CU869" s="93"/>
      <c r="CV869" s="93"/>
      <c r="CW869" s="93"/>
      <c r="CX869" s="93"/>
      <c r="CY869" s="93"/>
      <c r="CZ869" s="106"/>
      <c r="DA869" s="106"/>
      <c r="DB869" s="106"/>
      <c r="DC869" s="106"/>
      <c r="DD869" s="106"/>
      <c r="DE869" s="106"/>
      <c r="DF869" s="106"/>
      <c r="DG869" s="106"/>
      <c r="DH869" s="106"/>
      <c r="DI869" s="106"/>
      <c r="DJ869" s="106"/>
      <c r="DK869" s="106"/>
      <c r="DL869" s="106"/>
      <c r="DM869" s="106"/>
      <c r="DN869" s="106"/>
      <c r="DO869" s="106"/>
      <c r="DP869" s="106"/>
      <c r="DQ869" s="106"/>
      <c r="DR869" s="106"/>
      <c r="DS869" s="106"/>
      <c r="DT869" s="106"/>
      <c r="DU869" s="106"/>
      <c r="DV869" s="106"/>
      <c r="DW869" s="106"/>
      <c r="DX869" s="106"/>
      <c r="DY869" s="106"/>
      <c r="DZ869" s="106"/>
      <c r="EA869" s="106"/>
      <c r="EB869" s="106"/>
      <c r="EC869" s="106"/>
      <c r="ED869" s="106"/>
      <c r="EE869" s="106"/>
      <c r="EF869" s="106"/>
      <c r="EG869" s="106"/>
      <c r="EH869" s="106"/>
      <c r="EI869" s="106"/>
      <c r="EJ869" s="106"/>
      <c r="EK869" s="106"/>
      <c r="EL869" s="106"/>
      <c r="EM869" s="106"/>
      <c r="EN869" s="106"/>
      <c r="EO869" s="106"/>
      <c r="EP869" s="106"/>
      <c r="EQ869" s="106"/>
      <c r="ER869" s="106"/>
      <c r="ES869" s="106"/>
      <c r="ET869" s="106"/>
      <c r="EU869" s="106"/>
      <c r="EV869" s="106"/>
      <c r="EW869" s="106"/>
      <c r="EX869" s="106"/>
      <c r="EY869" s="106"/>
      <c r="EZ869" s="106"/>
      <c r="FA869" s="106"/>
      <c r="FB869" s="106"/>
      <c r="FC869" s="106"/>
      <c r="FD869" s="106"/>
      <c r="FE869" s="106"/>
      <c r="FF869" s="106"/>
      <c r="FG869" s="106"/>
      <c r="FH869" s="106"/>
      <c r="FI869" s="106"/>
      <c r="FJ869" s="106"/>
      <c r="FK869" s="106"/>
      <c r="FL869" s="106"/>
      <c r="FM869" s="106"/>
      <c r="FN869" s="106"/>
      <c r="FO869" s="106"/>
      <c r="FP869" s="106"/>
      <c r="FQ869" s="106"/>
      <c r="FR869" s="106"/>
      <c r="FS869" s="106"/>
      <c r="FT869" s="106"/>
      <c r="FU869" s="106"/>
    </row>
    <row r="870" spans="30:177" ht="6.95" customHeight="1" x14ac:dyDescent="0.15"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  <c r="AZ870" s="93"/>
      <c r="BA870" s="93"/>
      <c r="BB870" s="93"/>
      <c r="BC870" s="93"/>
      <c r="BD870" s="93"/>
      <c r="BE870" s="93"/>
      <c r="BF870" s="93"/>
      <c r="BG870" s="93"/>
      <c r="BH870" s="93"/>
      <c r="BI870" s="93"/>
      <c r="BJ870" s="93"/>
      <c r="BK870" s="93"/>
      <c r="BL870" s="93"/>
      <c r="BM870" s="93"/>
      <c r="BN870" s="93"/>
      <c r="BO870" s="93"/>
      <c r="BP870" s="93"/>
      <c r="BR870" s="93"/>
      <c r="BS870" s="93"/>
      <c r="BT870" s="93"/>
      <c r="BU870" s="93"/>
      <c r="BV870" s="93"/>
      <c r="BW870" s="93"/>
      <c r="BX870" s="93"/>
      <c r="BY870" s="93"/>
      <c r="BZ870" s="93"/>
      <c r="CA870" s="93"/>
      <c r="CB870" s="93"/>
      <c r="CC870" s="93"/>
      <c r="CD870" s="93"/>
      <c r="CE870" s="93"/>
      <c r="CF870" s="93"/>
      <c r="CG870" s="93"/>
      <c r="CH870" s="93"/>
      <c r="CI870" s="93"/>
      <c r="CJ870" s="93"/>
      <c r="CK870" s="93"/>
      <c r="CL870" s="93"/>
      <c r="CM870" s="93"/>
      <c r="CN870" s="93"/>
      <c r="CO870" s="93"/>
      <c r="CP870" s="93"/>
      <c r="CQ870" s="93"/>
      <c r="CR870" s="93"/>
      <c r="CS870" s="93"/>
      <c r="CT870" s="93"/>
      <c r="CU870" s="93"/>
      <c r="CV870" s="93"/>
      <c r="CW870" s="93"/>
      <c r="CX870" s="93"/>
      <c r="CY870" s="93"/>
      <c r="CZ870" s="106"/>
      <c r="DA870" s="106"/>
      <c r="DB870" s="106"/>
      <c r="DC870" s="106"/>
      <c r="DD870" s="106"/>
      <c r="DE870" s="106"/>
      <c r="DF870" s="106"/>
      <c r="DG870" s="106"/>
      <c r="DH870" s="106"/>
      <c r="DI870" s="106"/>
      <c r="DJ870" s="106"/>
      <c r="DK870" s="106"/>
      <c r="DL870" s="106"/>
      <c r="DM870" s="106"/>
      <c r="DN870" s="106"/>
      <c r="DO870" s="106"/>
      <c r="DP870" s="106"/>
      <c r="DQ870" s="106"/>
      <c r="DR870" s="106"/>
      <c r="DS870" s="106"/>
      <c r="DT870" s="106"/>
      <c r="DU870" s="106"/>
      <c r="DV870" s="106"/>
      <c r="DW870" s="106"/>
      <c r="DX870" s="106"/>
      <c r="DY870" s="106"/>
      <c r="DZ870" s="106"/>
      <c r="EA870" s="106"/>
      <c r="EB870" s="106"/>
      <c r="EC870" s="106"/>
      <c r="ED870" s="106"/>
      <c r="EE870" s="106"/>
      <c r="EF870" s="106"/>
      <c r="EG870" s="106"/>
      <c r="EH870" s="106"/>
      <c r="EI870" s="106"/>
      <c r="EJ870" s="106"/>
      <c r="EK870" s="106"/>
      <c r="EL870" s="106"/>
      <c r="EM870" s="106"/>
      <c r="EN870" s="106"/>
      <c r="EO870" s="106"/>
      <c r="EP870" s="106"/>
      <c r="EQ870" s="106"/>
      <c r="ER870" s="106"/>
      <c r="ES870" s="106"/>
      <c r="ET870" s="106"/>
      <c r="EU870" s="106"/>
      <c r="EV870" s="106"/>
      <c r="EW870" s="106"/>
      <c r="EX870" s="106"/>
      <c r="EY870" s="106"/>
      <c r="EZ870" s="106"/>
      <c r="FA870" s="106"/>
      <c r="FB870" s="106"/>
      <c r="FC870" s="106"/>
      <c r="FD870" s="106"/>
      <c r="FE870" s="106"/>
      <c r="FF870" s="106"/>
      <c r="FG870" s="106"/>
      <c r="FH870" s="106"/>
      <c r="FI870" s="106"/>
      <c r="FJ870" s="106"/>
      <c r="FK870" s="106"/>
      <c r="FL870" s="106"/>
      <c r="FM870" s="106"/>
      <c r="FN870" s="106"/>
      <c r="FO870" s="106"/>
      <c r="FP870" s="106"/>
      <c r="FQ870" s="106"/>
      <c r="FR870" s="106"/>
      <c r="FS870" s="106"/>
      <c r="FT870" s="106"/>
      <c r="FU870" s="106"/>
    </row>
    <row r="871" spans="30:177" ht="6.95" customHeight="1" x14ac:dyDescent="0.15"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  <c r="AZ871" s="93"/>
      <c r="BA871" s="93"/>
      <c r="BB871" s="93"/>
      <c r="BC871" s="93"/>
      <c r="BD871" s="93"/>
      <c r="BE871" s="93"/>
      <c r="BF871" s="93"/>
      <c r="BG871" s="93"/>
      <c r="BH871" s="93"/>
      <c r="BI871" s="93"/>
      <c r="BJ871" s="93"/>
      <c r="BK871" s="93"/>
      <c r="BL871" s="93"/>
      <c r="BM871" s="93"/>
      <c r="BN871" s="93"/>
      <c r="BO871" s="93"/>
      <c r="BP871" s="93"/>
      <c r="BR871" s="93"/>
      <c r="BS871" s="93"/>
      <c r="BT871" s="93"/>
      <c r="BU871" s="93"/>
      <c r="BV871" s="93"/>
      <c r="BW871" s="93"/>
      <c r="BX871" s="93"/>
      <c r="BY871" s="93"/>
      <c r="BZ871" s="93"/>
      <c r="CA871" s="93"/>
      <c r="CB871" s="93"/>
      <c r="CC871" s="93"/>
      <c r="CD871" s="93"/>
      <c r="CE871" s="93"/>
      <c r="CF871" s="93"/>
      <c r="CG871" s="93"/>
      <c r="CH871" s="93"/>
      <c r="CI871" s="93"/>
      <c r="CJ871" s="93"/>
      <c r="CK871" s="93"/>
      <c r="CL871" s="93"/>
      <c r="CM871" s="93"/>
      <c r="CN871" s="93"/>
      <c r="CO871" s="93"/>
      <c r="CP871" s="93"/>
      <c r="CQ871" s="93"/>
      <c r="CR871" s="93"/>
      <c r="CS871" s="93"/>
      <c r="CT871" s="93"/>
      <c r="CU871" s="93"/>
      <c r="CV871" s="93"/>
      <c r="CW871" s="93"/>
      <c r="CX871" s="93"/>
      <c r="CY871" s="93"/>
      <c r="CZ871" s="106"/>
      <c r="DA871" s="106"/>
      <c r="DB871" s="106"/>
      <c r="DC871" s="106"/>
      <c r="DD871" s="106"/>
      <c r="DE871" s="106"/>
      <c r="DF871" s="106"/>
      <c r="DG871" s="106"/>
      <c r="DH871" s="106"/>
      <c r="DI871" s="106"/>
      <c r="DJ871" s="106"/>
      <c r="DK871" s="106"/>
      <c r="DL871" s="106"/>
      <c r="DM871" s="106"/>
      <c r="DN871" s="106"/>
      <c r="DO871" s="106"/>
      <c r="DP871" s="106"/>
      <c r="DQ871" s="106"/>
      <c r="DR871" s="106"/>
      <c r="DS871" s="106"/>
      <c r="DT871" s="106"/>
      <c r="DU871" s="106"/>
      <c r="DV871" s="106"/>
      <c r="DW871" s="106"/>
      <c r="DX871" s="106"/>
      <c r="DY871" s="106"/>
      <c r="DZ871" s="106"/>
      <c r="EA871" s="106"/>
      <c r="EB871" s="106"/>
      <c r="EC871" s="106"/>
      <c r="ED871" s="106"/>
      <c r="EE871" s="106"/>
      <c r="EF871" s="106"/>
      <c r="EG871" s="106"/>
      <c r="EH871" s="106"/>
      <c r="EI871" s="106"/>
      <c r="EJ871" s="106"/>
      <c r="EK871" s="106"/>
      <c r="EL871" s="106"/>
      <c r="EM871" s="106"/>
      <c r="EN871" s="106"/>
      <c r="EO871" s="106"/>
      <c r="EP871" s="106"/>
      <c r="EQ871" s="106"/>
      <c r="ER871" s="106"/>
      <c r="ES871" s="106"/>
      <c r="ET871" s="106"/>
      <c r="EU871" s="106"/>
      <c r="EV871" s="106"/>
      <c r="EW871" s="106"/>
      <c r="EX871" s="106"/>
      <c r="EY871" s="106"/>
      <c r="EZ871" s="106"/>
      <c r="FA871" s="106"/>
      <c r="FB871" s="106"/>
      <c r="FC871" s="106"/>
      <c r="FD871" s="106"/>
      <c r="FE871" s="106"/>
      <c r="FF871" s="106"/>
      <c r="FG871" s="106"/>
      <c r="FH871" s="106"/>
      <c r="FI871" s="106"/>
      <c r="FJ871" s="106"/>
      <c r="FK871" s="106"/>
      <c r="FL871" s="106"/>
      <c r="FM871" s="106"/>
      <c r="FN871" s="106"/>
      <c r="FO871" s="106"/>
      <c r="FP871" s="106"/>
      <c r="FQ871" s="106"/>
      <c r="FR871" s="106"/>
      <c r="FS871" s="106"/>
      <c r="FT871" s="106"/>
      <c r="FU871" s="106"/>
    </row>
    <row r="872" spans="30:177" ht="6.95" customHeight="1" x14ac:dyDescent="0.15"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3"/>
      <c r="BF872" s="93"/>
      <c r="BG872" s="93"/>
      <c r="BH872" s="93"/>
      <c r="BI872" s="93"/>
      <c r="BJ872" s="93"/>
      <c r="BK872" s="93"/>
      <c r="BL872" s="93"/>
      <c r="BM872" s="93"/>
      <c r="BN872" s="93"/>
      <c r="BO872" s="93"/>
      <c r="BP872" s="93"/>
      <c r="BR872" s="93"/>
      <c r="BS872" s="93"/>
      <c r="BT872" s="93"/>
      <c r="BU872" s="93"/>
      <c r="BV872" s="93"/>
      <c r="BW872" s="93"/>
      <c r="BX872" s="93"/>
      <c r="BY872" s="93"/>
      <c r="BZ872" s="93"/>
      <c r="CA872" s="93"/>
      <c r="CB872" s="93"/>
      <c r="CC872" s="93"/>
      <c r="CD872" s="93"/>
      <c r="CE872" s="93"/>
      <c r="CF872" s="93"/>
      <c r="CG872" s="93"/>
      <c r="CH872" s="93"/>
      <c r="CI872" s="93"/>
      <c r="CJ872" s="93"/>
      <c r="CK872" s="93"/>
      <c r="CL872" s="93"/>
      <c r="CM872" s="93"/>
      <c r="CN872" s="93"/>
      <c r="CO872" s="93"/>
      <c r="CP872" s="93"/>
      <c r="CQ872" s="93"/>
      <c r="CR872" s="93"/>
      <c r="CS872" s="93"/>
      <c r="CT872" s="93"/>
      <c r="CU872" s="93"/>
      <c r="CV872" s="93"/>
      <c r="CW872" s="93"/>
      <c r="CX872" s="93"/>
      <c r="CY872" s="93"/>
      <c r="CZ872" s="106"/>
      <c r="DA872" s="106"/>
      <c r="DB872" s="106"/>
      <c r="DC872" s="106"/>
      <c r="DD872" s="106"/>
      <c r="DE872" s="106"/>
      <c r="DF872" s="106"/>
      <c r="DG872" s="106"/>
      <c r="DH872" s="106"/>
      <c r="DI872" s="106"/>
      <c r="DJ872" s="106"/>
      <c r="DK872" s="106"/>
      <c r="DL872" s="106"/>
      <c r="DM872" s="106"/>
      <c r="DN872" s="106"/>
      <c r="DO872" s="106"/>
      <c r="DP872" s="106"/>
      <c r="DQ872" s="106"/>
      <c r="DR872" s="106"/>
      <c r="DS872" s="106"/>
      <c r="DT872" s="106"/>
      <c r="DU872" s="106"/>
      <c r="DV872" s="106"/>
      <c r="DW872" s="106"/>
      <c r="DX872" s="106"/>
      <c r="DY872" s="106"/>
      <c r="DZ872" s="106"/>
      <c r="EA872" s="106"/>
      <c r="EB872" s="106"/>
      <c r="EC872" s="106"/>
      <c r="ED872" s="106"/>
      <c r="EE872" s="106"/>
      <c r="EF872" s="106"/>
      <c r="EG872" s="106"/>
      <c r="EH872" s="106"/>
      <c r="EI872" s="106"/>
      <c r="EJ872" s="106"/>
      <c r="EK872" s="106"/>
      <c r="EL872" s="106"/>
      <c r="EM872" s="106"/>
      <c r="EN872" s="106"/>
      <c r="EO872" s="106"/>
      <c r="EP872" s="106"/>
      <c r="EQ872" s="106"/>
      <c r="ER872" s="106"/>
      <c r="ES872" s="106"/>
      <c r="ET872" s="106"/>
      <c r="EU872" s="106"/>
      <c r="EV872" s="106"/>
      <c r="EW872" s="106"/>
      <c r="EX872" s="106"/>
      <c r="EY872" s="106"/>
      <c r="EZ872" s="106"/>
      <c r="FA872" s="106"/>
      <c r="FB872" s="106"/>
      <c r="FC872" s="106"/>
      <c r="FD872" s="106"/>
      <c r="FE872" s="106"/>
      <c r="FF872" s="106"/>
      <c r="FG872" s="106"/>
      <c r="FH872" s="106"/>
      <c r="FI872" s="106"/>
      <c r="FJ872" s="106"/>
      <c r="FK872" s="106"/>
      <c r="FL872" s="106"/>
      <c r="FM872" s="106"/>
      <c r="FN872" s="106"/>
      <c r="FO872" s="106"/>
      <c r="FP872" s="106"/>
      <c r="FQ872" s="106"/>
      <c r="FR872" s="106"/>
      <c r="FS872" s="106"/>
      <c r="FT872" s="106"/>
      <c r="FU872" s="106"/>
    </row>
    <row r="873" spans="30:177" ht="6.95" customHeight="1" x14ac:dyDescent="0.15"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  <c r="AZ873" s="93"/>
      <c r="BA873" s="93"/>
      <c r="BB873" s="93"/>
      <c r="BC873" s="93"/>
      <c r="BD873" s="93"/>
      <c r="BE873" s="93"/>
      <c r="BF873" s="93"/>
      <c r="BG873" s="93"/>
      <c r="BH873" s="93"/>
      <c r="BI873" s="93"/>
      <c r="BJ873" s="93"/>
      <c r="BK873" s="93"/>
      <c r="BL873" s="93"/>
      <c r="BM873" s="93"/>
      <c r="BN873" s="93"/>
      <c r="BO873" s="93"/>
      <c r="BP873" s="93"/>
      <c r="BR873" s="93"/>
      <c r="BS873" s="93"/>
      <c r="BT873" s="93"/>
      <c r="BU873" s="93"/>
      <c r="BV873" s="93"/>
      <c r="BW873" s="93"/>
      <c r="BX873" s="93"/>
      <c r="BY873" s="93"/>
      <c r="BZ873" s="93"/>
      <c r="CA873" s="93"/>
      <c r="CB873" s="93"/>
      <c r="CC873" s="93"/>
      <c r="CD873" s="93"/>
      <c r="CE873" s="93"/>
      <c r="CF873" s="93"/>
      <c r="CG873" s="93"/>
      <c r="CH873" s="93"/>
      <c r="CI873" s="93"/>
      <c r="CJ873" s="93"/>
      <c r="CK873" s="93"/>
      <c r="CL873" s="93"/>
      <c r="CM873" s="93"/>
      <c r="CN873" s="93"/>
      <c r="CO873" s="93"/>
      <c r="CP873" s="93"/>
      <c r="CQ873" s="93"/>
      <c r="CR873" s="93"/>
      <c r="CS873" s="93"/>
      <c r="CT873" s="93"/>
      <c r="CU873" s="93"/>
      <c r="CV873" s="93"/>
      <c r="CW873" s="93"/>
      <c r="CX873" s="93"/>
      <c r="CY873" s="93"/>
      <c r="CZ873" s="106"/>
      <c r="DA873" s="106"/>
      <c r="DB873" s="106"/>
      <c r="DC873" s="106"/>
      <c r="DD873" s="106"/>
      <c r="DE873" s="106"/>
      <c r="DF873" s="106"/>
      <c r="DG873" s="106"/>
      <c r="DH873" s="106"/>
      <c r="DI873" s="106"/>
      <c r="DJ873" s="106"/>
      <c r="DK873" s="106"/>
      <c r="DL873" s="106"/>
      <c r="DM873" s="106"/>
      <c r="DN873" s="106"/>
      <c r="DO873" s="106"/>
      <c r="DP873" s="106"/>
      <c r="DQ873" s="106"/>
      <c r="DR873" s="106"/>
      <c r="DS873" s="106"/>
      <c r="DT873" s="106"/>
      <c r="DU873" s="106"/>
      <c r="DV873" s="106"/>
      <c r="DW873" s="106"/>
      <c r="DX873" s="106"/>
      <c r="DY873" s="106"/>
      <c r="DZ873" s="106"/>
      <c r="EA873" s="106"/>
      <c r="EB873" s="106"/>
      <c r="EC873" s="106"/>
      <c r="ED873" s="106"/>
      <c r="EE873" s="106"/>
      <c r="EF873" s="106"/>
      <c r="EG873" s="106"/>
      <c r="EH873" s="106"/>
      <c r="EI873" s="106"/>
      <c r="EJ873" s="106"/>
      <c r="EK873" s="106"/>
      <c r="EL873" s="106"/>
      <c r="EM873" s="106"/>
      <c r="EN873" s="106"/>
      <c r="EO873" s="106"/>
      <c r="EP873" s="106"/>
      <c r="EQ873" s="106"/>
      <c r="ER873" s="106"/>
      <c r="ES873" s="106"/>
      <c r="ET873" s="106"/>
      <c r="EU873" s="106"/>
      <c r="EV873" s="106"/>
      <c r="EW873" s="106"/>
      <c r="EX873" s="106"/>
      <c r="EY873" s="106"/>
      <c r="EZ873" s="106"/>
      <c r="FA873" s="106"/>
      <c r="FB873" s="106"/>
      <c r="FC873" s="106"/>
      <c r="FD873" s="106"/>
      <c r="FE873" s="106"/>
      <c r="FF873" s="106"/>
      <c r="FG873" s="106"/>
      <c r="FH873" s="106"/>
      <c r="FI873" s="106"/>
      <c r="FJ873" s="106"/>
      <c r="FK873" s="106"/>
      <c r="FL873" s="106"/>
      <c r="FM873" s="106"/>
      <c r="FN873" s="106"/>
      <c r="FO873" s="106"/>
      <c r="FP873" s="106"/>
      <c r="FQ873" s="106"/>
      <c r="FR873" s="106"/>
      <c r="FS873" s="106"/>
      <c r="FT873" s="106"/>
      <c r="FU873" s="106"/>
    </row>
    <row r="874" spans="30:177" ht="6.95" customHeight="1" x14ac:dyDescent="0.15"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3"/>
      <c r="BD874" s="93"/>
      <c r="BE874" s="93"/>
      <c r="BF874" s="93"/>
      <c r="BG874" s="93"/>
      <c r="BH874" s="93"/>
      <c r="BI874" s="93"/>
      <c r="BJ874" s="93"/>
      <c r="BK874" s="93"/>
      <c r="BL874" s="93"/>
      <c r="BM874" s="93"/>
      <c r="BN874" s="93"/>
      <c r="BO874" s="93"/>
      <c r="BP874" s="93"/>
      <c r="BR874" s="93"/>
      <c r="BS874" s="93"/>
      <c r="BT874" s="93"/>
      <c r="BU874" s="93"/>
      <c r="BV874" s="93"/>
      <c r="BW874" s="93"/>
      <c r="BX874" s="93"/>
      <c r="BY874" s="93"/>
      <c r="BZ874" s="93"/>
      <c r="CA874" s="93"/>
      <c r="CB874" s="93"/>
      <c r="CC874" s="93"/>
      <c r="CD874" s="93"/>
      <c r="CE874" s="93"/>
      <c r="CF874" s="93"/>
      <c r="CG874" s="93"/>
      <c r="CH874" s="93"/>
      <c r="CI874" s="93"/>
      <c r="CJ874" s="93"/>
      <c r="CK874" s="93"/>
      <c r="CL874" s="93"/>
      <c r="CM874" s="93"/>
      <c r="CN874" s="93"/>
      <c r="CO874" s="93"/>
      <c r="CP874" s="93"/>
      <c r="CQ874" s="93"/>
      <c r="CR874" s="93"/>
      <c r="CS874" s="93"/>
      <c r="CT874" s="93"/>
      <c r="CU874" s="93"/>
      <c r="CV874" s="93"/>
      <c r="CW874" s="93"/>
      <c r="CX874" s="93"/>
      <c r="CY874" s="93"/>
      <c r="CZ874" s="106"/>
      <c r="DA874" s="106"/>
      <c r="DB874" s="106"/>
      <c r="DC874" s="106"/>
      <c r="DD874" s="106"/>
      <c r="DE874" s="106"/>
      <c r="DF874" s="106"/>
      <c r="DG874" s="106"/>
      <c r="DH874" s="106"/>
      <c r="DI874" s="106"/>
      <c r="DJ874" s="106"/>
      <c r="DK874" s="106"/>
      <c r="DL874" s="106"/>
      <c r="DM874" s="106"/>
      <c r="DN874" s="106"/>
      <c r="DO874" s="106"/>
      <c r="DP874" s="106"/>
      <c r="DQ874" s="106"/>
      <c r="DR874" s="106"/>
      <c r="DS874" s="106"/>
      <c r="DT874" s="106"/>
      <c r="DU874" s="106"/>
      <c r="DV874" s="106"/>
      <c r="DW874" s="106"/>
      <c r="DX874" s="106"/>
      <c r="DY874" s="106"/>
      <c r="DZ874" s="106"/>
      <c r="EA874" s="106"/>
      <c r="EB874" s="106"/>
      <c r="EC874" s="106"/>
      <c r="ED874" s="106"/>
      <c r="EE874" s="106"/>
      <c r="EF874" s="106"/>
      <c r="EG874" s="106"/>
      <c r="EH874" s="106"/>
      <c r="EI874" s="106"/>
      <c r="EJ874" s="106"/>
      <c r="EK874" s="106"/>
      <c r="EL874" s="106"/>
      <c r="EM874" s="106"/>
      <c r="EN874" s="106"/>
      <c r="EO874" s="106"/>
      <c r="EP874" s="106"/>
      <c r="EQ874" s="106"/>
      <c r="ER874" s="106"/>
      <c r="ES874" s="106"/>
      <c r="ET874" s="106"/>
      <c r="EU874" s="106"/>
      <c r="EV874" s="106"/>
      <c r="EW874" s="106"/>
      <c r="EX874" s="106"/>
      <c r="EY874" s="106"/>
      <c r="EZ874" s="106"/>
      <c r="FA874" s="106"/>
      <c r="FB874" s="106"/>
      <c r="FC874" s="106"/>
      <c r="FD874" s="106"/>
      <c r="FE874" s="106"/>
      <c r="FF874" s="106"/>
      <c r="FG874" s="106"/>
      <c r="FH874" s="106"/>
      <c r="FI874" s="106"/>
      <c r="FJ874" s="106"/>
      <c r="FK874" s="106"/>
      <c r="FL874" s="106"/>
      <c r="FM874" s="106"/>
      <c r="FN874" s="106"/>
      <c r="FO874" s="106"/>
      <c r="FP874" s="106"/>
      <c r="FQ874" s="106"/>
      <c r="FR874" s="106"/>
      <c r="FS874" s="106"/>
      <c r="FT874" s="106"/>
      <c r="FU874" s="106"/>
    </row>
    <row r="875" spans="30:177" ht="6.95" customHeight="1" x14ac:dyDescent="0.15"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3"/>
      <c r="BF875" s="93"/>
      <c r="BG875" s="93"/>
      <c r="BH875" s="93"/>
      <c r="BI875" s="93"/>
      <c r="BJ875" s="93"/>
      <c r="BK875" s="93"/>
      <c r="BL875" s="93"/>
      <c r="BM875" s="93"/>
      <c r="BN875" s="93"/>
      <c r="BO875" s="93"/>
      <c r="BP875" s="93"/>
      <c r="BR875" s="93"/>
      <c r="BS875" s="93"/>
      <c r="BT875" s="93"/>
      <c r="BU875" s="93"/>
      <c r="BV875" s="93"/>
      <c r="BW875" s="93"/>
      <c r="BX875" s="93"/>
      <c r="BY875" s="93"/>
      <c r="BZ875" s="93"/>
      <c r="CA875" s="93"/>
      <c r="CB875" s="93"/>
      <c r="CC875" s="93"/>
      <c r="CD875" s="93"/>
      <c r="CE875" s="93"/>
      <c r="CF875" s="93"/>
      <c r="CG875" s="93"/>
      <c r="CH875" s="93"/>
      <c r="CI875" s="93"/>
      <c r="CJ875" s="93"/>
      <c r="CK875" s="93"/>
      <c r="CL875" s="93"/>
      <c r="CM875" s="93"/>
      <c r="CN875" s="93"/>
      <c r="CO875" s="93"/>
      <c r="CP875" s="93"/>
      <c r="CQ875" s="93"/>
      <c r="CR875" s="93"/>
      <c r="CS875" s="93"/>
      <c r="CT875" s="93"/>
      <c r="CU875" s="93"/>
      <c r="CV875" s="93"/>
      <c r="CW875" s="93"/>
      <c r="CX875" s="93"/>
      <c r="CY875" s="93"/>
      <c r="CZ875" s="106"/>
      <c r="DA875" s="106"/>
      <c r="DB875" s="106"/>
      <c r="DC875" s="106"/>
      <c r="DD875" s="106"/>
      <c r="DE875" s="106"/>
      <c r="DF875" s="106"/>
      <c r="DG875" s="106"/>
      <c r="DH875" s="106"/>
      <c r="DI875" s="106"/>
      <c r="DJ875" s="106"/>
      <c r="DK875" s="106"/>
      <c r="DL875" s="106"/>
      <c r="DM875" s="106"/>
      <c r="DN875" s="106"/>
      <c r="DO875" s="106"/>
      <c r="DP875" s="106"/>
      <c r="DQ875" s="106"/>
      <c r="DR875" s="106"/>
      <c r="DS875" s="106"/>
      <c r="DT875" s="106"/>
      <c r="DU875" s="106"/>
      <c r="DV875" s="106"/>
      <c r="DW875" s="106"/>
      <c r="DX875" s="106"/>
      <c r="DY875" s="106"/>
      <c r="DZ875" s="106"/>
      <c r="EA875" s="106"/>
      <c r="EB875" s="106"/>
      <c r="EC875" s="106"/>
      <c r="ED875" s="106"/>
      <c r="EE875" s="106"/>
      <c r="EF875" s="106"/>
      <c r="EG875" s="106"/>
      <c r="EH875" s="106"/>
      <c r="EI875" s="106"/>
      <c r="EJ875" s="106"/>
      <c r="EK875" s="106"/>
      <c r="EL875" s="106"/>
      <c r="EM875" s="106"/>
      <c r="EN875" s="106"/>
      <c r="EO875" s="106"/>
      <c r="EP875" s="106"/>
      <c r="EQ875" s="106"/>
      <c r="ER875" s="106"/>
      <c r="ES875" s="106"/>
      <c r="ET875" s="106"/>
      <c r="EU875" s="106"/>
      <c r="EV875" s="106"/>
      <c r="EW875" s="106"/>
      <c r="EX875" s="106"/>
      <c r="EY875" s="106"/>
      <c r="EZ875" s="106"/>
      <c r="FA875" s="106"/>
      <c r="FB875" s="106"/>
      <c r="FC875" s="106"/>
      <c r="FD875" s="106"/>
      <c r="FE875" s="106"/>
      <c r="FF875" s="106"/>
      <c r="FG875" s="106"/>
      <c r="FH875" s="106"/>
      <c r="FI875" s="106"/>
      <c r="FJ875" s="106"/>
      <c r="FK875" s="106"/>
      <c r="FL875" s="106"/>
      <c r="FM875" s="106"/>
      <c r="FN875" s="106"/>
      <c r="FO875" s="106"/>
      <c r="FP875" s="106"/>
      <c r="FQ875" s="106"/>
      <c r="FR875" s="106"/>
      <c r="FS875" s="106"/>
      <c r="FT875" s="106"/>
      <c r="FU875" s="106"/>
    </row>
    <row r="876" spans="30:177" ht="6.95" customHeight="1" x14ac:dyDescent="0.15"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  <c r="AZ876" s="93"/>
      <c r="BA876" s="93"/>
      <c r="BB876" s="93"/>
      <c r="BC876" s="93"/>
      <c r="BD876" s="93"/>
      <c r="BE876" s="93"/>
      <c r="BF876" s="93"/>
      <c r="BG876" s="93"/>
      <c r="BH876" s="93"/>
      <c r="BI876" s="93"/>
      <c r="BJ876" s="93"/>
      <c r="BK876" s="93"/>
      <c r="BL876" s="93"/>
      <c r="BM876" s="93"/>
      <c r="BN876" s="93"/>
      <c r="BO876" s="93"/>
      <c r="BP876" s="93"/>
      <c r="BR876" s="93"/>
      <c r="BS876" s="93"/>
      <c r="BT876" s="93"/>
      <c r="BU876" s="93"/>
      <c r="BV876" s="93"/>
      <c r="BW876" s="93"/>
      <c r="BX876" s="93"/>
      <c r="BY876" s="93"/>
      <c r="BZ876" s="93"/>
      <c r="CA876" s="93"/>
      <c r="CB876" s="93"/>
      <c r="CC876" s="93"/>
      <c r="CD876" s="93"/>
      <c r="CE876" s="93"/>
      <c r="CF876" s="93"/>
      <c r="CG876" s="93"/>
      <c r="CH876" s="93"/>
      <c r="CI876" s="93"/>
      <c r="CJ876" s="93"/>
      <c r="CK876" s="93"/>
      <c r="CL876" s="93"/>
      <c r="CM876" s="93"/>
      <c r="CN876" s="93"/>
      <c r="CO876" s="93"/>
      <c r="CP876" s="93"/>
      <c r="CQ876" s="93"/>
      <c r="CR876" s="93"/>
      <c r="CS876" s="93"/>
      <c r="CT876" s="93"/>
      <c r="CU876" s="93"/>
      <c r="CV876" s="93"/>
      <c r="CW876" s="93"/>
      <c r="CX876" s="93"/>
      <c r="CY876" s="93"/>
      <c r="CZ876" s="106"/>
      <c r="DA876" s="106"/>
      <c r="DB876" s="106"/>
      <c r="DC876" s="106"/>
      <c r="DD876" s="106"/>
      <c r="DE876" s="106"/>
      <c r="DF876" s="106"/>
      <c r="DG876" s="106"/>
      <c r="DH876" s="106"/>
      <c r="DI876" s="106"/>
      <c r="DJ876" s="106"/>
      <c r="DK876" s="106"/>
      <c r="DL876" s="106"/>
      <c r="DM876" s="106"/>
      <c r="DN876" s="106"/>
      <c r="DO876" s="106"/>
      <c r="DP876" s="106"/>
      <c r="DQ876" s="106"/>
      <c r="DR876" s="106"/>
      <c r="DS876" s="106"/>
      <c r="DT876" s="106"/>
      <c r="DU876" s="106"/>
      <c r="DV876" s="106"/>
      <c r="DW876" s="106"/>
      <c r="DX876" s="106"/>
      <c r="DY876" s="106"/>
      <c r="DZ876" s="106"/>
      <c r="EA876" s="106"/>
      <c r="EB876" s="106"/>
      <c r="EC876" s="106"/>
      <c r="ED876" s="106"/>
      <c r="EE876" s="106"/>
      <c r="EF876" s="106"/>
      <c r="EG876" s="106"/>
      <c r="EH876" s="106"/>
      <c r="EI876" s="106"/>
      <c r="EJ876" s="106"/>
      <c r="EK876" s="106"/>
      <c r="EL876" s="106"/>
      <c r="EM876" s="106"/>
      <c r="EN876" s="106"/>
      <c r="EO876" s="106"/>
      <c r="EP876" s="106"/>
      <c r="EQ876" s="106"/>
      <c r="ER876" s="106"/>
      <c r="ES876" s="106"/>
      <c r="ET876" s="106"/>
      <c r="EU876" s="106"/>
      <c r="EV876" s="106"/>
      <c r="EW876" s="106"/>
      <c r="EX876" s="106"/>
      <c r="EY876" s="106"/>
      <c r="EZ876" s="106"/>
      <c r="FA876" s="106"/>
      <c r="FB876" s="106"/>
      <c r="FC876" s="106"/>
      <c r="FD876" s="106"/>
      <c r="FE876" s="106"/>
      <c r="FF876" s="106"/>
      <c r="FG876" s="106"/>
      <c r="FH876" s="106"/>
      <c r="FI876" s="106"/>
      <c r="FJ876" s="106"/>
      <c r="FK876" s="106"/>
      <c r="FL876" s="106"/>
      <c r="FM876" s="106"/>
      <c r="FN876" s="106"/>
      <c r="FO876" s="106"/>
      <c r="FP876" s="106"/>
      <c r="FQ876" s="106"/>
      <c r="FR876" s="106"/>
      <c r="FS876" s="106"/>
      <c r="FT876" s="106"/>
      <c r="FU876" s="106"/>
    </row>
    <row r="877" spans="30:177" ht="6.95" customHeight="1" x14ac:dyDescent="0.15"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  <c r="AZ877" s="93"/>
      <c r="BA877" s="93"/>
      <c r="BB877" s="93"/>
      <c r="BC877" s="93"/>
      <c r="BD877" s="93"/>
      <c r="BE877" s="93"/>
      <c r="BF877" s="93"/>
      <c r="BG877" s="93"/>
      <c r="BH877" s="93"/>
      <c r="BI877" s="93"/>
      <c r="BJ877" s="93"/>
      <c r="BK877" s="93"/>
      <c r="BL877" s="93"/>
      <c r="BM877" s="93"/>
      <c r="BN877" s="93"/>
      <c r="BO877" s="93"/>
      <c r="BP877" s="93"/>
      <c r="BR877" s="93"/>
      <c r="BS877" s="93"/>
      <c r="BT877" s="93"/>
      <c r="BU877" s="93"/>
      <c r="BV877" s="93"/>
      <c r="BW877" s="93"/>
      <c r="BX877" s="93"/>
      <c r="BY877" s="93"/>
      <c r="BZ877" s="93"/>
      <c r="CA877" s="93"/>
      <c r="CB877" s="93"/>
      <c r="CC877" s="93"/>
      <c r="CD877" s="93"/>
      <c r="CE877" s="93"/>
      <c r="CF877" s="93"/>
      <c r="CG877" s="93"/>
      <c r="CH877" s="93"/>
      <c r="CI877" s="93"/>
      <c r="CJ877" s="93"/>
      <c r="CK877" s="93"/>
      <c r="CL877" s="93"/>
      <c r="CM877" s="93"/>
      <c r="CN877" s="93"/>
      <c r="CO877" s="93"/>
      <c r="CP877" s="93"/>
      <c r="CQ877" s="93"/>
      <c r="CR877" s="93"/>
      <c r="CS877" s="93"/>
      <c r="CT877" s="93"/>
      <c r="CU877" s="93"/>
      <c r="CV877" s="93"/>
      <c r="CW877" s="93"/>
      <c r="CX877" s="93"/>
      <c r="CY877" s="93"/>
      <c r="CZ877" s="106"/>
      <c r="DA877" s="106"/>
      <c r="DB877" s="106"/>
      <c r="DC877" s="106"/>
      <c r="DD877" s="106"/>
      <c r="DE877" s="106"/>
      <c r="DF877" s="106"/>
      <c r="DG877" s="106"/>
      <c r="DH877" s="106"/>
      <c r="DI877" s="106"/>
      <c r="DJ877" s="106"/>
      <c r="DK877" s="106"/>
      <c r="DL877" s="106"/>
      <c r="DM877" s="106"/>
      <c r="DN877" s="106"/>
      <c r="DO877" s="106"/>
      <c r="DP877" s="106"/>
      <c r="DQ877" s="106"/>
      <c r="DR877" s="106"/>
      <c r="DS877" s="106"/>
      <c r="DT877" s="106"/>
      <c r="DU877" s="106"/>
      <c r="DV877" s="106"/>
      <c r="DW877" s="106"/>
      <c r="DX877" s="106"/>
      <c r="DY877" s="106"/>
      <c r="DZ877" s="106"/>
      <c r="EA877" s="106"/>
      <c r="EB877" s="106"/>
      <c r="EC877" s="106"/>
      <c r="ED877" s="106"/>
      <c r="EE877" s="106"/>
      <c r="EF877" s="106"/>
      <c r="EG877" s="106"/>
      <c r="EH877" s="106"/>
      <c r="EI877" s="106"/>
      <c r="EJ877" s="106"/>
      <c r="EK877" s="106"/>
      <c r="EL877" s="106"/>
      <c r="EM877" s="106"/>
      <c r="EN877" s="106"/>
      <c r="EO877" s="106"/>
      <c r="EP877" s="106"/>
      <c r="EQ877" s="106"/>
      <c r="ER877" s="106"/>
      <c r="ES877" s="106"/>
      <c r="ET877" s="106"/>
      <c r="EU877" s="106"/>
      <c r="EV877" s="106"/>
      <c r="EW877" s="106"/>
      <c r="EX877" s="106"/>
      <c r="EY877" s="106"/>
      <c r="EZ877" s="106"/>
      <c r="FA877" s="106"/>
      <c r="FB877" s="106"/>
      <c r="FC877" s="106"/>
      <c r="FD877" s="106"/>
      <c r="FE877" s="106"/>
      <c r="FF877" s="106"/>
      <c r="FG877" s="106"/>
      <c r="FH877" s="106"/>
      <c r="FI877" s="106"/>
      <c r="FJ877" s="106"/>
      <c r="FK877" s="106"/>
      <c r="FL877" s="106"/>
      <c r="FM877" s="106"/>
      <c r="FN877" s="106"/>
      <c r="FO877" s="106"/>
      <c r="FP877" s="106"/>
      <c r="FQ877" s="106"/>
      <c r="FR877" s="106"/>
      <c r="FS877" s="106"/>
      <c r="FT877" s="106"/>
      <c r="FU877" s="106"/>
    </row>
    <row r="878" spans="30:177" ht="6.95" customHeight="1" x14ac:dyDescent="0.15"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3"/>
      <c r="BF878" s="93"/>
      <c r="BG878" s="93"/>
      <c r="BH878" s="93"/>
      <c r="BI878" s="93"/>
      <c r="BJ878" s="93"/>
      <c r="BK878" s="93"/>
      <c r="BL878" s="93"/>
      <c r="BM878" s="93"/>
      <c r="BN878" s="93"/>
      <c r="BO878" s="93"/>
      <c r="BP878" s="93"/>
      <c r="BR878" s="93"/>
      <c r="BS878" s="93"/>
      <c r="BT878" s="93"/>
      <c r="BU878" s="93"/>
      <c r="BV878" s="93"/>
      <c r="BW878" s="93"/>
      <c r="BX878" s="93"/>
      <c r="BY878" s="93"/>
      <c r="BZ878" s="93"/>
      <c r="CA878" s="93"/>
      <c r="CB878" s="93"/>
      <c r="CC878" s="93"/>
      <c r="CD878" s="93"/>
      <c r="CE878" s="93"/>
      <c r="CF878" s="93"/>
      <c r="CG878" s="93"/>
      <c r="CH878" s="93"/>
      <c r="CI878" s="93"/>
      <c r="CJ878" s="93"/>
      <c r="CK878" s="93"/>
      <c r="CL878" s="93"/>
      <c r="CM878" s="93"/>
      <c r="CN878" s="93"/>
      <c r="CO878" s="93"/>
      <c r="CP878" s="93"/>
      <c r="CQ878" s="93"/>
      <c r="CR878" s="93"/>
      <c r="CS878" s="93"/>
      <c r="CT878" s="93"/>
      <c r="CU878" s="93"/>
      <c r="CV878" s="93"/>
      <c r="CW878" s="93"/>
      <c r="CX878" s="93"/>
      <c r="CY878" s="93"/>
      <c r="CZ878" s="106"/>
      <c r="DA878" s="106"/>
      <c r="DB878" s="106"/>
      <c r="DC878" s="106"/>
      <c r="DD878" s="106"/>
      <c r="DE878" s="106"/>
      <c r="DF878" s="106"/>
      <c r="DG878" s="106"/>
      <c r="DH878" s="106"/>
      <c r="DI878" s="106"/>
      <c r="DJ878" s="106"/>
      <c r="DK878" s="106"/>
      <c r="DL878" s="106"/>
      <c r="DM878" s="106"/>
      <c r="DN878" s="106"/>
      <c r="DO878" s="106"/>
      <c r="DP878" s="106"/>
      <c r="DQ878" s="106"/>
      <c r="DR878" s="106"/>
      <c r="DS878" s="106"/>
      <c r="DT878" s="106"/>
      <c r="DU878" s="106"/>
      <c r="DV878" s="106"/>
      <c r="DW878" s="106"/>
      <c r="DX878" s="106"/>
      <c r="DY878" s="106"/>
      <c r="DZ878" s="106"/>
      <c r="EA878" s="106"/>
      <c r="EB878" s="106"/>
      <c r="EC878" s="106"/>
      <c r="ED878" s="106"/>
      <c r="EE878" s="106"/>
      <c r="EF878" s="106"/>
      <c r="EG878" s="106"/>
      <c r="EH878" s="106"/>
      <c r="EI878" s="106"/>
      <c r="EJ878" s="106"/>
      <c r="EK878" s="106"/>
      <c r="EL878" s="106"/>
      <c r="EM878" s="106"/>
      <c r="EN878" s="106"/>
      <c r="EO878" s="106"/>
      <c r="EP878" s="106"/>
      <c r="EQ878" s="106"/>
      <c r="ER878" s="106"/>
      <c r="ES878" s="106"/>
      <c r="ET878" s="106"/>
      <c r="EU878" s="106"/>
      <c r="EV878" s="106"/>
      <c r="EW878" s="106"/>
      <c r="EX878" s="106"/>
      <c r="EY878" s="106"/>
      <c r="EZ878" s="106"/>
      <c r="FA878" s="106"/>
      <c r="FB878" s="106"/>
      <c r="FC878" s="106"/>
      <c r="FD878" s="106"/>
      <c r="FE878" s="106"/>
      <c r="FF878" s="106"/>
      <c r="FG878" s="106"/>
      <c r="FH878" s="106"/>
      <c r="FI878" s="106"/>
      <c r="FJ878" s="106"/>
      <c r="FK878" s="106"/>
      <c r="FL878" s="106"/>
      <c r="FM878" s="106"/>
      <c r="FN878" s="106"/>
      <c r="FO878" s="106"/>
      <c r="FP878" s="106"/>
      <c r="FQ878" s="106"/>
      <c r="FR878" s="106"/>
      <c r="FS878" s="106"/>
      <c r="FT878" s="106"/>
      <c r="FU878" s="106"/>
    </row>
    <row r="879" spans="30:177" ht="6.95" customHeight="1" x14ac:dyDescent="0.15"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  <c r="AZ879" s="93"/>
      <c r="BA879" s="93"/>
      <c r="BB879" s="93"/>
      <c r="BC879" s="93"/>
      <c r="BD879" s="93"/>
      <c r="BE879" s="93"/>
      <c r="BF879" s="93"/>
      <c r="BG879" s="93"/>
      <c r="BH879" s="93"/>
      <c r="BI879" s="93"/>
      <c r="BJ879" s="93"/>
      <c r="BK879" s="93"/>
      <c r="BL879" s="93"/>
      <c r="BM879" s="93"/>
      <c r="BN879" s="93"/>
      <c r="BO879" s="93"/>
      <c r="BP879" s="93"/>
      <c r="BR879" s="93"/>
      <c r="BS879" s="93"/>
      <c r="BT879" s="93"/>
      <c r="BU879" s="93"/>
      <c r="BV879" s="93"/>
      <c r="BW879" s="93"/>
      <c r="BX879" s="93"/>
      <c r="BY879" s="93"/>
      <c r="BZ879" s="93"/>
      <c r="CA879" s="93"/>
      <c r="CB879" s="93"/>
      <c r="CC879" s="93"/>
      <c r="CD879" s="93"/>
      <c r="CE879" s="93"/>
      <c r="CF879" s="93"/>
      <c r="CG879" s="93"/>
      <c r="CH879" s="93"/>
      <c r="CI879" s="93"/>
      <c r="CJ879" s="93"/>
      <c r="CK879" s="93"/>
      <c r="CL879" s="93"/>
      <c r="CM879" s="93"/>
      <c r="CN879" s="93"/>
      <c r="CO879" s="93"/>
      <c r="CP879" s="93"/>
      <c r="CQ879" s="93"/>
      <c r="CR879" s="93"/>
      <c r="CS879" s="93"/>
      <c r="CT879" s="93"/>
      <c r="CU879" s="93"/>
      <c r="CV879" s="93"/>
      <c r="CW879" s="93"/>
      <c r="CX879" s="93"/>
      <c r="CY879" s="93"/>
      <c r="CZ879" s="106"/>
      <c r="DA879" s="106"/>
      <c r="DB879" s="106"/>
      <c r="DC879" s="106"/>
      <c r="DD879" s="106"/>
      <c r="DE879" s="106"/>
      <c r="DF879" s="106"/>
      <c r="DG879" s="106"/>
      <c r="DH879" s="106"/>
      <c r="DI879" s="106"/>
      <c r="DJ879" s="106"/>
      <c r="DK879" s="106"/>
      <c r="DL879" s="106"/>
      <c r="DM879" s="106"/>
      <c r="DN879" s="106"/>
      <c r="DO879" s="106"/>
      <c r="DP879" s="106"/>
      <c r="DQ879" s="106"/>
      <c r="DR879" s="106"/>
      <c r="DS879" s="106"/>
      <c r="DT879" s="106"/>
      <c r="DU879" s="106"/>
      <c r="DV879" s="106"/>
      <c r="DW879" s="106"/>
      <c r="DX879" s="106"/>
      <c r="DY879" s="106"/>
      <c r="DZ879" s="106"/>
      <c r="EA879" s="106"/>
      <c r="EB879" s="106"/>
      <c r="EC879" s="106"/>
      <c r="ED879" s="106"/>
      <c r="EE879" s="106"/>
      <c r="EF879" s="106"/>
      <c r="EG879" s="106"/>
      <c r="EH879" s="106"/>
      <c r="EI879" s="106"/>
      <c r="EJ879" s="106"/>
      <c r="EK879" s="106"/>
      <c r="EL879" s="106"/>
      <c r="EM879" s="106"/>
      <c r="EN879" s="106"/>
      <c r="EO879" s="106"/>
      <c r="EP879" s="106"/>
      <c r="EQ879" s="106"/>
      <c r="ER879" s="106"/>
      <c r="ES879" s="106"/>
      <c r="ET879" s="106"/>
      <c r="EU879" s="106"/>
      <c r="EV879" s="106"/>
      <c r="EW879" s="106"/>
      <c r="EX879" s="106"/>
      <c r="EY879" s="106"/>
      <c r="EZ879" s="106"/>
      <c r="FA879" s="106"/>
      <c r="FB879" s="106"/>
      <c r="FC879" s="106"/>
      <c r="FD879" s="106"/>
      <c r="FE879" s="106"/>
      <c r="FF879" s="106"/>
      <c r="FG879" s="106"/>
      <c r="FH879" s="106"/>
      <c r="FI879" s="106"/>
      <c r="FJ879" s="106"/>
      <c r="FK879" s="106"/>
      <c r="FL879" s="106"/>
      <c r="FM879" s="106"/>
      <c r="FN879" s="106"/>
      <c r="FO879" s="106"/>
      <c r="FP879" s="106"/>
      <c r="FQ879" s="106"/>
      <c r="FR879" s="106"/>
      <c r="FS879" s="106"/>
      <c r="FT879" s="106"/>
      <c r="FU879" s="106"/>
    </row>
    <row r="880" spans="30:177" ht="6.95" customHeight="1" x14ac:dyDescent="0.15"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  <c r="AZ880" s="93"/>
      <c r="BA880" s="93"/>
      <c r="BB880" s="93"/>
      <c r="BC880" s="93"/>
      <c r="BD880" s="93"/>
      <c r="BE880" s="93"/>
      <c r="BF880" s="93"/>
      <c r="BG880" s="93"/>
      <c r="BH880" s="93"/>
      <c r="BI880" s="93"/>
      <c r="BJ880" s="93"/>
      <c r="BK880" s="93"/>
      <c r="BL880" s="93"/>
      <c r="BM880" s="93"/>
      <c r="BN880" s="93"/>
      <c r="BO880" s="93"/>
      <c r="BP880" s="93"/>
      <c r="BR880" s="93"/>
      <c r="BS880" s="93"/>
      <c r="BT880" s="93"/>
      <c r="BU880" s="93"/>
      <c r="BV880" s="93"/>
      <c r="BW880" s="93"/>
      <c r="BX880" s="93"/>
      <c r="BY880" s="93"/>
      <c r="BZ880" s="93"/>
      <c r="CA880" s="93"/>
      <c r="CB880" s="93"/>
      <c r="CC880" s="93"/>
      <c r="CD880" s="93"/>
      <c r="CE880" s="93"/>
      <c r="CF880" s="93"/>
      <c r="CG880" s="93"/>
      <c r="CH880" s="93"/>
      <c r="CI880" s="93"/>
      <c r="CJ880" s="93"/>
      <c r="CK880" s="93"/>
      <c r="CL880" s="93"/>
      <c r="CM880" s="93"/>
      <c r="CN880" s="93"/>
      <c r="CO880" s="93"/>
      <c r="CP880" s="93"/>
      <c r="CQ880" s="93"/>
      <c r="CR880" s="93"/>
      <c r="CS880" s="93"/>
      <c r="CT880" s="93"/>
      <c r="CU880" s="93"/>
      <c r="CV880" s="93"/>
      <c r="CW880" s="93"/>
      <c r="CX880" s="93"/>
      <c r="CY880" s="93"/>
      <c r="CZ880" s="106"/>
      <c r="DA880" s="106"/>
      <c r="DB880" s="106"/>
      <c r="DC880" s="106"/>
      <c r="DD880" s="106"/>
      <c r="DE880" s="106"/>
      <c r="DF880" s="106"/>
      <c r="DG880" s="106"/>
      <c r="DH880" s="106"/>
      <c r="DI880" s="106"/>
      <c r="DJ880" s="106"/>
      <c r="DK880" s="106"/>
      <c r="DL880" s="106"/>
      <c r="DM880" s="106"/>
      <c r="DN880" s="106"/>
      <c r="DO880" s="106"/>
      <c r="DP880" s="106"/>
      <c r="DQ880" s="106"/>
      <c r="DR880" s="106"/>
      <c r="DS880" s="106"/>
      <c r="DT880" s="106"/>
      <c r="DU880" s="106"/>
      <c r="DV880" s="106"/>
      <c r="DW880" s="106"/>
      <c r="DX880" s="106"/>
      <c r="DY880" s="106"/>
      <c r="DZ880" s="106"/>
      <c r="EA880" s="106"/>
      <c r="EB880" s="106"/>
      <c r="EC880" s="106"/>
      <c r="ED880" s="106"/>
      <c r="EE880" s="106"/>
      <c r="EF880" s="106"/>
      <c r="EG880" s="106"/>
      <c r="EH880" s="106"/>
      <c r="EI880" s="106"/>
      <c r="EJ880" s="106"/>
      <c r="EK880" s="106"/>
      <c r="EL880" s="106"/>
      <c r="EM880" s="106"/>
      <c r="EN880" s="106"/>
      <c r="EO880" s="106"/>
      <c r="EP880" s="106"/>
      <c r="EQ880" s="106"/>
      <c r="ER880" s="106"/>
      <c r="ES880" s="106"/>
      <c r="ET880" s="106"/>
      <c r="EU880" s="106"/>
      <c r="EV880" s="106"/>
      <c r="EW880" s="106"/>
      <c r="EX880" s="106"/>
      <c r="EY880" s="106"/>
      <c r="EZ880" s="106"/>
      <c r="FA880" s="106"/>
      <c r="FB880" s="106"/>
      <c r="FC880" s="106"/>
      <c r="FD880" s="106"/>
      <c r="FE880" s="106"/>
      <c r="FF880" s="106"/>
      <c r="FG880" s="106"/>
      <c r="FH880" s="106"/>
      <c r="FI880" s="106"/>
      <c r="FJ880" s="106"/>
      <c r="FK880" s="106"/>
      <c r="FL880" s="106"/>
      <c r="FM880" s="106"/>
      <c r="FN880" s="106"/>
      <c r="FO880" s="106"/>
      <c r="FP880" s="106"/>
      <c r="FQ880" s="106"/>
      <c r="FR880" s="106"/>
      <c r="FS880" s="106"/>
      <c r="FT880" s="106"/>
      <c r="FU880" s="106"/>
    </row>
    <row r="881" spans="30:177" ht="6.95" customHeight="1" x14ac:dyDescent="0.15"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  <c r="AZ881" s="93"/>
      <c r="BA881" s="93"/>
      <c r="BB881" s="93"/>
      <c r="BC881" s="93"/>
      <c r="BD881" s="93"/>
      <c r="BE881" s="93"/>
      <c r="BF881" s="93"/>
      <c r="BG881" s="93"/>
      <c r="BH881" s="93"/>
      <c r="BI881" s="93"/>
      <c r="BJ881" s="93"/>
      <c r="BK881" s="93"/>
      <c r="BL881" s="93"/>
      <c r="BM881" s="93"/>
      <c r="BN881" s="93"/>
      <c r="BO881" s="93"/>
      <c r="BP881" s="93"/>
      <c r="BR881" s="93"/>
      <c r="BS881" s="93"/>
      <c r="BT881" s="93"/>
      <c r="BU881" s="93"/>
      <c r="BV881" s="93"/>
      <c r="BW881" s="93"/>
      <c r="BX881" s="93"/>
      <c r="BY881" s="93"/>
      <c r="BZ881" s="93"/>
      <c r="CA881" s="93"/>
      <c r="CB881" s="93"/>
      <c r="CC881" s="93"/>
      <c r="CD881" s="93"/>
      <c r="CE881" s="93"/>
      <c r="CF881" s="93"/>
      <c r="CG881" s="93"/>
      <c r="CH881" s="93"/>
      <c r="CI881" s="93"/>
      <c r="CJ881" s="93"/>
      <c r="CK881" s="93"/>
      <c r="CL881" s="93"/>
      <c r="CM881" s="93"/>
      <c r="CN881" s="93"/>
      <c r="CO881" s="93"/>
      <c r="CP881" s="93"/>
      <c r="CQ881" s="93"/>
      <c r="CR881" s="93"/>
      <c r="CS881" s="93"/>
      <c r="CT881" s="93"/>
      <c r="CU881" s="93"/>
      <c r="CV881" s="93"/>
      <c r="CW881" s="93"/>
      <c r="CX881" s="93"/>
      <c r="CY881" s="93"/>
      <c r="CZ881" s="106"/>
      <c r="DA881" s="106"/>
      <c r="DB881" s="106"/>
      <c r="DC881" s="106"/>
      <c r="DD881" s="106"/>
      <c r="DE881" s="106"/>
      <c r="DF881" s="106"/>
      <c r="DG881" s="106"/>
      <c r="DH881" s="106"/>
      <c r="DI881" s="106"/>
      <c r="DJ881" s="106"/>
      <c r="DK881" s="106"/>
      <c r="DL881" s="106"/>
      <c r="DM881" s="106"/>
      <c r="DN881" s="106"/>
      <c r="DO881" s="106"/>
      <c r="DP881" s="106"/>
      <c r="DQ881" s="106"/>
      <c r="DR881" s="106"/>
      <c r="DS881" s="106"/>
      <c r="DT881" s="106"/>
      <c r="DU881" s="106"/>
      <c r="DV881" s="106"/>
      <c r="DW881" s="106"/>
      <c r="DX881" s="106"/>
      <c r="DY881" s="106"/>
      <c r="DZ881" s="106"/>
      <c r="EA881" s="106"/>
      <c r="EB881" s="106"/>
      <c r="EC881" s="106"/>
      <c r="ED881" s="106"/>
      <c r="EE881" s="106"/>
      <c r="EF881" s="106"/>
      <c r="EG881" s="106"/>
      <c r="EH881" s="106"/>
      <c r="EI881" s="106"/>
      <c r="EJ881" s="106"/>
      <c r="EK881" s="106"/>
      <c r="EL881" s="106"/>
      <c r="EM881" s="106"/>
      <c r="EN881" s="106"/>
      <c r="EO881" s="106"/>
      <c r="EP881" s="106"/>
      <c r="EQ881" s="106"/>
      <c r="ER881" s="106"/>
      <c r="ES881" s="106"/>
      <c r="ET881" s="106"/>
      <c r="EU881" s="106"/>
      <c r="EV881" s="106"/>
      <c r="EW881" s="106"/>
      <c r="EX881" s="106"/>
      <c r="EY881" s="106"/>
      <c r="EZ881" s="106"/>
      <c r="FA881" s="106"/>
      <c r="FB881" s="106"/>
      <c r="FC881" s="106"/>
      <c r="FD881" s="106"/>
      <c r="FE881" s="106"/>
      <c r="FF881" s="106"/>
      <c r="FG881" s="106"/>
      <c r="FH881" s="106"/>
      <c r="FI881" s="106"/>
      <c r="FJ881" s="106"/>
      <c r="FK881" s="106"/>
      <c r="FL881" s="106"/>
      <c r="FM881" s="106"/>
      <c r="FN881" s="106"/>
      <c r="FO881" s="106"/>
      <c r="FP881" s="106"/>
      <c r="FQ881" s="106"/>
      <c r="FR881" s="106"/>
      <c r="FS881" s="106"/>
      <c r="FT881" s="106"/>
      <c r="FU881" s="106"/>
    </row>
    <row r="882" spans="30:177" ht="6.95" customHeight="1" x14ac:dyDescent="0.15"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  <c r="AZ882" s="93"/>
      <c r="BA882" s="93"/>
      <c r="BB882" s="93"/>
      <c r="BC882" s="93"/>
      <c r="BD882" s="93"/>
      <c r="BE882" s="93"/>
      <c r="BF882" s="93"/>
      <c r="BG882" s="93"/>
      <c r="BH882" s="93"/>
      <c r="BI882" s="93"/>
      <c r="BJ882" s="93"/>
      <c r="BK882" s="93"/>
      <c r="BL882" s="93"/>
      <c r="BM882" s="93"/>
      <c r="BN882" s="93"/>
      <c r="BO882" s="93"/>
      <c r="BP882" s="93"/>
      <c r="BR882" s="93"/>
      <c r="BS882" s="93"/>
      <c r="BT882" s="93"/>
      <c r="BU882" s="93"/>
      <c r="BV882" s="93"/>
      <c r="BW882" s="93"/>
      <c r="BX882" s="93"/>
      <c r="BY882" s="93"/>
      <c r="BZ882" s="93"/>
      <c r="CA882" s="93"/>
      <c r="CB882" s="93"/>
      <c r="CC882" s="93"/>
      <c r="CD882" s="93"/>
      <c r="CE882" s="93"/>
      <c r="CF882" s="93"/>
      <c r="CG882" s="93"/>
      <c r="CH882" s="93"/>
      <c r="CI882" s="93"/>
      <c r="CJ882" s="93"/>
      <c r="CK882" s="93"/>
      <c r="CL882" s="93"/>
      <c r="CM882" s="93"/>
      <c r="CN882" s="93"/>
      <c r="CO882" s="93"/>
      <c r="CP882" s="93"/>
      <c r="CQ882" s="93"/>
      <c r="CR882" s="93"/>
      <c r="CS882" s="93"/>
      <c r="CT882" s="93"/>
      <c r="CU882" s="93"/>
      <c r="CV882" s="93"/>
      <c r="CW882" s="93"/>
      <c r="CX882" s="93"/>
      <c r="CY882" s="93"/>
      <c r="CZ882" s="106"/>
      <c r="DA882" s="106"/>
      <c r="DB882" s="106"/>
      <c r="DC882" s="106"/>
      <c r="DD882" s="106"/>
      <c r="DE882" s="106"/>
      <c r="DF882" s="106"/>
      <c r="DG882" s="106"/>
      <c r="DH882" s="106"/>
      <c r="DI882" s="106"/>
      <c r="DJ882" s="106"/>
      <c r="DK882" s="106"/>
      <c r="DL882" s="106"/>
      <c r="DM882" s="106"/>
      <c r="DN882" s="106"/>
      <c r="DO882" s="106"/>
      <c r="DP882" s="106"/>
      <c r="DQ882" s="106"/>
      <c r="DR882" s="106"/>
      <c r="DS882" s="106"/>
      <c r="DT882" s="106"/>
      <c r="DU882" s="106"/>
      <c r="DV882" s="106"/>
      <c r="DW882" s="106"/>
      <c r="DX882" s="106"/>
      <c r="DY882" s="106"/>
      <c r="DZ882" s="106"/>
      <c r="EA882" s="106"/>
      <c r="EB882" s="106"/>
      <c r="EC882" s="106"/>
      <c r="ED882" s="106"/>
      <c r="EE882" s="106"/>
      <c r="EF882" s="106"/>
      <c r="EG882" s="106"/>
      <c r="EH882" s="106"/>
      <c r="EI882" s="106"/>
      <c r="EJ882" s="106"/>
      <c r="EK882" s="106"/>
      <c r="EL882" s="106"/>
      <c r="EM882" s="106"/>
      <c r="EN882" s="106"/>
      <c r="EO882" s="106"/>
      <c r="EP882" s="106"/>
      <c r="EQ882" s="106"/>
      <c r="ER882" s="106"/>
      <c r="ES882" s="106"/>
      <c r="ET882" s="106"/>
      <c r="EU882" s="106"/>
      <c r="EV882" s="106"/>
      <c r="EW882" s="106"/>
      <c r="EX882" s="106"/>
      <c r="EY882" s="106"/>
      <c r="EZ882" s="106"/>
      <c r="FA882" s="106"/>
      <c r="FB882" s="106"/>
      <c r="FC882" s="106"/>
      <c r="FD882" s="106"/>
      <c r="FE882" s="106"/>
      <c r="FF882" s="106"/>
      <c r="FG882" s="106"/>
      <c r="FH882" s="106"/>
      <c r="FI882" s="106"/>
      <c r="FJ882" s="106"/>
      <c r="FK882" s="106"/>
      <c r="FL882" s="106"/>
      <c r="FM882" s="106"/>
      <c r="FN882" s="106"/>
      <c r="FO882" s="106"/>
      <c r="FP882" s="106"/>
      <c r="FQ882" s="106"/>
      <c r="FR882" s="106"/>
      <c r="FS882" s="106"/>
      <c r="FT882" s="106"/>
      <c r="FU882" s="106"/>
    </row>
    <row r="883" spans="30:177" ht="6.95" customHeight="1" x14ac:dyDescent="0.15"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  <c r="AZ883" s="93"/>
      <c r="BA883" s="93"/>
      <c r="BB883" s="93"/>
      <c r="BC883" s="93"/>
      <c r="BD883" s="93"/>
      <c r="BE883" s="93"/>
      <c r="BF883" s="93"/>
      <c r="BG883" s="93"/>
      <c r="BH883" s="93"/>
      <c r="BI883" s="93"/>
      <c r="BJ883" s="93"/>
      <c r="BK883" s="93"/>
      <c r="BL883" s="93"/>
      <c r="BM883" s="93"/>
      <c r="BN883" s="93"/>
      <c r="BO883" s="93"/>
      <c r="BP883" s="93"/>
      <c r="BR883" s="93"/>
      <c r="BS883" s="93"/>
      <c r="BT883" s="93"/>
      <c r="BU883" s="93"/>
      <c r="BV883" s="93"/>
      <c r="BW883" s="93"/>
      <c r="BX883" s="93"/>
      <c r="BY883" s="93"/>
      <c r="BZ883" s="93"/>
      <c r="CA883" s="93"/>
      <c r="CB883" s="93"/>
      <c r="CC883" s="93"/>
      <c r="CD883" s="93"/>
      <c r="CE883" s="93"/>
      <c r="CF883" s="93"/>
      <c r="CG883" s="93"/>
      <c r="CH883" s="93"/>
      <c r="CI883" s="93"/>
      <c r="CJ883" s="93"/>
      <c r="CK883" s="93"/>
      <c r="CL883" s="93"/>
      <c r="CM883" s="93"/>
      <c r="CN883" s="93"/>
      <c r="CO883" s="93"/>
      <c r="CP883" s="93"/>
      <c r="CQ883" s="93"/>
      <c r="CR883" s="93"/>
      <c r="CS883" s="93"/>
      <c r="CT883" s="93"/>
      <c r="CU883" s="93"/>
      <c r="CV883" s="93"/>
      <c r="CW883" s="93"/>
      <c r="CX883" s="93"/>
      <c r="CY883" s="93"/>
      <c r="CZ883" s="106"/>
      <c r="DA883" s="106"/>
      <c r="DB883" s="106"/>
      <c r="DC883" s="106"/>
      <c r="DD883" s="106"/>
      <c r="DE883" s="106"/>
      <c r="DF883" s="106"/>
      <c r="DG883" s="106"/>
      <c r="DH883" s="106"/>
      <c r="DI883" s="106"/>
      <c r="DJ883" s="106"/>
      <c r="DK883" s="106"/>
      <c r="DL883" s="106"/>
      <c r="DM883" s="106"/>
      <c r="DN883" s="106"/>
      <c r="DO883" s="106"/>
      <c r="DP883" s="106"/>
      <c r="DQ883" s="106"/>
      <c r="DR883" s="106"/>
      <c r="DS883" s="106"/>
      <c r="DT883" s="106"/>
      <c r="DU883" s="106"/>
      <c r="DV883" s="106"/>
      <c r="DW883" s="106"/>
      <c r="DX883" s="106"/>
      <c r="DY883" s="106"/>
      <c r="DZ883" s="106"/>
      <c r="EA883" s="106"/>
      <c r="EB883" s="106"/>
      <c r="EC883" s="106"/>
      <c r="ED883" s="106"/>
      <c r="EE883" s="106"/>
      <c r="EF883" s="106"/>
      <c r="EG883" s="106"/>
      <c r="EH883" s="106"/>
      <c r="EI883" s="106"/>
      <c r="EJ883" s="106"/>
      <c r="EK883" s="106"/>
      <c r="EL883" s="106"/>
      <c r="EM883" s="106"/>
      <c r="EN883" s="106"/>
      <c r="EO883" s="106"/>
      <c r="EP883" s="106"/>
      <c r="EQ883" s="106"/>
      <c r="ER883" s="106"/>
      <c r="ES883" s="106"/>
      <c r="ET883" s="106"/>
      <c r="EU883" s="106"/>
      <c r="EV883" s="106"/>
      <c r="EW883" s="106"/>
      <c r="EX883" s="106"/>
      <c r="EY883" s="106"/>
      <c r="EZ883" s="106"/>
      <c r="FA883" s="106"/>
      <c r="FB883" s="106"/>
      <c r="FC883" s="106"/>
      <c r="FD883" s="106"/>
      <c r="FE883" s="106"/>
      <c r="FF883" s="106"/>
      <c r="FG883" s="106"/>
      <c r="FH883" s="106"/>
      <c r="FI883" s="106"/>
      <c r="FJ883" s="106"/>
      <c r="FK883" s="106"/>
      <c r="FL883" s="106"/>
      <c r="FM883" s="106"/>
      <c r="FN883" s="106"/>
      <c r="FO883" s="106"/>
      <c r="FP883" s="106"/>
      <c r="FQ883" s="106"/>
      <c r="FR883" s="106"/>
      <c r="FS883" s="106"/>
      <c r="FT883" s="106"/>
      <c r="FU883" s="106"/>
    </row>
    <row r="884" spans="30:177" ht="6.95" customHeight="1" x14ac:dyDescent="0.15"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  <c r="AZ884" s="93"/>
      <c r="BA884" s="93"/>
      <c r="BB884" s="93"/>
      <c r="BC884" s="93"/>
      <c r="BD884" s="93"/>
      <c r="BE884" s="93"/>
      <c r="BF884" s="93"/>
      <c r="BG884" s="93"/>
      <c r="BH884" s="93"/>
      <c r="BI884" s="93"/>
      <c r="BJ884" s="93"/>
      <c r="BK884" s="93"/>
      <c r="BL884" s="93"/>
      <c r="BM884" s="93"/>
      <c r="BN884" s="93"/>
      <c r="BO884" s="93"/>
      <c r="BP884" s="93"/>
      <c r="BR884" s="93"/>
      <c r="BS884" s="93"/>
      <c r="BT884" s="93"/>
      <c r="BU884" s="93"/>
      <c r="BV884" s="93"/>
      <c r="BW884" s="93"/>
      <c r="BX884" s="93"/>
      <c r="BY884" s="93"/>
      <c r="BZ884" s="93"/>
      <c r="CA884" s="93"/>
      <c r="CB884" s="93"/>
      <c r="CC884" s="93"/>
      <c r="CD884" s="93"/>
      <c r="CE884" s="93"/>
      <c r="CF884" s="93"/>
      <c r="CG884" s="93"/>
      <c r="CH884" s="93"/>
      <c r="CI884" s="93"/>
      <c r="CJ884" s="93"/>
      <c r="CK884" s="93"/>
      <c r="CL884" s="93"/>
      <c r="CM884" s="93"/>
      <c r="CN884" s="93"/>
      <c r="CO884" s="93"/>
      <c r="CP884" s="93"/>
      <c r="CQ884" s="93"/>
      <c r="CR884" s="93"/>
      <c r="CS884" s="93"/>
      <c r="CT884" s="93"/>
      <c r="CU884" s="93"/>
      <c r="CV884" s="93"/>
      <c r="CW884" s="93"/>
      <c r="CX884" s="93"/>
      <c r="CY884" s="93"/>
      <c r="CZ884" s="106"/>
      <c r="DA884" s="106"/>
      <c r="DB884" s="106"/>
      <c r="DC884" s="106"/>
      <c r="DD884" s="106"/>
      <c r="DE884" s="106"/>
      <c r="DF884" s="106"/>
      <c r="DG884" s="106"/>
      <c r="DH884" s="106"/>
      <c r="DI884" s="106"/>
      <c r="DJ884" s="106"/>
      <c r="DK884" s="106"/>
      <c r="DL884" s="106"/>
      <c r="DM884" s="106"/>
      <c r="DN884" s="106"/>
      <c r="DO884" s="106"/>
      <c r="DP884" s="106"/>
      <c r="DQ884" s="106"/>
      <c r="DR884" s="106"/>
      <c r="DS884" s="106"/>
      <c r="DT884" s="106"/>
      <c r="DU884" s="106"/>
      <c r="DV884" s="106"/>
      <c r="DW884" s="106"/>
      <c r="DX884" s="106"/>
      <c r="DY884" s="106"/>
      <c r="DZ884" s="106"/>
      <c r="EA884" s="106"/>
      <c r="EB884" s="106"/>
      <c r="EC884" s="106"/>
      <c r="ED884" s="106"/>
      <c r="EE884" s="106"/>
      <c r="EF884" s="106"/>
      <c r="EG884" s="106"/>
      <c r="EH884" s="106"/>
      <c r="EI884" s="106"/>
      <c r="EJ884" s="106"/>
      <c r="EK884" s="106"/>
      <c r="EL884" s="106"/>
      <c r="EM884" s="106"/>
      <c r="EN884" s="106"/>
      <c r="EO884" s="106"/>
      <c r="EP884" s="106"/>
      <c r="EQ884" s="106"/>
      <c r="ER884" s="106"/>
      <c r="ES884" s="106"/>
      <c r="ET884" s="106"/>
      <c r="EU884" s="106"/>
      <c r="EV884" s="106"/>
      <c r="EW884" s="106"/>
      <c r="EX884" s="106"/>
      <c r="EY884" s="106"/>
      <c r="EZ884" s="106"/>
      <c r="FA884" s="106"/>
      <c r="FB884" s="106"/>
      <c r="FC884" s="106"/>
      <c r="FD884" s="106"/>
      <c r="FE884" s="106"/>
      <c r="FF884" s="106"/>
      <c r="FG884" s="106"/>
      <c r="FH884" s="106"/>
      <c r="FI884" s="106"/>
      <c r="FJ884" s="106"/>
      <c r="FK884" s="106"/>
      <c r="FL884" s="106"/>
      <c r="FM884" s="106"/>
      <c r="FN884" s="106"/>
      <c r="FO884" s="106"/>
      <c r="FP884" s="106"/>
      <c r="FQ884" s="106"/>
      <c r="FR884" s="106"/>
      <c r="FS884" s="106"/>
      <c r="FT884" s="106"/>
      <c r="FU884" s="106"/>
    </row>
    <row r="885" spans="30:177" ht="6.95" customHeight="1" x14ac:dyDescent="0.15"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  <c r="AZ885" s="93"/>
      <c r="BA885" s="93"/>
      <c r="BB885" s="93"/>
      <c r="BC885" s="93"/>
      <c r="BD885" s="93"/>
      <c r="BE885" s="93"/>
      <c r="BF885" s="93"/>
      <c r="BG885" s="93"/>
      <c r="BH885" s="93"/>
      <c r="BI885" s="93"/>
      <c r="BJ885" s="93"/>
      <c r="BK885" s="93"/>
      <c r="BL885" s="93"/>
      <c r="BM885" s="93"/>
      <c r="BN885" s="93"/>
      <c r="BO885" s="93"/>
      <c r="BP885" s="93"/>
      <c r="BR885" s="93"/>
      <c r="BS885" s="93"/>
      <c r="BT885" s="93"/>
      <c r="BU885" s="93"/>
      <c r="BV885" s="93"/>
      <c r="BW885" s="93"/>
      <c r="BX885" s="93"/>
      <c r="BY885" s="93"/>
      <c r="BZ885" s="93"/>
      <c r="CA885" s="93"/>
      <c r="CB885" s="93"/>
      <c r="CC885" s="93"/>
      <c r="CD885" s="93"/>
      <c r="CE885" s="93"/>
      <c r="CF885" s="93"/>
      <c r="CG885" s="93"/>
      <c r="CH885" s="93"/>
      <c r="CI885" s="93"/>
      <c r="CJ885" s="93"/>
      <c r="CK885" s="93"/>
      <c r="CL885" s="93"/>
      <c r="CM885" s="93"/>
      <c r="CN885" s="93"/>
      <c r="CO885" s="93"/>
      <c r="CP885" s="93"/>
      <c r="CQ885" s="93"/>
      <c r="CR885" s="93"/>
      <c r="CS885" s="93"/>
      <c r="CT885" s="93"/>
      <c r="CU885" s="93"/>
      <c r="CV885" s="93"/>
      <c r="CW885" s="93"/>
      <c r="CX885" s="93"/>
      <c r="CY885" s="93"/>
      <c r="CZ885" s="106"/>
      <c r="DA885" s="106"/>
      <c r="DB885" s="106"/>
      <c r="DC885" s="106"/>
      <c r="DD885" s="106"/>
      <c r="DE885" s="106"/>
      <c r="DF885" s="106"/>
      <c r="DG885" s="106"/>
      <c r="DH885" s="106"/>
      <c r="DI885" s="106"/>
      <c r="DJ885" s="106"/>
      <c r="DK885" s="106"/>
      <c r="DL885" s="106"/>
      <c r="DM885" s="106"/>
      <c r="DN885" s="106"/>
      <c r="DO885" s="106"/>
      <c r="DP885" s="106"/>
      <c r="DQ885" s="106"/>
      <c r="DR885" s="106"/>
      <c r="DS885" s="106"/>
      <c r="DT885" s="106"/>
      <c r="DU885" s="106"/>
      <c r="DV885" s="106"/>
      <c r="DW885" s="106"/>
      <c r="DX885" s="106"/>
      <c r="DY885" s="106"/>
      <c r="DZ885" s="106"/>
      <c r="EA885" s="106"/>
      <c r="EB885" s="106"/>
      <c r="EC885" s="106"/>
      <c r="ED885" s="106"/>
      <c r="EE885" s="106"/>
      <c r="EF885" s="106"/>
      <c r="EG885" s="106"/>
      <c r="EH885" s="106"/>
      <c r="EI885" s="106"/>
      <c r="EJ885" s="106"/>
      <c r="EK885" s="106"/>
      <c r="EL885" s="106"/>
      <c r="EM885" s="106"/>
      <c r="EN885" s="106"/>
      <c r="EO885" s="106"/>
      <c r="EP885" s="106"/>
      <c r="EQ885" s="106"/>
      <c r="ER885" s="106"/>
      <c r="ES885" s="106"/>
      <c r="ET885" s="106"/>
      <c r="EU885" s="106"/>
      <c r="EV885" s="106"/>
      <c r="EW885" s="106"/>
      <c r="EX885" s="106"/>
      <c r="EY885" s="106"/>
      <c r="EZ885" s="106"/>
      <c r="FA885" s="106"/>
      <c r="FB885" s="106"/>
      <c r="FC885" s="106"/>
      <c r="FD885" s="106"/>
      <c r="FE885" s="106"/>
      <c r="FF885" s="106"/>
      <c r="FG885" s="106"/>
      <c r="FH885" s="106"/>
      <c r="FI885" s="106"/>
      <c r="FJ885" s="106"/>
      <c r="FK885" s="106"/>
      <c r="FL885" s="106"/>
      <c r="FM885" s="106"/>
      <c r="FN885" s="106"/>
      <c r="FO885" s="106"/>
      <c r="FP885" s="106"/>
      <c r="FQ885" s="106"/>
      <c r="FR885" s="106"/>
      <c r="FS885" s="106"/>
      <c r="FT885" s="106"/>
      <c r="FU885" s="106"/>
    </row>
    <row r="886" spans="30:177" ht="6.95" customHeight="1" x14ac:dyDescent="0.15"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  <c r="AZ886" s="93"/>
      <c r="BA886" s="93"/>
      <c r="BB886" s="93"/>
      <c r="BC886" s="93"/>
      <c r="BD886" s="93"/>
      <c r="BE886" s="93"/>
      <c r="BF886" s="93"/>
      <c r="BG886" s="93"/>
      <c r="BH886" s="93"/>
      <c r="BI886" s="93"/>
      <c r="BJ886" s="93"/>
      <c r="BK886" s="93"/>
      <c r="BL886" s="93"/>
      <c r="BM886" s="93"/>
      <c r="BN886" s="93"/>
      <c r="BO886" s="93"/>
      <c r="BP886" s="93"/>
      <c r="BR886" s="93"/>
      <c r="BS886" s="93"/>
      <c r="BT886" s="93"/>
      <c r="BU886" s="93"/>
      <c r="BV886" s="93"/>
      <c r="BW886" s="93"/>
      <c r="BX886" s="93"/>
      <c r="BY886" s="93"/>
      <c r="BZ886" s="93"/>
      <c r="CA886" s="93"/>
      <c r="CB886" s="93"/>
      <c r="CC886" s="93"/>
      <c r="CD886" s="93"/>
      <c r="CE886" s="93"/>
      <c r="CF886" s="93"/>
      <c r="CG886" s="93"/>
      <c r="CH886" s="93"/>
      <c r="CI886" s="93"/>
      <c r="CJ886" s="93"/>
      <c r="CK886" s="93"/>
      <c r="CL886" s="93"/>
      <c r="CM886" s="93"/>
      <c r="CN886" s="93"/>
      <c r="CO886" s="93"/>
      <c r="CP886" s="93"/>
      <c r="CQ886" s="93"/>
      <c r="CR886" s="93"/>
      <c r="CS886" s="93"/>
      <c r="CT886" s="93"/>
      <c r="CU886" s="93"/>
      <c r="CV886" s="93"/>
      <c r="CW886" s="93"/>
      <c r="CX886" s="93"/>
      <c r="CY886" s="93"/>
      <c r="CZ886" s="106"/>
      <c r="DA886" s="106"/>
      <c r="DB886" s="106"/>
      <c r="DC886" s="106"/>
      <c r="DD886" s="106"/>
      <c r="DE886" s="106"/>
      <c r="DF886" s="106"/>
      <c r="DG886" s="106"/>
      <c r="DH886" s="106"/>
      <c r="DI886" s="106"/>
      <c r="DJ886" s="106"/>
      <c r="DK886" s="106"/>
      <c r="DL886" s="106"/>
      <c r="DM886" s="106"/>
      <c r="DN886" s="106"/>
      <c r="DO886" s="106"/>
      <c r="DP886" s="106"/>
      <c r="DQ886" s="106"/>
      <c r="DR886" s="106"/>
      <c r="DS886" s="106"/>
      <c r="DT886" s="106"/>
      <c r="DU886" s="106"/>
      <c r="DV886" s="106"/>
      <c r="DW886" s="106"/>
      <c r="DX886" s="106"/>
      <c r="DY886" s="106"/>
      <c r="DZ886" s="106"/>
      <c r="EA886" s="106"/>
      <c r="EB886" s="106"/>
      <c r="EC886" s="106"/>
      <c r="ED886" s="106"/>
      <c r="EE886" s="106"/>
      <c r="EF886" s="106"/>
      <c r="EG886" s="106"/>
      <c r="EH886" s="106"/>
      <c r="EI886" s="106"/>
      <c r="EJ886" s="106"/>
      <c r="EK886" s="106"/>
      <c r="EL886" s="106"/>
      <c r="EM886" s="106"/>
      <c r="EN886" s="106"/>
      <c r="EO886" s="106"/>
      <c r="EP886" s="106"/>
      <c r="EQ886" s="106"/>
      <c r="ER886" s="106"/>
      <c r="ES886" s="106"/>
      <c r="ET886" s="106"/>
      <c r="EU886" s="106"/>
      <c r="EV886" s="106"/>
      <c r="EW886" s="106"/>
      <c r="EX886" s="106"/>
      <c r="EY886" s="106"/>
      <c r="EZ886" s="106"/>
      <c r="FA886" s="106"/>
      <c r="FB886" s="106"/>
      <c r="FC886" s="106"/>
      <c r="FD886" s="106"/>
      <c r="FE886" s="106"/>
      <c r="FF886" s="106"/>
      <c r="FG886" s="106"/>
      <c r="FH886" s="106"/>
      <c r="FI886" s="106"/>
      <c r="FJ886" s="106"/>
      <c r="FK886" s="106"/>
      <c r="FL886" s="106"/>
      <c r="FM886" s="106"/>
      <c r="FN886" s="106"/>
      <c r="FO886" s="106"/>
      <c r="FP886" s="106"/>
      <c r="FQ886" s="106"/>
      <c r="FR886" s="106"/>
      <c r="FS886" s="106"/>
      <c r="FT886" s="106"/>
      <c r="FU886" s="106"/>
    </row>
    <row r="887" spans="30:177" ht="6.95" customHeight="1" x14ac:dyDescent="0.15"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3"/>
      <c r="BF887" s="93"/>
      <c r="BG887" s="93"/>
      <c r="BH887" s="93"/>
      <c r="BI887" s="93"/>
      <c r="BJ887" s="93"/>
      <c r="BK887" s="93"/>
      <c r="BL887" s="93"/>
      <c r="BM887" s="93"/>
      <c r="BN887" s="93"/>
      <c r="BO887" s="93"/>
      <c r="BP887" s="93"/>
      <c r="BR887" s="93"/>
      <c r="BS887" s="93"/>
      <c r="BT887" s="93"/>
      <c r="BU887" s="93"/>
      <c r="BV887" s="93"/>
      <c r="BW887" s="93"/>
      <c r="BX887" s="93"/>
      <c r="BY887" s="93"/>
      <c r="BZ887" s="93"/>
      <c r="CA887" s="93"/>
      <c r="CB887" s="93"/>
      <c r="CC887" s="93"/>
      <c r="CD887" s="93"/>
      <c r="CE887" s="93"/>
      <c r="CF887" s="93"/>
      <c r="CG887" s="93"/>
      <c r="CH887" s="93"/>
      <c r="CI887" s="93"/>
      <c r="CJ887" s="93"/>
      <c r="CK887" s="93"/>
      <c r="CL887" s="93"/>
      <c r="CM887" s="93"/>
      <c r="CN887" s="93"/>
      <c r="CO887" s="93"/>
      <c r="CP887" s="93"/>
      <c r="CQ887" s="93"/>
      <c r="CR887" s="93"/>
      <c r="CS887" s="93"/>
      <c r="CT887" s="93"/>
      <c r="CU887" s="93"/>
      <c r="CV887" s="93"/>
      <c r="CW887" s="93"/>
      <c r="CX887" s="93"/>
      <c r="CY887" s="93"/>
      <c r="CZ887" s="106"/>
      <c r="DA887" s="106"/>
      <c r="DB887" s="106"/>
      <c r="DC887" s="106"/>
      <c r="DD887" s="106"/>
      <c r="DE887" s="106"/>
      <c r="DF887" s="106"/>
      <c r="DG887" s="106"/>
      <c r="DH887" s="106"/>
      <c r="DI887" s="106"/>
      <c r="DJ887" s="106"/>
      <c r="DK887" s="106"/>
      <c r="DL887" s="106"/>
      <c r="DM887" s="106"/>
      <c r="DN887" s="106"/>
      <c r="DO887" s="106"/>
      <c r="DP887" s="106"/>
      <c r="DQ887" s="106"/>
      <c r="DR887" s="106"/>
      <c r="DS887" s="106"/>
      <c r="DT887" s="106"/>
      <c r="DU887" s="106"/>
      <c r="DV887" s="106"/>
      <c r="DW887" s="106"/>
      <c r="DX887" s="106"/>
      <c r="DY887" s="106"/>
      <c r="DZ887" s="106"/>
      <c r="EA887" s="106"/>
      <c r="EB887" s="106"/>
      <c r="EC887" s="106"/>
      <c r="ED887" s="106"/>
      <c r="EE887" s="106"/>
      <c r="EF887" s="106"/>
      <c r="EG887" s="106"/>
      <c r="EH887" s="106"/>
      <c r="EI887" s="106"/>
      <c r="EJ887" s="106"/>
      <c r="EK887" s="106"/>
      <c r="EL887" s="106"/>
      <c r="EM887" s="106"/>
      <c r="EN887" s="106"/>
      <c r="EO887" s="106"/>
      <c r="EP887" s="106"/>
      <c r="EQ887" s="106"/>
      <c r="ER887" s="106"/>
      <c r="ES887" s="106"/>
      <c r="ET887" s="106"/>
      <c r="EU887" s="106"/>
      <c r="EV887" s="106"/>
      <c r="EW887" s="106"/>
      <c r="EX887" s="106"/>
      <c r="EY887" s="106"/>
      <c r="EZ887" s="106"/>
      <c r="FA887" s="106"/>
      <c r="FB887" s="106"/>
      <c r="FC887" s="106"/>
      <c r="FD887" s="106"/>
      <c r="FE887" s="106"/>
      <c r="FF887" s="106"/>
      <c r="FG887" s="106"/>
      <c r="FH887" s="106"/>
      <c r="FI887" s="106"/>
      <c r="FJ887" s="106"/>
      <c r="FK887" s="106"/>
      <c r="FL887" s="106"/>
      <c r="FM887" s="106"/>
      <c r="FN887" s="106"/>
      <c r="FO887" s="106"/>
      <c r="FP887" s="106"/>
      <c r="FQ887" s="106"/>
      <c r="FR887" s="106"/>
      <c r="FS887" s="106"/>
      <c r="FT887" s="106"/>
      <c r="FU887" s="106"/>
    </row>
    <row r="888" spans="30:177" ht="6.95" customHeight="1" x14ac:dyDescent="0.15">
      <c r="AD888" s="93">
        <v>750</v>
      </c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  <c r="AZ888" s="93"/>
      <c r="BA888" s="93"/>
      <c r="BB888" s="93"/>
      <c r="BC888" s="93"/>
      <c r="BD888" s="93"/>
      <c r="BE888" s="93"/>
      <c r="BF888" s="93"/>
      <c r="BG888" s="93"/>
      <c r="BH888" s="93"/>
      <c r="BI888" s="93"/>
      <c r="BJ888" s="93"/>
      <c r="BK888" s="93"/>
      <c r="BL888" s="93"/>
      <c r="BM888" s="93"/>
      <c r="BN888" s="93"/>
      <c r="BO888" s="93"/>
      <c r="BP888" s="93"/>
      <c r="BQ888" s="93"/>
      <c r="BR888" s="93"/>
      <c r="BS888" s="93"/>
      <c r="BT888" s="93"/>
      <c r="BU888" s="93"/>
      <c r="BV888" s="93"/>
      <c r="BW888" s="93"/>
      <c r="BX888" s="93"/>
      <c r="BY888" s="93"/>
      <c r="BZ888" s="93"/>
      <c r="CA888" s="93"/>
      <c r="CB888" s="93"/>
      <c r="CC888" s="93"/>
      <c r="CD888" s="93"/>
      <c r="CE888" s="93"/>
      <c r="CF888" s="93"/>
      <c r="CG888" s="93"/>
      <c r="CH888" s="93"/>
      <c r="CI888" s="93"/>
      <c r="CJ888" s="93"/>
      <c r="CK888" s="93"/>
      <c r="CL888" s="93"/>
      <c r="CM888" s="93"/>
      <c r="CN888" s="93"/>
      <c r="CO888" s="93"/>
      <c r="CP888" s="93"/>
      <c r="CQ888" s="93"/>
      <c r="CR888" s="93"/>
      <c r="CS888" s="93"/>
      <c r="CT888" s="93"/>
      <c r="CU888" s="93"/>
      <c r="CV888" s="93"/>
      <c r="CW888" s="93"/>
      <c r="CX888" s="93"/>
      <c r="CY888" s="93"/>
      <c r="CZ888" s="106"/>
      <c r="DA888" s="106"/>
      <c r="DB888" s="106"/>
      <c r="DC888" s="106"/>
      <c r="DD888" s="106"/>
      <c r="DE888" s="106"/>
      <c r="DF888" s="106"/>
      <c r="DG888" s="106"/>
      <c r="DH888" s="106"/>
      <c r="DI888" s="106"/>
      <c r="DJ888" s="106"/>
      <c r="DK888" s="106"/>
      <c r="DL888" s="106"/>
      <c r="DM888" s="106"/>
      <c r="DN888" s="106"/>
      <c r="DO888" s="106"/>
      <c r="DP888" s="106"/>
      <c r="DQ888" s="106"/>
      <c r="DR888" s="106"/>
      <c r="DS888" s="106"/>
      <c r="DT888" s="106"/>
      <c r="DU888" s="106"/>
      <c r="DV888" s="106"/>
      <c r="DW888" s="106"/>
      <c r="DX888" s="106"/>
      <c r="DY888" s="106"/>
      <c r="DZ888" s="106"/>
      <c r="EA888" s="106"/>
      <c r="EB888" s="106"/>
      <c r="EC888" s="106"/>
      <c r="ED888" s="106"/>
      <c r="EE888" s="106"/>
      <c r="EF888" s="106"/>
      <c r="EG888" s="106"/>
      <c r="EH888" s="106"/>
      <c r="EI888" s="106"/>
      <c r="EJ888" s="106"/>
      <c r="EK888" s="106"/>
      <c r="EL888" s="106"/>
      <c r="EM888" s="106"/>
      <c r="EN888" s="106"/>
      <c r="EO888" s="106"/>
      <c r="EP888" s="106"/>
      <c r="EQ888" s="106"/>
      <c r="ER888" s="106"/>
      <c r="ES888" s="106"/>
      <c r="ET888" s="106"/>
      <c r="EU888" s="106"/>
      <c r="EV888" s="106"/>
      <c r="EW888" s="106"/>
      <c r="EX888" s="106"/>
      <c r="EY888" s="106"/>
      <c r="EZ888" s="106"/>
      <c r="FA888" s="106"/>
      <c r="FB888" s="106"/>
      <c r="FC888" s="106"/>
      <c r="FD888" s="106"/>
      <c r="FE888" s="106"/>
      <c r="FF888" s="106"/>
      <c r="FG888" s="106"/>
      <c r="FH888" s="106"/>
      <c r="FI888" s="106"/>
      <c r="FJ888" s="106"/>
      <c r="FK888" s="106"/>
      <c r="FL888" s="106"/>
      <c r="FM888" s="106"/>
      <c r="FN888" s="106"/>
      <c r="FO888" s="106"/>
      <c r="FP888" s="106"/>
      <c r="FQ888" s="106"/>
      <c r="FR888" s="106"/>
      <c r="FS888" s="106"/>
      <c r="FT888" s="106"/>
      <c r="FU888" s="106"/>
    </row>
    <row r="889" spans="30:177" ht="6.95" customHeight="1" x14ac:dyDescent="0.15"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  <c r="AZ889" s="93"/>
      <c r="BA889" s="93"/>
      <c r="BB889" s="93"/>
      <c r="BC889" s="93"/>
      <c r="BD889" s="93"/>
      <c r="BE889" s="93"/>
      <c r="BF889" s="93"/>
      <c r="BG889" s="93"/>
      <c r="BH889" s="93"/>
      <c r="BI889" s="93"/>
      <c r="BJ889" s="93"/>
      <c r="BK889" s="93"/>
      <c r="BL889" s="93"/>
      <c r="BM889" s="93"/>
      <c r="BN889" s="93"/>
      <c r="BO889" s="93"/>
      <c r="BP889" s="93"/>
      <c r="BQ889" s="93"/>
      <c r="BR889" s="93"/>
      <c r="BS889" s="93"/>
      <c r="BT889" s="93"/>
      <c r="BU889" s="93"/>
      <c r="BV889" s="93"/>
      <c r="BW889" s="93"/>
      <c r="BX889" s="93"/>
      <c r="BY889" s="93"/>
      <c r="BZ889" s="93"/>
      <c r="CA889" s="93"/>
      <c r="CB889" s="93"/>
      <c r="CC889" s="93"/>
      <c r="CD889" s="93"/>
      <c r="CE889" s="93"/>
      <c r="CF889" s="93"/>
      <c r="CG889" s="93"/>
      <c r="CH889" s="93"/>
      <c r="CI889" s="93"/>
      <c r="CJ889" s="93"/>
      <c r="CK889" s="93"/>
      <c r="CL889" s="93"/>
      <c r="CM889" s="93"/>
      <c r="CN889" s="93"/>
      <c r="CO889" s="93"/>
      <c r="CP889" s="93"/>
      <c r="CQ889" s="93"/>
      <c r="CR889" s="93"/>
      <c r="CS889" s="93"/>
      <c r="CT889" s="93"/>
      <c r="CU889" s="93"/>
      <c r="CV889" s="93"/>
      <c r="CW889" s="93"/>
      <c r="CX889" s="93"/>
      <c r="CY889" s="93"/>
      <c r="CZ889" s="106"/>
      <c r="DA889" s="106"/>
      <c r="DB889" s="106"/>
      <c r="DC889" s="106"/>
      <c r="DD889" s="106"/>
      <c r="DE889" s="106"/>
      <c r="DF889" s="106"/>
      <c r="DG889" s="106"/>
      <c r="DH889" s="106"/>
      <c r="DI889" s="106"/>
      <c r="DJ889" s="106"/>
      <c r="DK889" s="106"/>
      <c r="DL889" s="106"/>
      <c r="DM889" s="106"/>
      <c r="DN889" s="106"/>
      <c r="DO889" s="106"/>
      <c r="DP889" s="106"/>
      <c r="DQ889" s="106"/>
      <c r="DR889" s="106"/>
      <c r="DS889" s="106"/>
      <c r="DT889" s="106"/>
      <c r="DU889" s="106"/>
      <c r="DV889" s="106"/>
      <c r="DW889" s="106"/>
      <c r="DX889" s="106"/>
      <c r="DY889" s="106"/>
      <c r="DZ889" s="106"/>
      <c r="EA889" s="106"/>
      <c r="EB889" s="106"/>
      <c r="EC889" s="106"/>
      <c r="ED889" s="106"/>
      <c r="EE889" s="106"/>
      <c r="EF889" s="106"/>
      <c r="EG889" s="106"/>
      <c r="EH889" s="106"/>
      <c r="EI889" s="106"/>
      <c r="EJ889" s="106"/>
      <c r="EK889" s="106"/>
      <c r="EL889" s="106"/>
      <c r="EM889" s="106"/>
      <c r="EN889" s="106"/>
      <c r="EO889" s="106"/>
      <c r="EP889" s="106"/>
      <c r="EQ889" s="106"/>
      <c r="ER889" s="106"/>
      <c r="ES889" s="106"/>
      <c r="ET889" s="106"/>
      <c r="EU889" s="106"/>
      <c r="EV889" s="106"/>
      <c r="EW889" s="106"/>
      <c r="EX889" s="106"/>
      <c r="EY889" s="106"/>
      <c r="EZ889" s="106"/>
      <c r="FA889" s="106"/>
      <c r="FB889" s="106"/>
      <c r="FC889" s="106"/>
      <c r="FD889" s="106"/>
      <c r="FE889" s="106"/>
      <c r="FF889" s="106"/>
      <c r="FG889" s="106"/>
      <c r="FH889" s="106"/>
      <c r="FI889" s="106"/>
      <c r="FJ889" s="106"/>
      <c r="FK889" s="106"/>
      <c r="FL889" s="106"/>
      <c r="FM889" s="106"/>
      <c r="FN889" s="106"/>
      <c r="FO889" s="106"/>
      <c r="FP889" s="106"/>
      <c r="FQ889" s="106"/>
      <c r="FR889" s="106"/>
      <c r="FS889" s="106"/>
      <c r="FT889" s="106"/>
      <c r="FU889" s="106"/>
    </row>
    <row r="890" spans="30:177" ht="6.95" customHeight="1" x14ac:dyDescent="0.15"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  <c r="AZ890" s="93"/>
      <c r="BA890" s="93"/>
      <c r="BB890" s="93"/>
      <c r="BC890" s="93"/>
      <c r="BD890" s="93"/>
      <c r="BE890" s="93"/>
      <c r="BF890" s="93"/>
      <c r="BG890" s="93"/>
      <c r="BH890" s="93"/>
      <c r="BI890" s="93"/>
      <c r="BJ890" s="93"/>
      <c r="BK890" s="93"/>
      <c r="BL890" s="93"/>
      <c r="BM890" s="93"/>
      <c r="BN890" s="93"/>
      <c r="BO890" s="93"/>
      <c r="BP890" s="93"/>
      <c r="BQ890" s="93"/>
      <c r="BR890" s="93"/>
      <c r="BS890" s="93"/>
      <c r="BT890" s="93"/>
      <c r="BU890" s="93"/>
      <c r="BV890" s="93"/>
      <c r="BW890" s="93"/>
      <c r="BX890" s="93"/>
      <c r="BY890" s="93"/>
      <c r="BZ890" s="93"/>
      <c r="CA890" s="93"/>
      <c r="CB890" s="93"/>
      <c r="CC890" s="93"/>
      <c r="CD890" s="93"/>
      <c r="CE890" s="93"/>
      <c r="CF890" s="93"/>
      <c r="CG890" s="93"/>
      <c r="CH890" s="93"/>
      <c r="CI890" s="93"/>
      <c r="CJ890" s="93"/>
      <c r="CK890" s="93"/>
      <c r="CL890" s="93"/>
      <c r="CM890" s="93"/>
      <c r="CN890" s="93"/>
      <c r="CO890" s="93"/>
      <c r="CP890" s="93"/>
      <c r="CQ890" s="93"/>
      <c r="CR890" s="93"/>
      <c r="CS890" s="93"/>
      <c r="CT890" s="93"/>
      <c r="CU890" s="93"/>
      <c r="CV890" s="93"/>
      <c r="CW890" s="93"/>
      <c r="CX890" s="93"/>
      <c r="CY890" s="93"/>
      <c r="CZ890" s="106"/>
      <c r="DA890" s="106"/>
      <c r="DB890" s="106"/>
      <c r="DC890" s="106"/>
      <c r="DD890" s="106"/>
      <c r="DE890" s="106"/>
      <c r="DF890" s="106"/>
      <c r="DG890" s="106"/>
      <c r="DH890" s="106"/>
      <c r="DI890" s="106"/>
      <c r="DJ890" s="106"/>
      <c r="DK890" s="106"/>
      <c r="DL890" s="106"/>
      <c r="DM890" s="106"/>
      <c r="DN890" s="106"/>
      <c r="DO890" s="106"/>
      <c r="DP890" s="106"/>
      <c r="DQ890" s="106"/>
      <c r="DR890" s="106"/>
      <c r="DS890" s="106"/>
      <c r="DT890" s="106"/>
      <c r="DU890" s="106"/>
      <c r="DV890" s="106"/>
      <c r="DW890" s="106"/>
      <c r="DX890" s="106"/>
      <c r="DY890" s="106"/>
      <c r="DZ890" s="106"/>
      <c r="EA890" s="106"/>
      <c r="EB890" s="106"/>
      <c r="EC890" s="106"/>
      <c r="ED890" s="106"/>
      <c r="EE890" s="106"/>
      <c r="EF890" s="106"/>
      <c r="EG890" s="106"/>
      <c r="EH890" s="106"/>
      <c r="EI890" s="106"/>
      <c r="EJ890" s="106"/>
      <c r="EK890" s="106"/>
      <c r="EL890" s="106"/>
      <c r="EM890" s="106"/>
      <c r="EN890" s="106"/>
      <c r="EO890" s="106"/>
      <c r="EP890" s="106"/>
      <c r="EQ890" s="106"/>
      <c r="ER890" s="106"/>
      <c r="ES890" s="106"/>
      <c r="ET890" s="106"/>
      <c r="EU890" s="106"/>
      <c r="EV890" s="106"/>
      <c r="EW890" s="106"/>
      <c r="EX890" s="106"/>
      <c r="EY890" s="106"/>
      <c r="EZ890" s="106"/>
      <c r="FA890" s="106"/>
      <c r="FB890" s="106"/>
      <c r="FC890" s="106"/>
      <c r="FD890" s="106"/>
      <c r="FE890" s="106"/>
      <c r="FF890" s="106"/>
      <c r="FG890" s="106"/>
      <c r="FH890" s="106"/>
      <c r="FI890" s="106"/>
      <c r="FJ890" s="106"/>
      <c r="FK890" s="106"/>
      <c r="FL890" s="106"/>
      <c r="FM890" s="106"/>
      <c r="FN890" s="106"/>
      <c r="FO890" s="106"/>
      <c r="FP890" s="106"/>
      <c r="FQ890" s="106"/>
      <c r="FR890" s="106"/>
      <c r="FS890" s="106"/>
      <c r="FT890" s="106"/>
      <c r="FU890" s="106"/>
    </row>
    <row r="891" spans="30:177" ht="6.95" customHeight="1" x14ac:dyDescent="0.15"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  <c r="AZ891" s="93"/>
      <c r="BA891" s="93"/>
      <c r="BB891" s="93"/>
      <c r="BC891" s="93"/>
      <c r="BD891" s="93"/>
      <c r="BE891" s="93"/>
      <c r="BF891" s="93"/>
      <c r="BG891" s="93"/>
      <c r="BH891" s="93"/>
      <c r="BI891" s="93"/>
      <c r="BJ891" s="93"/>
      <c r="BK891" s="93"/>
      <c r="BL891" s="93"/>
      <c r="BM891" s="93"/>
      <c r="BN891" s="93"/>
      <c r="BO891" s="93"/>
      <c r="BP891" s="93"/>
      <c r="BQ891" s="93"/>
      <c r="BR891" s="93"/>
      <c r="BS891" s="93"/>
      <c r="BT891" s="93"/>
      <c r="BU891" s="93"/>
      <c r="BV891" s="93"/>
      <c r="BW891" s="93"/>
      <c r="BX891" s="93"/>
      <c r="BY891" s="93"/>
      <c r="BZ891" s="93"/>
      <c r="CA891" s="93"/>
      <c r="CB891" s="93"/>
      <c r="CC891" s="93"/>
      <c r="CD891" s="93"/>
      <c r="CE891" s="93"/>
      <c r="CF891" s="93"/>
      <c r="CG891" s="93"/>
      <c r="CH891" s="93"/>
      <c r="CI891" s="93"/>
      <c r="CJ891" s="93"/>
      <c r="CK891" s="93"/>
      <c r="CL891" s="93"/>
      <c r="CM891" s="93"/>
      <c r="CN891" s="93"/>
      <c r="CO891" s="93"/>
      <c r="CP891" s="93"/>
      <c r="CQ891" s="93"/>
      <c r="CR891" s="93"/>
      <c r="CS891" s="93"/>
      <c r="CT891" s="93"/>
      <c r="CU891" s="93"/>
      <c r="CV891" s="93"/>
      <c r="CW891" s="93"/>
      <c r="CX891" s="93"/>
      <c r="CY891" s="93"/>
      <c r="CZ891" s="106"/>
      <c r="DA891" s="106"/>
      <c r="DB891" s="106"/>
      <c r="DC891" s="106"/>
      <c r="DD891" s="106"/>
      <c r="DE891" s="106"/>
      <c r="DF891" s="106"/>
      <c r="DG891" s="106"/>
      <c r="DH891" s="106"/>
      <c r="DI891" s="106"/>
      <c r="DJ891" s="106"/>
      <c r="DK891" s="106"/>
      <c r="DL891" s="106"/>
      <c r="DM891" s="106"/>
      <c r="DN891" s="106"/>
      <c r="DO891" s="106"/>
      <c r="DP891" s="106"/>
      <c r="DQ891" s="106"/>
      <c r="DR891" s="106"/>
      <c r="DS891" s="106"/>
      <c r="DT891" s="106"/>
      <c r="DU891" s="106"/>
      <c r="DV891" s="106"/>
      <c r="DW891" s="106"/>
      <c r="DX891" s="106"/>
      <c r="DY891" s="106"/>
      <c r="DZ891" s="106"/>
      <c r="EA891" s="106"/>
      <c r="EB891" s="106"/>
      <c r="EC891" s="106"/>
      <c r="ED891" s="106"/>
      <c r="EE891" s="106"/>
      <c r="EF891" s="106"/>
      <c r="EG891" s="106"/>
      <c r="EH891" s="106"/>
      <c r="EI891" s="106"/>
      <c r="EJ891" s="106"/>
      <c r="EK891" s="106"/>
      <c r="EL891" s="106"/>
      <c r="EM891" s="106"/>
      <c r="EN891" s="106"/>
      <c r="EO891" s="106"/>
      <c r="EP891" s="106"/>
      <c r="EQ891" s="106"/>
      <c r="ER891" s="106"/>
      <c r="ES891" s="106"/>
      <c r="ET891" s="106"/>
      <c r="EU891" s="106"/>
      <c r="EV891" s="106"/>
      <c r="EW891" s="106"/>
      <c r="EX891" s="106"/>
      <c r="EY891" s="106"/>
      <c r="EZ891" s="106"/>
      <c r="FA891" s="106"/>
      <c r="FB891" s="106"/>
      <c r="FC891" s="106"/>
      <c r="FD891" s="106"/>
      <c r="FE891" s="106"/>
      <c r="FF891" s="106"/>
      <c r="FG891" s="106"/>
      <c r="FH891" s="106"/>
      <c r="FI891" s="106"/>
      <c r="FJ891" s="106"/>
      <c r="FK891" s="106"/>
      <c r="FL891" s="106"/>
      <c r="FM891" s="106"/>
      <c r="FN891" s="106"/>
      <c r="FO891" s="106"/>
      <c r="FP891" s="106"/>
      <c r="FQ891" s="106"/>
      <c r="FR891" s="106"/>
      <c r="FS891" s="106"/>
      <c r="FT891" s="106"/>
      <c r="FU891" s="106"/>
    </row>
    <row r="892" spans="30:177" ht="6.95" customHeight="1" x14ac:dyDescent="0.15"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  <c r="AZ892" s="93"/>
      <c r="BA892" s="93"/>
      <c r="BB892" s="93"/>
      <c r="BC892" s="93"/>
      <c r="BD892" s="93"/>
      <c r="BE892" s="93"/>
      <c r="BF892" s="93"/>
      <c r="BG892" s="93"/>
      <c r="BH892" s="93"/>
      <c r="BI892" s="93"/>
      <c r="BJ892" s="93"/>
      <c r="BK892" s="93"/>
      <c r="BL892" s="93"/>
      <c r="BM892" s="93"/>
      <c r="BN892" s="93"/>
      <c r="BO892" s="93"/>
      <c r="BP892" s="93"/>
      <c r="BQ892" s="93"/>
      <c r="BR892" s="93"/>
      <c r="BS892" s="93"/>
      <c r="BT892" s="93"/>
      <c r="BU892" s="93"/>
      <c r="BV892" s="93"/>
      <c r="BW892" s="93"/>
      <c r="BX892" s="93"/>
      <c r="BY892" s="93"/>
      <c r="BZ892" s="93"/>
      <c r="CA892" s="93"/>
      <c r="CB892" s="93"/>
      <c r="CC892" s="93"/>
      <c r="CD892" s="93"/>
      <c r="CE892" s="93"/>
      <c r="CF892" s="93"/>
      <c r="CG892" s="93"/>
      <c r="CH892" s="93"/>
      <c r="CI892" s="93"/>
      <c r="CJ892" s="93"/>
      <c r="CK892" s="93"/>
      <c r="CL892" s="93"/>
      <c r="CM892" s="93"/>
      <c r="CN892" s="93"/>
      <c r="CO892" s="93"/>
      <c r="CP892" s="93"/>
      <c r="CQ892" s="93"/>
      <c r="CR892" s="93"/>
      <c r="CS892" s="93"/>
      <c r="CT892" s="93"/>
      <c r="CU892" s="93"/>
      <c r="CV892" s="93"/>
      <c r="CW892" s="93"/>
      <c r="CX892" s="93"/>
      <c r="CY892" s="93"/>
      <c r="CZ892" s="106"/>
      <c r="DA892" s="106"/>
      <c r="DB892" s="106"/>
      <c r="DC892" s="106"/>
      <c r="DD892" s="106"/>
      <c r="DE892" s="106"/>
      <c r="DF892" s="106"/>
      <c r="DG892" s="106"/>
      <c r="DH892" s="106"/>
      <c r="DI892" s="106"/>
      <c r="DJ892" s="106"/>
      <c r="DK892" s="106"/>
      <c r="DL892" s="106"/>
      <c r="DM892" s="106"/>
      <c r="DN892" s="106"/>
      <c r="DO892" s="106"/>
      <c r="DP892" s="106"/>
      <c r="DQ892" s="106"/>
      <c r="DR892" s="106"/>
      <c r="DS892" s="106"/>
      <c r="DT892" s="106"/>
      <c r="DU892" s="106"/>
      <c r="DV892" s="106"/>
      <c r="DW892" s="106"/>
      <c r="DX892" s="106"/>
      <c r="DY892" s="106"/>
      <c r="DZ892" s="106"/>
      <c r="EA892" s="106"/>
      <c r="EB892" s="106"/>
      <c r="EC892" s="106"/>
      <c r="ED892" s="106"/>
      <c r="EE892" s="106"/>
      <c r="EF892" s="106"/>
      <c r="EG892" s="106"/>
      <c r="EH892" s="106"/>
      <c r="EI892" s="106"/>
      <c r="EJ892" s="106"/>
      <c r="EK892" s="106"/>
      <c r="EL892" s="106"/>
      <c r="EM892" s="106"/>
      <c r="EN892" s="106"/>
      <c r="EO892" s="106"/>
      <c r="EP892" s="106"/>
      <c r="EQ892" s="106"/>
      <c r="ER892" s="106"/>
      <c r="ES892" s="106"/>
      <c r="ET892" s="106"/>
      <c r="EU892" s="106"/>
      <c r="EV892" s="106"/>
      <c r="EW892" s="106"/>
      <c r="EX892" s="106"/>
      <c r="EY892" s="106"/>
      <c r="EZ892" s="106"/>
      <c r="FA892" s="106"/>
      <c r="FB892" s="106"/>
      <c r="FC892" s="106"/>
      <c r="FD892" s="106"/>
      <c r="FE892" s="106"/>
      <c r="FF892" s="106"/>
      <c r="FG892" s="106"/>
      <c r="FH892" s="106"/>
      <c r="FI892" s="106"/>
      <c r="FJ892" s="106"/>
      <c r="FK892" s="106"/>
      <c r="FL892" s="106"/>
      <c r="FM892" s="106"/>
      <c r="FN892" s="106"/>
      <c r="FO892" s="106"/>
      <c r="FP892" s="106"/>
      <c r="FQ892" s="106"/>
      <c r="FR892" s="106"/>
      <c r="FS892" s="106"/>
      <c r="FT892" s="106"/>
      <c r="FU892" s="106"/>
    </row>
    <row r="893" spans="30:177" ht="6.95" customHeight="1" x14ac:dyDescent="0.15"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  <c r="AZ893" s="93"/>
      <c r="BA893" s="93"/>
      <c r="BB893" s="93"/>
      <c r="BC893" s="93"/>
      <c r="BD893" s="93"/>
      <c r="BE893" s="93"/>
      <c r="BF893" s="93"/>
      <c r="BG893" s="93"/>
      <c r="BH893" s="93"/>
      <c r="BI893" s="93"/>
      <c r="BJ893" s="93"/>
      <c r="BK893" s="93"/>
      <c r="BL893" s="93"/>
      <c r="BM893" s="93"/>
      <c r="BN893" s="93"/>
      <c r="BO893" s="93"/>
      <c r="BP893" s="93"/>
      <c r="BQ893" s="93"/>
      <c r="BR893" s="93"/>
      <c r="BS893" s="93"/>
      <c r="BT893" s="93"/>
      <c r="BU893" s="93"/>
      <c r="BV893" s="93"/>
      <c r="BW893" s="93"/>
      <c r="BX893" s="93"/>
      <c r="BY893" s="93"/>
      <c r="BZ893" s="93"/>
      <c r="CA893" s="93"/>
      <c r="CB893" s="93"/>
      <c r="CC893" s="93"/>
      <c r="CD893" s="93"/>
      <c r="CE893" s="93"/>
      <c r="CF893" s="93"/>
      <c r="CG893" s="93"/>
      <c r="CH893" s="93"/>
      <c r="CI893" s="93"/>
      <c r="CJ893" s="93"/>
      <c r="CK893" s="93"/>
      <c r="CL893" s="93"/>
      <c r="CM893" s="93"/>
      <c r="CN893" s="93"/>
      <c r="CO893" s="93"/>
      <c r="CP893" s="93"/>
      <c r="CQ893" s="93"/>
      <c r="CR893" s="93"/>
      <c r="CS893" s="93"/>
      <c r="CT893" s="93"/>
      <c r="CU893" s="93"/>
      <c r="CV893" s="93"/>
      <c r="CW893" s="93"/>
      <c r="CX893" s="93"/>
      <c r="CY893" s="93"/>
      <c r="CZ893" s="106"/>
      <c r="DA893" s="106"/>
      <c r="DB893" s="106"/>
      <c r="DC893" s="106"/>
      <c r="DD893" s="106"/>
      <c r="DE893" s="106"/>
      <c r="DF893" s="106"/>
      <c r="DG893" s="106"/>
      <c r="DH893" s="106"/>
      <c r="DI893" s="106"/>
      <c r="DJ893" s="106"/>
      <c r="DK893" s="106"/>
      <c r="DL893" s="106"/>
      <c r="DM893" s="106"/>
      <c r="DN893" s="106"/>
      <c r="DO893" s="106"/>
      <c r="DP893" s="106"/>
      <c r="DQ893" s="106"/>
      <c r="DR893" s="106"/>
      <c r="DS893" s="106"/>
      <c r="DT893" s="106"/>
      <c r="DU893" s="106"/>
      <c r="DV893" s="106"/>
      <c r="DW893" s="106"/>
      <c r="DX893" s="106"/>
      <c r="DY893" s="106"/>
      <c r="DZ893" s="106"/>
      <c r="EA893" s="106"/>
      <c r="EB893" s="106"/>
      <c r="EC893" s="106"/>
      <c r="ED893" s="106"/>
      <c r="EE893" s="106"/>
      <c r="EF893" s="106"/>
      <c r="EG893" s="106"/>
      <c r="EH893" s="106"/>
      <c r="EI893" s="106"/>
      <c r="EJ893" s="106"/>
      <c r="EK893" s="106"/>
      <c r="EL893" s="106"/>
      <c r="EM893" s="106"/>
      <c r="EN893" s="106"/>
      <c r="EO893" s="106"/>
      <c r="EP893" s="106"/>
      <c r="EQ893" s="106"/>
      <c r="ER893" s="106"/>
      <c r="ES893" s="106"/>
      <c r="ET893" s="106"/>
      <c r="EU893" s="106"/>
      <c r="EV893" s="106"/>
      <c r="EW893" s="106"/>
      <c r="EX893" s="106"/>
      <c r="EY893" s="106"/>
      <c r="EZ893" s="106"/>
      <c r="FA893" s="106"/>
      <c r="FB893" s="106"/>
      <c r="FC893" s="106"/>
      <c r="FD893" s="106"/>
      <c r="FE893" s="106"/>
      <c r="FF893" s="106"/>
      <c r="FG893" s="106"/>
      <c r="FH893" s="106"/>
      <c r="FI893" s="106"/>
      <c r="FJ893" s="106"/>
      <c r="FK893" s="106"/>
      <c r="FL893" s="106"/>
      <c r="FM893" s="106"/>
      <c r="FN893" s="106"/>
      <c r="FO893" s="106"/>
      <c r="FP893" s="106"/>
      <c r="FQ893" s="106"/>
      <c r="FR893" s="106"/>
      <c r="FS893" s="106"/>
      <c r="FT893" s="106"/>
      <c r="FU893" s="106"/>
    </row>
    <row r="894" spans="30:177" ht="6.95" customHeight="1" x14ac:dyDescent="0.15"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  <c r="AZ894" s="93"/>
      <c r="BA894" s="93"/>
      <c r="BB894" s="93"/>
      <c r="BC894" s="93"/>
      <c r="BD894" s="93"/>
      <c r="BE894" s="93"/>
      <c r="BF894" s="93"/>
      <c r="BG894" s="93"/>
      <c r="BH894" s="93"/>
      <c r="BI894" s="93"/>
      <c r="BJ894" s="93"/>
      <c r="BK894" s="93"/>
      <c r="BL894" s="93"/>
      <c r="BM894" s="93"/>
      <c r="BN894" s="93"/>
      <c r="BO894" s="93"/>
      <c r="BP894" s="93"/>
      <c r="BQ894" s="93"/>
      <c r="BR894" s="93"/>
      <c r="BS894" s="93"/>
      <c r="BT894" s="93"/>
      <c r="BU894" s="93"/>
      <c r="BV894" s="93"/>
      <c r="BW894" s="93"/>
      <c r="BX894" s="93"/>
      <c r="BY894" s="93"/>
      <c r="BZ894" s="93"/>
      <c r="CA894" s="93"/>
      <c r="CB894" s="93"/>
      <c r="CC894" s="93"/>
      <c r="CD894" s="93"/>
      <c r="CE894" s="93"/>
      <c r="CF894" s="93"/>
      <c r="CG894" s="93"/>
      <c r="CH894" s="93"/>
      <c r="CI894" s="93"/>
      <c r="CJ894" s="93"/>
      <c r="CK894" s="93"/>
      <c r="CL894" s="93"/>
      <c r="CM894" s="93"/>
      <c r="CN894" s="93"/>
      <c r="CO894" s="93"/>
      <c r="CP894" s="93"/>
      <c r="CQ894" s="93"/>
      <c r="CR894" s="93"/>
      <c r="CS894" s="93"/>
      <c r="CT894" s="93"/>
      <c r="CU894" s="93"/>
      <c r="CV894" s="93"/>
      <c r="CW894" s="93"/>
      <c r="CX894" s="93"/>
      <c r="CY894" s="93"/>
      <c r="CZ894" s="106"/>
      <c r="DA894" s="106"/>
      <c r="DB894" s="106"/>
      <c r="DC894" s="106"/>
      <c r="DD894" s="106"/>
      <c r="DE894" s="106"/>
      <c r="DF894" s="106"/>
      <c r="DG894" s="106"/>
      <c r="DH894" s="106"/>
      <c r="DI894" s="106"/>
      <c r="DJ894" s="106"/>
      <c r="DK894" s="106"/>
      <c r="DL894" s="106"/>
      <c r="DM894" s="106"/>
      <c r="DN894" s="106"/>
      <c r="DO894" s="106"/>
      <c r="DP894" s="106"/>
      <c r="DQ894" s="106"/>
      <c r="DR894" s="106"/>
      <c r="DS894" s="106"/>
      <c r="DT894" s="106"/>
      <c r="DU894" s="106"/>
      <c r="DV894" s="106"/>
      <c r="DW894" s="106"/>
      <c r="DX894" s="106"/>
      <c r="DY894" s="106"/>
      <c r="DZ894" s="106"/>
      <c r="EA894" s="106"/>
      <c r="EB894" s="106"/>
      <c r="EC894" s="106"/>
      <c r="ED894" s="106"/>
      <c r="EE894" s="106"/>
      <c r="EF894" s="106"/>
      <c r="EG894" s="106"/>
      <c r="EH894" s="106"/>
      <c r="EI894" s="106"/>
      <c r="EJ894" s="106"/>
      <c r="EK894" s="106"/>
      <c r="EL894" s="106"/>
      <c r="EM894" s="106"/>
      <c r="EN894" s="106"/>
      <c r="EO894" s="106"/>
      <c r="EP894" s="106"/>
      <c r="EQ894" s="106"/>
      <c r="ER894" s="106"/>
      <c r="ES894" s="106"/>
      <c r="ET894" s="106"/>
      <c r="EU894" s="106"/>
      <c r="EV894" s="106"/>
      <c r="EW894" s="106"/>
      <c r="EX894" s="106"/>
      <c r="EY894" s="106"/>
      <c r="EZ894" s="106"/>
      <c r="FA894" s="106"/>
      <c r="FB894" s="106"/>
      <c r="FC894" s="106"/>
      <c r="FD894" s="106"/>
      <c r="FE894" s="106"/>
      <c r="FF894" s="106"/>
      <c r="FG894" s="106"/>
      <c r="FH894" s="106"/>
      <c r="FI894" s="106"/>
      <c r="FJ894" s="106"/>
      <c r="FK894" s="106"/>
      <c r="FL894" s="106"/>
      <c r="FM894" s="106"/>
      <c r="FN894" s="106"/>
      <c r="FO894" s="106"/>
      <c r="FP894" s="106"/>
      <c r="FQ894" s="106"/>
      <c r="FR894" s="106"/>
      <c r="FS894" s="106"/>
      <c r="FT894" s="106"/>
      <c r="FU894" s="106"/>
    </row>
    <row r="895" spans="30:177" ht="6.95" customHeight="1" x14ac:dyDescent="0.15"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  <c r="AZ895" s="93"/>
      <c r="BA895" s="93"/>
      <c r="BB895" s="93"/>
      <c r="BC895" s="93"/>
      <c r="BD895" s="93"/>
      <c r="BE895" s="93"/>
      <c r="BF895" s="93"/>
      <c r="BG895" s="93"/>
      <c r="BH895" s="93"/>
      <c r="BI895" s="93"/>
      <c r="BJ895" s="93"/>
      <c r="BK895" s="93"/>
      <c r="BL895" s="93"/>
      <c r="BM895" s="93"/>
      <c r="BN895" s="93"/>
      <c r="BO895" s="93"/>
      <c r="BP895" s="93"/>
      <c r="BQ895" s="93"/>
      <c r="BR895" s="93"/>
      <c r="BS895" s="93"/>
      <c r="BT895" s="93"/>
      <c r="BU895" s="93"/>
      <c r="BV895" s="93"/>
      <c r="BW895" s="93"/>
      <c r="BX895" s="93"/>
      <c r="BY895" s="93"/>
      <c r="BZ895" s="93"/>
      <c r="CA895" s="93"/>
      <c r="CB895" s="93"/>
      <c r="CC895" s="93"/>
      <c r="CD895" s="93"/>
      <c r="CE895" s="93"/>
      <c r="CF895" s="93"/>
      <c r="CG895" s="93"/>
      <c r="CH895" s="93"/>
      <c r="CI895" s="93"/>
      <c r="CJ895" s="93"/>
      <c r="CK895" s="93"/>
      <c r="CL895" s="93"/>
      <c r="CM895" s="93"/>
      <c r="CN895" s="93"/>
      <c r="CO895" s="93"/>
      <c r="CP895" s="93"/>
      <c r="CQ895" s="93"/>
      <c r="CR895" s="93"/>
      <c r="CS895" s="93"/>
      <c r="CT895" s="93"/>
      <c r="CU895" s="93"/>
      <c r="CV895" s="93"/>
      <c r="CW895" s="93"/>
      <c r="CX895" s="93"/>
      <c r="CY895" s="93"/>
      <c r="CZ895" s="106"/>
      <c r="DA895" s="106"/>
      <c r="DB895" s="106"/>
      <c r="DC895" s="106"/>
      <c r="DD895" s="106"/>
      <c r="DE895" s="106"/>
      <c r="DF895" s="106"/>
      <c r="DG895" s="106"/>
      <c r="DH895" s="106"/>
      <c r="DI895" s="106"/>
      <c r="DJ895" s="106"/>
      <c r="DK895" s="106"/>
      <c r="DL895" s="106"/>
      <c r="DM895" s="106"/>
      <c r="DN895" s="106"/>
      <c r="DO895" s="106"/>
      <c r="DP895" s="106"/>
      <c r="DQ895" s="106"/>
      <c r="DR895" s="106"/>
      <c r="DS895" s="106"/>
      <c r="DT895" s="106"/>
      <c r="DU895" s="106"/>
      <c r="DV895" s="106"/>
      <c r="DW895" s="106"/>
      <c r="DX895" s="106"/>
      <c r="DY895" s="106"/>
      <c r="DZ895" s="106"/>
      <c r="EA895" s="106"/>
      <c r="EB895" s="106"/>
      <c r="EC895" s="106"/>
      <c r="ED895" s="106"/>
      <c r="EE895" s="106"/>
      <c r="EF895" s="106"/>
      <c r="EG895" s="106"/>
      <c r="EH895" s="106"/>
      <c r="EI895" s="106"/>
      <c r="EJ895" s="106"/>
      <c r="EK895" s="106"/>
      <c r="EL895" s="106"/>
      <c r="EM895" s="106"/>
      <c r="EN895" s="106"/>
      <c r="EO895" s="106"/>
      <c r="EP895" s="106"/>
      <c r="EQ895" s="106"/>
      <c r="ER895" s="106"/>
      <c r="ES895" s="106"/>
      <c r="ET895" s="106"/>
      <c r="EU895" s="106"/>
      <c r="EV895" s="106"/>
      <c r="EW895" s="106"/>
      <c r="EX895" s="106"/>
      <c r="EY895" s="106"/>
      <c r="EZ895" s="106"/>
      <c r="FA895" s="106"/>
      <c r="FB895" s="106"/>
      <c r="FC895" s="106"/>
      <c r="FD895" s="106"/>
      <c r="FE895" s="106"/>
      <c r="FF895" s="106"/>
      <c r="FG895" s="106"/>
      <c r="FH895" s="106"/>
      <c r="FI895" s="106"/>
      <c r="FJ895" s="106"/>
      <c r="FK895" s="106"/>
      <c r="FL895" s="106"/>
      <c r="FM895" s="106"/>
      <c r="FN895" s="106"/>
      <c r="FO895" s="106"/>
      <c r="FP895" s="106"/>
      <c r="FQ895" s="106"/>
      <c r="FR895" s="106"/>
      <c r="FS895" s="106"/>
      <c r="FT895" s="106"/>
      <c r="FU895" s="106"/>
    </row>
    <row r="896" spans="30:177" ht="6.95" customHeight="1" x14ac:dyDescent="0.15"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3"/>
      <c r="BF896" s="93"/>
      <c r="BG896" s="93"/>
      <c r="BH896" s="93"/>
      <c r="BI896" s="93"/>
      <c r="BJ896" s="93"/>
      <c r="BK896" s="93"/>
      <c r="BL896" s="93"/>
      <c r="BM896" s="93"/>
      <c r="BN896" s="93"/>
      <c r="BO896" s="93"/>
      <c r="BP896" s="93"/>
      <c r="BQ896" s="93"/>
      <c r="BR896" s="93"/>
      <c r="BS896" s="93"/>
      <c r="BT896" s="93"/>
      <c r="BU896" s="93"/>
      <c r="BV896" s="93"/>
      <c r="BW896" s="93"/>
      <c r="BX896" s="93"/>
      <c r="BY896" s="93"/>
      <c r="BZ896" s="93"/>
      <c r="CA896" s="93"/>
      <c r="CB896" s="93"/>
      <c r="CC896" s="93"/>
      <c r="CD896" s="93"/>
      <c r="CE896" s="93"/>
      <c r="CF896" s="93"/>
      <c r="CG896" s="93"/>
      <c r="CH896" s="93"/>
      <c r="CI896" s="93"/>
      <c r="CJ896" s="93"/>
      <c r="CK896" s="93"/>
      <c r="CL896" s="93"/>
      <c r="CM896" s="93"/>
      <c r="CN896" s="93"/>
      <c r="CO896" s="93"/>
      <c r="CP896" s="93"/>
      <c r="CQ896" s="93"/>
      <c r="CR896" s="93"/>
      <c r="CS896" s="93"/>
      <c r="CT896" s="93"/>
      <c r="CU896" s="93"/>
      <c r="CV896" s="93"/>
      <c r="CW896" s="93"/>
      <c r="CX896" s="93"/>
      <c r="CY896" s="93"/>
      <c r="CZ896" s="106"/>
      <c r="DA896" s="106"/>
      <c r="DB896" s="106"/>
      <c r="DC896" s="106"/>
      <c r="DD896" s="106"/>
      <c r="DE896" s="106"/>
      <c r="DF896" s="106"/>
      <c r="DG896" s="106"/>
      <c r="DH896" s="106"/>
      <c r="DI896" s="106"/>
      <c r="DJ896" s="106"/>
      <c r="DK896" s="106"/>
      <c r="DL896" s="106"/>
      <c r="DM896" s="106"/>
      <c r="DN896" s="106"/>
      <c r="DO896" s="106"/>
      <c r="DP896" s="106"/>
      <c r="DQ896" s="106"/>
      <c r="DR896" s="106"/>
      <c r="DS896" s="106"/>
      <c r="DT896" s="106"/>
      <c r="DU896" s="106"/>
      <c r="DV896" s="106"/>
      <c r="DW896" s="106"/>
      <c r="DX896" s="106"/>
      <c r="DY896" s="106"/>
      <c r="DZ896" s="106"/>
      <c r="EA896" s="106"/>
      <c r="EB896" s="106"/>
      <c r="EC896" s="106"/>
      <c r="ED896" s="106"/>
      <c r="EE896" s="106"/>
      <c r="EF896" s="106"/>
      <c r="EG896" s="106"/>
      <c r="EH896" s="106"/>
      <c r="EI896" s="106"/>
      <c r="EJ896" s="106"/>
      <c r="EK896" s="106"/>
      <c r="EL896" s="106"/>
      <c r="EM896" s="106"/>
      <c r="EN896" s="106"/>
      <c r="EO896" s="106"/>
      <c r="EP896" s="106"/>
      <c r="EQ896" s="106"/>
      <c r="ER896" s="106"/>
      <c r="ES896" s="106"/>
      <c r="ET896" s="106"/>
      <c r="EU896" s="106"/>
      <c r="EV896" s="106"/>
      <c r="EW896" s="106"/>
      <c r="EX896" s="106"/>
      <c r="EY896" s="106"/>
      <c r="EZ896" s="106"/>
      <c r="FA896" s="106"/>
      <c r="FB896" s="106"/>
      <c r="FC896" s="106"/>
      <c r="FD896" s="106"/>
      <c r="FE896" s="106"/>
      <c r="FF896" s="106"/>
      <c r="FG896" s="106"/>
      <c r="FH896" s="106"/>
      <c r="FI896" s="106"/>
      <c r="FJ896" s="106"/>
      <c r="FK896" s="106"/>
      <c r="FL896" s="106"/>
      <c r="FM896" s="106"/>
      <c r="FN896" s="106"/>
      <c r="FO896" s="106"/>
      <c r="FP896" s="106"/>
      <c r="FQ896" s="106"/>
      <c r="FR896" s="106"/>
      <c r="FS896" s="106"/>
      <c r="FT896" s="106"/>
      <c r="FU896" s="106"/>
    </row>
    <row r="897" spans="30:177" ht="6.95" customHeight="1" x14ac:dyDescent="0.15"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  <c r="AZ897" s="93"/>
      <c r="BA897" s="93"/>
      <c r="BB897" s="93"/>
      <c r="BC897" s="93"/>
      <c r="BD897" s="93"/>
      <c r="BE897" s="93"/>
      <c r="BF897" s="93"/>
      <c r="BG897" s="93"/>
      <c r="BH897" s="93"/>
      <c r="BI897" s="93"/>
      <c r="BJ897" s="93"/>
      <c r="BK897" s="93"/>
      <c r="BL897" s="93"/>
      <c r="BM897" s="93"/>
      <c r="BN897" s="93"/>
      <c r="BO897" s="93"/>
      <c r="BP897" s="93"/>
      <c r="BQ897" s="93"/>
      <c r="BR897" s="93"/>
      <c r="BS897" s="93"/>
      <c r="BT897" s="93"/>
      <c r="BU897" s="93"/>
      <c r="BV897" s="93"/>
      <c r="BW897" s="93"/>
      <c r="BX897" s="93"/>
      <c r="BY897" s="93"/>
      <c r="BZ897" s="93"/>
      <c r="CA897" s="93"/>
      <c r="CB897" s="93"/>
      <c r="CC897" s="93"/>
      <c r="CD897" s="93"/>
      <c r="CE897" s="93"/>
      <c r="CF897" s="93"/>
      <c r="CG897" s="93"/>
      <c r="CH897" s="93"/>
      <c r="CI897" s="93"/>
      <c r="CJ897" s="93"/>
      <c r="CK897" s="93"/>
      <c r="CL897" s="93"/>
      <c r="CM897" s="93"/>
      <c r="CN897" s="93"/>
      <c r="CO897" s="93"/>
      <c r="CP897" s="93"/>
      <c r="CQ897" s="93"/>
      <c r="CR897" s="93"/>
      <c r="CS897" s="93"/>
      <c r="CT897" s="93"/>
      <c r="CU897" s="93"/>
      <c r="CV897" s="93"/>
      <c r="CW897" s="93"/>
      <c r="CX897" s="93"/>
      <c r="CY897" s="93"/>
      <c r="CZ897" s="106"/>
      <c r="DA897" s="106"/>
      <c r="DB897" s="106"/>
      <c r="DC897" s="106"/>
      <c r="DD897" s="106"/>
      <c r="DE897" s="106"/>
      <c r="DF897" s="106"/>
      <c r="DG897" s="106"/>
      <c r="DH897" s="106"/>
      <c r="DI897" s="106"/>
      <c r="DJ897" s="106"/>
      <c r="DK897" s="106"/>
      <c r="DL897" s="106"/>
      <c r="DM897" s="106"/>
      <c r="DN897" s="106"/>
      <c r="DO897" s="106"/>
      <c r="DP897" s="106"/>
      <c r="DQ897" s="106"/>
      <c r="DR897" s="106"/>
      <c r="DS897" s="106"/>
      <c r="DT897" s="106"/>
      <c r="DU897" s="106"/>
      <c r="DV897" s="106"/>
      <c r="DW897" s="106"/>
      <c r="DX897" s="106"/>
      <c r="DY897" s="106"/>
      <c r="DZ897" s="106"/>
      <c r="EA897" s="106"/>
      <c r="EB897" s="106"/>
      <c r="EC897" s="106"/>
      <c r="ED897" s="106"/>
      <c r="EE897" s="106"/>
      <c r="EF897" s="106"/>
      <c r="EG897" s="106"/>
      <c r="EH897" s="106"/>
      <c r="EI897" s="106"/>
      <c r="EJ897" s="106"/>
      <c r="EK897" s="106"/>
      <c r="EL897" s="106"/>
      <c r="EM897" s="106"/>
      <c r="EN897" s="106"/>
      <c r="EO897" s="106"/>
      <c r="EP897" s="106"/>
      <c r="EQ897" s="106"/>
      <c r="ER897" s="106"/>
      <c r="ES897" s="106"/>
      <c r="ET897" s="106"/>
      <c r="EU897" s="106"/>
      <c r="EV897" s="106"/>
      <c r="EW897" s="106"/>
      <c r="EX897" s="106"/>
      <c r="EY897" s="106"/>
      <c r="EZ897" s="106"/>
      <c r="FA897" s="106"/>
      <c r="FB897" s="106"/>
      <c r="FC897" s="106"/>
      <c r="FD897" s="106"/>
      <c r="FE897" s="106"/>
      <c r="FF897" s="106"/>
      <c r="FG897" s="106"/>
      <c r="FH897" s="106"/>
      <c r="FI897" s="106"/>
      <c r="FJ897" s="106"/>
      <c r="FK897" s="106"/>
      <c r="FL897" s="106"/>
      <c r="FM897" s="106"/>
      <c r="FN897" s="106"/>
      <c r="FO897" s="106"/>
      <c r="FP897" s="106"/>
      <c r="FQ897" s="106"/>
      <c r="FR897" s="106"/>
      <c r="FS897" s="106"/>
      <c r="FT897" s="106"/>
      <c r="FU897" s="106"/>
    </row>
    <row r="898" spans="30:177" ht="6.95" customHeight="1" x14ac:dyDescent="0.15"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  <c r="AZ898" s="93"/>
      <c r="BA898" s="93"/>
      <c r="BB898" s="93"/>
      <c r="BC898" s="93"/>
      <c r="BD898" s="93"/>
      <c r="BE898" s="93"/>
      <c r="BF898" s="93"/>
      <c r="BG898" s="93"/>
      <c r="BH898" s="93"/>
      <c r="BI898" s="93"/>
      <c r="BJ898" s="93"/>
      <c r="BK898" s="93"/>
      <c r="BL898" s="93"/>
      <c r="BM898" s="93"/>
      <c r="BN898" s="93"/>
      <c r="BO898" s="93"/>
      <c r="BP898" s="93"/>
      <c r="BQ898" s="93"/>
      <c r="BR898" s="93"/>
      <c r="BS898" s="93"/>
      <c r="BT898" s="93"/>
      <c r="BU898" s="93"/>
      <c r="BV898" s="93"/>
      <c r="BW898" s="93"/>
      <c r="BX898" s="93"/>
      <c r="BY898" s="93"/>
      <c r="BZ898" s="93"/>
      <c r="CA898" s="93"/>
      <c r="CB898" s="93"/>
      <c r="CC898" s="93"/>
      <c r="CD898" s="93"/>
      <c r="CE898" s="93"/>
      <c r="CF898" s="93"/>
      <c r="CG898" s="93"/>
      <c r="CH898" s="93"/>
      <c r="CI898" s="93"/>
      <c r="CJ898" s="93"/>
      <c r="CK898" s="93"/>
      <c r="CL898" s="93"/>
      <c r="CM898" s="93"/>
      <c r="CN898" s="93"/>
      <c r="CO898" s="93"/>
      <c r="CP898" s="93"/>
      <c r="CQ898" s="93"/>
      <c r="CR898" s="93"/>
      <c r="CS898" s="93"/>
      <c r="CT898" s="93"/>
      <c r="CU898" s="93"/>
      <c r="CV898" s="93"/>
      <c r="CW898" s="93"/>
      <c r="CX898" s="93"/>
      <c r="CY898" s="93"/>
      <c r="CZ898" s="106"/>
      <c r="DA898" s="106"/>
      <c r="DB898" s="106"/>
      <c r="DC898" s="106"/>
      <c r="DD898" s="106"/>
      <c r="DE898" s="106"/>
      <c r="DF898" s="106"/>
      <c r="DG898" s="106"/>
      <c r="DH898" s="106"/>
      <c r="DI898" s="106"/>
      <c r="DJ898" s="106"/>
      <c r="DK898" s="106"/>
      <c r="DL898" s="106"/>
      <c r="DM898" s="106"/>
      <c r="DN898" s="106"/>
      <c r="DO898" s="106"/>
      <c r="DP898" s="106"/>
      <c r="DQ898" s="106"/>
      <c r="DR898" s="106"/>
      <c r="DS898" s="106"/>
      <c r="DT898" s="106"/>
      <c r="DU898" s="106"/>
      <c r="DV898" s="106"/>
      <c r="DW898" s="106"/>
      <c r="DX898" s="106"/>
      <c r="DY898" s="106"/>
      <c r="DZ898" s="106"/>
      <c r="EA898" s="106"/>
      <c r="EB898" s="106"/>
      <c r="EC898" s="106"/>
      <c r="ED898" s="106"/>
      <c r="EE898" s="106"/>
      <c r="EF898" s="106"/>
      <c r="EG898" s="106"/>
      <c r="EH898" s="106"/>
      <c r="EI898" s="106"/>
      <c r="EJ898" s="106"/>
      <c r="EK898" s="106"/>
      <c r="EL898" s="106"/>
      <c r="EM898" s="106"/>
      <c r="EN898" s="106"/>
      <c r="EO898" s="106"/>
      <c r="EP898" s="106"/>
      <c r="EQ898" s="106"/>
      <c r="ER898" s="106"/>
      <c r="ES898" s="106"/>
      <c r="ET898" s="106"/>
      <c r="EU898" s="106"/>
      <c r="EV898" s="106"/>
      <c r="EW898" s="106"/>
      <c r="EX898" s="106"/>
      <c r="EY898" s="106"/>
      <c r="EZ898" s="106"/>
      <c r="FA898" s="106"/>
      <c r="FB898" s="106"/>
      <c r="FC898" s="106"/>
      <c r="FD898" s="106"/>
      <c r="FE898" s="106"/>
      <c r="FF898" s="106"/>
      <c r="FG898" s="106"/>
      <c r="FH898" s="106"/>
      <c r="FI898" s="106"/>
      <c r="FJ898" s="106"/>
      <c r="FK898" s="106"/>
      <c r="FL898" s="106"/>
      <c r="FM898" s="106"/>
      <c r="FN898" s="106"/>
      <c r="FO898" s="106"/>
      <c r="FP898" s="106"/>
      <c r="FQ898" s="106"/>
      <c r="FR898" s="106"/>
      <c r="FS898" s="106"/>
      <c r="FT898" s="106"/>
      <c r="FU898" s="106"/>
    </row>
    <row r="899" spans="30:177" ht="6.95" customHeight="1" x14ac:dyDescent="0.15"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  <c r="AZ899" s="93"/>
      <c r="BA899" s="93"/>
      <c r="BB899" s="93"/>
      <c r="BC899" s="93"/>
      <c r="BD899" s="93"/>
      <c r="BE899" s="93"/>
      <c r="BF899" s="93"/>
      <c r="BG899" s="93"/>
      <c r="BH899" s="93"/>
      <c r="BI899" s="93"/>
      <c r="BJ899" s="93"/>
      <c r="BK899" s="93"/>
      <c r="BL899" s="93"/>
      <c r="BM899" s="93"/>
      <c r="BN899" s="93"/>
      <c r="BO899" s="93"/>
      <c r="BP899" s="93"/>
      <c r="BQ899" s="93"/>
      <c r="BR899" s="93"/>
      <c r="BS899" s="93"/>
      <c r="BT899" s="93"/>
      <c r="BU899" s="93"/>
      <c r="BV899" s="93"/>
      <c r="BW899" s="93"/>
      <c r="BX899" s="93"/>
      <c r="BY899" s="93"/>
      <c r="BZ899" s="93"/>
      <c r="CA899" s="93"/>
      <c r="CB899" s="93"/>
      <c r="CC899" s="93"/>
      <c r="CD899" s="93"/>
      <c r="CE899" s="93"/>
      <c r="CF899" s="93"/>
      <c r="CG899" s="93"/>
      <c r="CH899" s="93"/>
      <c r="CI899" s="93"/>
      <c r="CJ899" s="93"/>
      <c r="CK899" s="93"/>
      <c r="CL899" s="93"/>
      <c r="CM899" s="93"/>
      <c r="CN899" s="93"/>
      <c r="CO899" s="93"/>
      <c r="CP899" s="93"/>
      <c r="CQ899" s="93"/>
      <c r="CR899" s="93"/>
      <c r="CS899" s="93"/>
      <c r="CT899" s="93"/>
      <c r="CU899" s="93"/>
      <c r="CV899" s="93"/>
      <c r="CW899" s="93"/>
      <c r="CX899" s="93"/>
      <c r="CY899" s="93"/>
      <c r="CZ899" s="106"/>
      <c r="DA899" s="106"/>
      <c r="DB899" s="106"/>
      <c r="DC899" s="106"/>
      <c r="DD899" s="106"/>
      <c r="DE899" s="106"/>
      <c r="DF899" s="106"/>
      <c r="DG899" s="106"/>
      <c r="DH899" s="106"/>
      <c r="DI899" s="106"/>
      <c r="DJ899" s="106"/>
      <c r="DK899" s="106"/>
      <c r="DL899" s="106"/>
      <c r="DM899" s="106"/>
      <c r="DN899" s="106"/>
      <c r="DO899" s="106"/>
      <c r="DP899" s="106"/>
      <c r="DQ899" s="106"/>
      <c r="DR899" s="106"/>
      <c r="DS899" s="106"/>
      <c r="DT899" s="106"/>
      <c r="DU899" s="106"/>
      <c r="DV899" s="106"/>
      <c r="DW899" s="106"/>
      <c r="DX899" s="106"/>
      <c r="DY899" s="106"/>
      <c r="DZ899" s="106"/>
      <c r="EA899" s="106"/>
      <c r="EB899" s="106"/>
      <c r="EC899" s="106"/>
      <c r="ED899" s="106"/>
      <c r="EE899" s="106"/>
      <c r="EF899" s="106"/>
      <c r="EG899" s="106"/>
      <c r="EH899" s="106"/>
      <c r="EI899" s="106"/>
      <c r="EJ899" s="106"/>
      <c r="EK899" s="106"/>
      <c r="EL899" s="106"/>
      <c r="EM899" s="106"/>
      <c r="EN899" s="106"/>
      <c r="EO899" s="106"/>
      <c r="EP899" s="106"/>
      <c r="EQ899" s="106"/>
      <c r="ER899" s="106"/>
      <c r="ES899" s="106"/>
      <c r="ET899" s="106"/>
      <c r="EU899" s="106"/>
      <c r="EV899" s="106"/>
      <c r="EW899" s="106"/>
      <c r="EX899" s="106"/>
      <c r="EY899" s="106"/>
      <c r="EZ899" s="106"/>
      <c r="FA899" s="106"/>
      <c r="FB899" s="106"/>
      <c r="FC899" s="106"/>
      <c r="FD899" s="106"/>
      <c r="FE899" s="106"/>
      <c r="FF899" s="106"/>
      <c r="FG899" s="106"/>
      <c r="FH899" s="106"/>
      <c r="FI899" s="106"/>
      <c r="FJ899" s="106"/>
      <c r="FK899" s="106"/>
      <c r="FL899" s="106"/>
      <c r="FM899" s="106"/>
      <c r="FN899" s="106"/>
      <c r="FO899" s="106"/>
      <c r="FP899" s="106"/>
      <c r="FQ899" s="106"/>
      <c r="FR899" s="106"/>
      <c r="FS899" s="106"/>
      <c r="FT899" s="106"/>
      <c r="FU899" s="106"/>
    </row>
    <row r="900" spans="30:177" ht="6.95" customHeight="1" x14ac:dyDescent="0.15"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  <c r="AZ900" s="93"/>
      <c r="BA900" s="93"/>
      <c r="BB900" s="93"/>
      <c r="BC900" s="93"/>
      <c r="BD900" s="93"/>
      <c r="BE900" s="93"/>
      <c r="BF900" s="93"/>
      <c r="BG900" s="93"/>
      <c r="BH900" s="93"/>
      <c r="BI900" s="93"/>
      <c r="BJ900" s="93"/>
      <c r="BK900" s="93"/>
      <c r="BL900" s="93"/>
      <c r="BM900" s="93"/>
      <c r="BN900" s="93"/>
      <c r="BO900" s="93"/>
      <c r="BP900" s="93"/>
      <c r="BQ900" s="93"/>
      <c r="BR900" s="93"/>
      <c r="BS900" s="93"/>
      <c r="BT900" s="93"/>
      <c r="BU900" s="93"/>
      <c r="BV900" s="93"/>
      <c r="BW900" s="93"/>
      <c r="BX900" s="93"/>
      <c r="BY900" s="93"/>
      <c r="BZ900" s="93"/>
      <c r="CA900" s="93"/>
      <c r="CB900" s="93"/>
      <c r="CC900" s="93"/>
      <c r="CD900" s="93"/>
      <c r="CE900" s="93"/>
      <c r="CF900" s="93"/>
      <c r="CG900" s="93"/>
      <c r="CH900" s="93"/>
      <c r="CI900" s="93"/>
      <c r="CJ900" s="93"/>
      <c r="CK900" s="93"/>
      <c r="CL900" s="93"/>
      <c r="CM900" s="93"/>
      <c r="CN900" s="93"/>
      <c r="CO900" s="93"/>
      <c r="CP900" s="93"/>
      <c r="CQ900" s="93"/>
      <c r="CR900" s="93"/>
      <c r="CS900" s="93"/>
      <c r="CT900" s="93"/>
      <c r="CU900" s="93"/>
      <c r="CV900" s="93"/>
      <c r="CW900" s="93"/>
      <c r="CX900" s="93"/>
      <c r="CY900" s="93"/>
      <c r="CZ900" s="106"/>
      <c r="DA900" s="106"/>
      <c r="DB900" s="106"/>
      <c r="DC900" s="106"/>
      <c r="DD900" s="106"/>
      <c r="DE900" s="106"/>
      <c r="DF900" s="106"/>
      <c r="DG900" s="106"/>
      <c r="DH900" s="106"/>
      <c r="DI900" s="106"/>
      <c r="DJ900" s="106"/>
      <c r="DK900" s="106"/>
      <c r="DL900" s="106"/>
      <c r="DM900" s="106"/>
      <c r="DN900" s="106"/>
      <c r="DO900" s="106"/>
      <c r="DP900" s="106"/>
      <c r="DQ900" s="106"/>
      <c r="DR900" s="106"/>
      <c r="DS900" s="106"/>
      <c r="DT900" s="106"/>
      <c r="DU900" s="106"/>
      <c r="DV900" s="106"/>
      <c r="DW900" s="106"/>
      <c r="DX900" s="106"/>
      <c r="DY900" s="106"/>
      <c r="DZ900" s="106"/>
      <c r="EA900" s="106"/>
      <c r="EB900" s="106"/>
      <c r="EC900" s="106"/>
      <c r="ED900" s="106"/>
      <c r="EE900" s="106"/>
      <c r="EF900" s="106"/>
      <c r="EG900" s="106"/>
      <c r="EH900" s="106"/>
      <c r="EI900" s="106"/>
      <c r="EJ900" s="106"/>
      <c r="EK900" s="106"/>
      <c r="EL900" s="106"/>
      <c r="EM900" s="106"/>
      <c r="EN900" s="106"/>
      <c r="EO900" s="106"/>
      <c r="EP900" s="106"/>
      <c r="EQ900" s="106"/>
      <c r="ER900" s="106"/>
      <c r="ES900" s="106"/>
      <c r="ET900" s="106"/>
      <c r="EU900" s="106"/>
      <c r="EV900" s="106"/>
      <c r="EW900" s="106"/>
      <c r="EX900" s="106"/>
      <c r="EY900" s="106"/>
      <c r="EZ900" s="106"/>
      <c r="FA900" s="106"/>
      <c r="FB900" s="106"/>
      <c r="FC900" s="106"/>
      <c r="FD900" s="106"/>
      <c r="FE900" s="106"/>
      <c r="FF900" s="106"/>
      <c r="FG900" s="106"/>
      <c r="FH900" s="106"/>
      <c r="FI900" s="106"/>
      <c r="FJ900" s="106"/>
      <c r="FK900" s="106"/>
      <c r="FL900" s="106"/>
      <c r="FM900" s="106"/>
      <c r="FN900" s="106"/>
      <c r="FO900" s="106"/>
      <c r="FP900" s="106"/>
      <c r="FQ900" s="106"/>
      <c r="FR900" s="106"/>
      <c r="FS900" s="106"/>
      <c r="FT900" s="106"/>
      <c r="FU900" s="106"/>
    </row>
    <row r="901" spans="30:177" ht="6.95" customHeight="1" x14ac:dyDescent="0.15"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  <c r="AZ901" s="93"/>
      <c r="BA901" s="93"/>
      <c r="BB901" s="93"/>
      <c r="BC901" s="93"/>
      <c r="BD901" s="93"/>
      <c r="BE901" s="93"/>
      <c r="BF901" s="93"/>
      <c r="BG901" s="93"/>
      <c r="BH901" s="93"/>
      <c r="BI901" s="93"/>
      <c r="BJ901" s="93"/>
      <c r="BK901" s="93"/>
      <c r="BL901" s="93"/>
      <c r="BM901" s="93"/>
      <c r="BN901" s="93"/>
      <c r="BO901" s="93"/>
      <c r="BP901" s="93"/>
      <c r="BQ901" s="93"/>
      <c r="BR901" s="93"/>
      <c r="BS901" s="93"/>
      <c r="BT901" s="93"/>
      <c r="BU901" s="93"/>
      <c r="BV901" s="93"/>
      <c r="BW901" s="93"/>
      <c r="BX901" s="93"/>
      <c r="BY901" s="93"/>
      <c r="BZ901" s="93"/>
      <c r="CA901" s="93"/>
      <c r="CB901" s="93"/>
      <c r="CC901" s="93"/>
      <c r="CD901" s="93"/>
      <c r="CE901" s="93"/>
      <c r="CF901" s="93"/>
      <c r="CG901" s="93"/>
      <c r="CH901" s="93"/>
      <c r="CI901" s="93"/>
      <c r="CJ901" s="93"/>
      <c r="CK901" s="93"/>
      <c r="CL901" s="93"/>
      <c r="CM901" s="93"/>
      <c r="CN901" s="93"/>
      <c r="CO901" s="93"/>
      <c r="CP901" s="93"/>
      <c r="CQ901" s="93"/>
      <c r="CR901" s="93"/>
      <c r="CS901" s="93"/>
      <c r="CT901" s="93"/>
      <c r="CU901" s="93"/>
      <c r="CV901" s="93"/>
      <c r="CW901" s="93"/>
      <c r="CX901" s="93"/>
      <c r="CY901" s="93"/>
      <c r="CZ901" s="106"/>
      <c r="DA901" s="106"/>
      <c r="DB901" s="106"/>
      <c r="DC901" s="106"/>
      <c r="DD901" s="106"/>
      <c r="DE901" s="106"/>
      <c r="DF901" s="106"/>
      <c r="DG901" s="106"/>
      <c r="DH901" s="106"/>
      <c r="DI901" s="106"/>
      <c r="DJ901" s="106"/>
      <c r="DK901" s="106"/>
      <c r="DL901" s="106"/>
      <c r="DM901" s="106"/>
      <c r="DN901" s="106"/>
      <c r="DO901" s="106"/>
      <c r="DP901" s="106"/>
      <c r="DQ901" s="106"/>
      <c r="DR901" s="106"/>
      <c r="DS901" s="106"/>
      <c r="DT901" s="106"/>
      <c r="DU901" s="106"/>
      <c r="DV901" s="106"/>
      <c r="DW901" s="106"/>
      <c r="DX901" s="106"/>
      <c r="DY901" s="106"/>
      <c r="DZ901" s="106"/>
      <c r="EA901" s="106"/>
      <c r="EB901" s="106"/>
      <c r="EC901" s="106"/>
      <c r="ED901" s="106"/>
      <c r="EE901" s="106"/>
      <c r="EF901" s="106"/>
      <c r="EG901" s="106"/>
      <c r="EH901" s="106"/>
      <c r="EI901" s="106"/>
      <c r="EJ901" s="106"/>
      <c r="EK901" s="106"/>
      <c r="EL901" s="106"/>
      <c r="EM901" s="106"/>
      <c r="EN901" s="106"/>
      <c r="EO901" s="106"/>
      <c r="EP901" s="106"/>
      <c r="EQ901" s="106"/>
      <c r="ER901" s="106"/>
      <c r="ES901" s="106"/>
      <c r="ET901" s="106"/>
      <c r="EU901" s="106"/>
      <c r="EV901" s="106"/>
      <c r="EW901" s="106"/>
      <c r="EX901" s="106"/>
      <c r="EY901" s="106"/>
      <c r="EZ901" s="106"/>
      <c r="FA901" s="106"/>
      <c r="FB901" s="106"/>
      <c r="FC901" s="106"/>
      <c r="FD901" s="106"/>
      <c r="FE901" s="106"/>
      <c r="FF901" s="106"/>
      <c r="FG901" s="106"/>
      <c r="FH901" s="106"/>
      <c r="FI901" s="106"/>
      <c r="FJ901" s="106"/>
      <c r="FK901" s="106"/>
      <c r="FL901" s="106"/>
      <c r="FM901" s="106"/>
      <c r="FN901" s="106"/>
      <c r="FO901" s="106"/>
      <c r="FP901" s="106"/>
      <c r="FQ901" s="106"/>
      <c r="FR901" s="106"/>
      <c r="FS901" s="106"/>
      <c r="FT901" s="106"/>
      <c r="FU901" s="106"/>
    </row>
    <row r="902" spans="30:177" ht="6.95" customHeight="1" x14ac:dyDescent="0.15"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  <c r="AZ902" s="93"/>
      <c r="BA902" s="93"/>
      <c r="BB902" s="93"/>
      <c r="BC902" s="93"/>
      <c r="BD902" s="93"/>
      <c r="BE902" s="93"/>
      <c r="BF902" s="93"/>
      <c r="BG902" s="93"/>
      <c r="BH902" s="93"/>
      <c r="BI902" s="93"/>
      <c r="BJ902" s="93"/>
      <c r="BK902" s="93"/>
      <c r="BL902" s="93"/>
      <c r="BM902" s="93"/>
      <c r="BN902" s="93"/>
      <c r="BO902" s="93"/>
      <c r="BP902" s="93"/>
      <c r="BQ902" s="93"/>
      <c r="BR902" s="93"/>
      <c r="BS902" s="93"/>
      <c r="BT902" s="93"/>
      <c r="BU902" s="93"/>
      <c r="BV902" s="93"/>
      <c r="BW902" s="93"/>
      <c r="BX902" s="93"/>
      <c r="BY902" s="93"/>
      <c r="BZ902" s="93"/>
      <c r="CA902" s="93"/>
      <c r="CB902" s="93"/>
      <c r="CC902" s="93"/>
      <c r="CD902" s="93"/>
      <c r="CE902" s="93"/>
      <c r="CF902" s="93"/>
      <c r="CG902" s="93"/>
      <c r="CH902" s="93"/>
      <c r="CI902" s="93"/>
      <c r="CJ902" s="93"/>
      <c r="CK902" s="93"/>
      <c r="CL902" s="93"/>
      <c r="CM902" s="93"/>
      <c r="CN902" s="93"/>
      <c r="CO902" s="93"/>
      <c r="CP902" s="93"/>
      <c r="CQ902" s="93"/>
      <c r="CR902" s="93"/>
      <c r="CS902" s="93"/>
      <c r="CT902" s="93"/>
      <c r="CU902" s="93"/>
      <c r="CV902" s="93"/>
      <c r="CW902" s="93"/>
      <c r="CX902" s="93"/>
      <c r="CY902" s="93"/>
      <c r="CZ902" s="106"/>
      <c r="DA902" s="106"/>
      <c r="DB902" s="106"/>
      <c r="DC902" s="106"/>
      <c r="DD902" s="106"/>
      <c r="DE902" s="106"/>
      <c r="DF902" s="106"/>
      <c r="DG902" s="106"/>
      <c r="DH902" s="106"/>
      <c r="DI902" s="106"/>
      <c r="DJ902" s="106"/>
      <c r="DK902" s="106"/>
      <c r="DL902" s="106"/>
      <c r="DM902" s="106"/>
      <c r="DN902" s="106"/>
      <c r="DO902" s="106"/>
      <c r="DP902" s="106"/>
      <c r="DQ902" s="106"/>
      <c r="DR902" s="106"/>
      <c r="DS902" s="106"/>
      <c r="DT902" s="106"/>
      <c r="DU902" s="106"/>
      <c r="DV902" s="106"/>
      <c r="DW902" s="106"/>
      <c r="DX902" s="106"/>
      <c r="DY902" s="106"/>
      <c r="DZ902" s="106"/>
      <c r="EA902" s="106"/>
      <c r="EB902" s="106"/>
      <c r="EC902" s="106"/>
      <c r="ED902" s="106"/>
      <c r="EE902" s="106"/>
      <c r="EF902" s="106"/>
      <c r="EG902" s="106"/>
      <c r="EH902" s="106"/>
      <c r="EI902" s="106"/>
      <c r="EJ902" s="106"/>
      <c r="EK902" s="106"/>
      <c r="EL902" s="106"/>
      <c r="EM902" s="106"/>
      <c r="EN902" s="106"/>
      <c r="EO902" s="106"/>
      <c r="EP902" s="106"/>
      <c r="EQ902" s="106"/>
      <c r="ER902" s="106"/>
      <c r="ES902" s="106"/>
      <c r="ET902" s="106"/>
      <c r="EU902" s="106"/>
      <c r="EV902" s="106"/>
      <c r="EW902" s="106"/>
      <c r="EX902" s="106"/>
      <c r="EY902" s="106"/>
      <c r="EZ902" s="106"/>
      <c r="FA902" s="106"/>
      <c r="FB902" s="106"/>
      <c r="FC902" s="106"/>
      <c r="FD902" s="106"/>
      <c r="FE902" s="106"/>
      <c r="FF902" s="106"/>
      <c r="FG902" s="106"/>
      <c r="FH902" s="106"/>
      <c r="FI902" s="106"/>
      <c r="FJ902" s="106"/>
      <c r="FK902" s="106"/>
      <c r="FL902" s="106"/>
      <c r="FM902" s="106"/>
      <c r="FN902" s="106"/>
      <c r="FO902" s="106"/>
      <c r="FP902" s="106"/>
      <c r="FQ902" s="106"/>
      <c r="FR902" s="106"/>
      <c r="FS902" s="106"/>
      <c r="FT902" s="106"/>
      <c r="FU902" s="106"/>
    </row>
    <row r="903" spans="30:177" ht="6.95" customHeight="1" x14ac:dyDescent="0.15"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  <c r="AZ903" s="93"/>
      <c r="BA903" s="93"/>
      <c r="BB903" s="93"/>
      <c r="BC903" s="93"/>
      <c r="BD903" s="93"/>
      <c r="BE903" s="93"/>
      <c r="BF903" s="93"/>
      <c r="BG903" s="93"/>
      <c r="BH903" s="93"/>
      <c r="BI903" s="93"/>
      <c r="BJ903" s="93"/>
      <c r="BK903" s="93"/>
      <c r="BL903" s="93"/>
      <c r="BM903" s="93"/>
      <c r="BN903" s="93"/>
      <c r="BO903" s="93"/>
      <c r="BP903" s="93"/>
      <c r="BQ903" s="93"/>
      <c r="BR903" s="93"/>
      <c r="BS903" s="93"/>
      <c r="BT903" s="93"/>
      <c r="BU903" s="93"/>
      <c r="BV903" s="93"/>
      <c r="BW903" s="93"/>
      <c r="BX903" s="93"/>
      <c r="BY903" s="93"/>
      <c r="BZ903" s="93"/>
      <c r="CA903" s="93"/>
      <c r="CB903" s="93"/>
      <c r="CC903" s="93"/>
      <c r="CD903" s="93"/>
      <c r="CE903" s="93"/>
      <c r="CF903" s="93"/>
      <c r="CG903" s="93"/>
      <c r="CH903" s="93"/>
      <c r="CI903" s="93"/>
      <c r="CJ903" s="93"/>
      <c r="CK903" s="93"/>
      <c r="CL903" s="93"/>
      <c r="CM903" s="93"/>
      <c r="CN903" s="93"/>
      <c r="CO903" s="93"/>
      <c r="CP903" s="93"/>
      <c r="CQ903" s="93"/>
      <c r="CR903" s="93"/>
      <c r="CS903" s="93"/>
      <c r="CT903" s="93"/>
      <c r="CU903" s="93"/>
      <c r="CV903" s="93"/>
      <c r="CW903" s="93"/>
      <c r="CX903" s="93"/>
      <c r="CY903" s="93"/>
      <c r="CZ903" s="106"/>
      <c r="DA903" s="106"/>
      <c r="DB903" s="106"/>
      <c r="DC903" s="106"/>
      <c r="DD903" s="106"/>
      <c r="DE903" s="106"/>
      <c r="DF903" s="106"/>
      <c r="DG903" s="106"/>
      <c r="DH903" s="106"/>
      <c r="DI903" s="106"/>
      <c r="DJ903" s="106"/>
      <c r="DK903" s="106"/>
      <c r="DL903" s="106"/>
      <c r="DM903" s="106"/>
      <c r="DN903" s="106"/>
      <c r="DO903" s="106"/>
      <c r="DP903" s="106"/>
      <c r="DQ903" s="106"/>
      <c r="DR903" s="106"/>
      <c r="DS903" s="106"/>
      <c r="DT903" s="106"/>
      <c r="DU903" s="106"/>
      <c r="DV903" s="106"/>
      <c r="DW903" s="106"/>
      <c r="DX903" s="106"/>
      <c r="DY903" s="106"/>
      <c r="DZ903" s="106"/>
      <c r="EA903" s="106"/>
      <c r="EB903" s="106"/>
      <c r="EC903" s="106"/>
      <c r="ED903" s="106"/>
      <c r="EE903" s="106"/>
      <c r="EF903" s="106"/>
      <c r="EG903" s="106"/>
      <c r="EH903" s="106"/>
      <c r="EI903" s="106"/>
      <c r="EJ903" s="106"/>
      <c r="EK903" s="106"/>
      <c r="EL903" s="106"/>
      <c r="EM903" s="106"/>
      <c r="EN903" s="106"/>
      <c r="EO903" s="106"/>
      <c r="EP903" s="106"/>
      <c r="EQ903" s="106"/>
      <c r="ER903" s="106"/>
      <c r="ES903" s="106"/>
      <c r="ET903" s="106"/>
      <c r="EU903" s="106"/>
      <c r="EV903" s="106"/>
      <c r="EW903" s="106"/>
      <c r="EX903" s="106"/>
      <c r="EY903" s="106"/>
      <c r="EZ903" s="106"/>
      <c r="FA903" s="106"/>
      <c r="FB903" s="106"/>
      <c r="FC903" s="106"/>
      <c r="FD903" s="106"/>
      <c r="FE903" s="106"/>
      <c r="FF903" s="106"/>
      <c r="FG903" s="106"/>
      <c r="FH903" s="106"/>
      <c r="FI903" s="106"/>
      <c r="FJ903" s="106"/>
      <c r="FK903" s="106"/>
      <c r="FL903" s="106"/>
      <c r="FM903" s="106"/>
      <c r="FN903" s="106"/>
      <c r="FO903" s="106"/>
      <c r="FP903" s="106"/>
      <c r="FQ903" s="106"/>
      <c r="FR903" s="106"/>
      <c r="FS903" s="106"/>
      <c r="FT903" s="106"/>
      <c r="FU903" s="106"/>
    </row>
    <row r="904" spans="30:177" ht="6.95" customHeight="1" x14ac:dyDescent="0.15"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  <c r="AZ904" s="93"/>
      <c r="BA904" s="93"/>
      <c r="BB904" s="93"/>
      <c r="BC904" s="93"/>
      <c r="BD904" s="93"/>
      <c r="BE904" s="93"/>
      <c r="BF904" s="93"/>
      <c r="BG904" s="93"/>
      <c r="BH904" s="93"/>
      <c r="BI904" s="93"/>
      <c r="BJ904" s="93"/>
      <c r="BK904" s="93"/>
      <c r="BL904" s="93"/>
      <c r="BM904" s="93"/>
      <c r="BN904" s="93"/>
      <c r="BO904" s="93"/>
      <c r="BP904" s="93"/>
      <c r="BQ904" s="93"/>
      <c r="BR904" s="93"/>
      <c r="BS904" s="93"/>
      <c r="BT904" s="93"/>
      <c r="BU904" s="93"/>
      <c r="BV904" s="93"/>
      <c r="BW904" s="93"/>
      <c r="BX904" s="93"/>
      <c r="BY904" s="93"/>
      <c r="BZ904" s="93"/>
      <c r="CA904" s="93"/>
      <c r="CB904" s="93"/>
      <c r="CC904" s="93"/>
      <c r="CD904" s="93"/>
      <c r="CE904" s="93"/>
      <c r="CF904" s="93"/>
      <c r="CG904" s="93"/>
      <c r="CH904" s="93"/>
      <c r="CI904" s="93"/>
      <c r="CJ904" s="93"/>
      <c r="CK904" s="93"/>
      <c r="CL904" s="93"/>
      <c r="CM904" s="93"/>
      <c r="CN904" s="93"/>
      <c r="CO904" s="93"/>
      <c r="CP904" s="93"/>
      <c r="CQ904" s="93"/>
      <c r="CR904" s="93"/>
      <c r="CS904" s="93"/>
      <c r="CT904" s="93"/>
      <c r="CU904" s="93"/>
      <c r="CV904" s="93"/>
      <c r="CW904" s="93"/>
      <c r="CX904" s="93"/>
      <c r="CY904" s="93"/>
      <c r="CZ904" s="106"/>
      <c r="DA904" s="106"/>
      <c r="DB904" s="106"/>
      <c r="DC904" s="106"/>
      <c r="DD904" s="106"/>
      <c r="DE904" s="106"/>
      <c r="DF904" s="106"/>
      <c r="DG904" s="106"/>
      <c r="DH904" s="106"/>
      <c r="DI904" s="106"/>
      <c r="DJ904" s="106"/>
      <c r="DK904" s="106"/>
      <c r="DL904" s="106"/>
      <c r="DM904" s="106"/>
      <c r="DN904" s="106"/>
      <c r="DO904" s="106"/>
      <c r="DP904" s="106"/>
      <c r="DQ904" s="106"/>
      <c r="DR904" s="106"/>
      <c r="DS904" s="106"/>
      <c r="DT904" s="106"/>
      <c r="DU904" s="106"/>
      <c r="DV904" s="106"/>
      <c r="DW904" s="106"/>
      <c r="DX904" s="106"/>
      <c r="DY904" s="106"/>
      <c r="DZ904" s="106"/>
      <c r="EA904" s="106"/>
      <c r="EB904" s="106"/>
      <c r="EC904" s="106"/>
      <c r="ED904" s="106"/>
      <c r="EE904" s="106"/>
      <c r="EF904" s="106"/>
      <c r="EG904" s="106"/>
      <c r="EH904" s="106"/>
      <c r="EI904" s="106"/>
      <c r="EJ904" s="106"/>
      <c r="EK904" s="106"/>
      <c r="EL904" s="106"/>
      <c r="EM904" s="106"/>
      <c r="EN904" s="106"/>
      <c r="EO904" s="106"/>
      <c r="EP904" s="106"/>
      <c r="EQ904" s="106"/>
      <c r="ER904" s="106"/>
      <c r="ES904" s="106"/>
      <c r="ET904" s="106"/>
      <c r="EU904" s="106"/>
      <c r="EV904" s="106"/>
      <c r="EW904" s="106"/>
      <c r="EX904" s="106"/>
      <c r="EY904" s="106"/>
      <c r="EZ904" s="106"/>
      <c r="FA904" s="106"/>
      <c r="FB904" s="106"/>
      <c r="FC904" s="106"/>
      <c r="FD904" s="106"/>
      <c r="FE904" s="106"/>
      <c r="FF904" s="106"/>
      <c r="FG904" s="106"/>
      <c r="FH904" s="106"/>
      <c r="FI904" s="106"/>
      <c r="FJ904" s="106"/>
      <c r="FK904" s="106"/>
      <c r="FL904" s="106"/>
      <c r="FM904" s="106"/>
      <c r="FN904" s="106"/>
      <c r="FO904" s="106"/>
      <c r="FP904" s="106"/>
      <c r="FQ904" s="106"/>
      <c r="FR904" s="106"/>
      <c r="FS904" s="106"/>
      <c r="FT904" s="106"/>
      <c r="FU904" s="106"/>
    </row>
    <row r="905" spans="30:177" ht="6.95" customHeight="1" x14ac:dyDescent="0.15"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3"/>
      <c r="BF905" s="93"/>
      <c r="BG905" s="93"/>
      <c r="BH905" s="93"/>
      <c r="BI905" s="93"/>
      <c r="BJ905" s="93"/>
      <c r="BK905" s="93"/>
      <c r="BL905" s="93"/>
      <c r="BM905" s="93"/>
      <c r="BN905" s="93"/>
      <c r="BO905" s="93"/>
      <c r="BP905" s="93"/>
      <c r="BQ905" s="93"/>
      <c r="BR905" s="93"/>
      <c r="BS905" s="93"/>
      <c r="BT905" s="93"/>
      <c r="BU905" s="93"/>
      <c r="BV905" s="93"/>
      <c r="BW905" s="93"/>
      <c r="BX905" s="93"/>
      <c r="BY905" s="93"/>
      <c r="BZ905" s="93"/>
      <c r="CA905" s="93"/>
      <c r="CB905" s="93"/>
      <c r="CC905" s="93"/>
      <c r="CD905" s="93"/>
      <c r="CE905" s="93"/>
      <c r="CF905" s="93"/>
      <c r="CG905" s="93"/>
      <c r="CH905" s="93"/>
      <c r="CI905" s="93"/>
      <c r="CJ905" s="93"/>
      <c r="CK905" s="93"/>
      <c r="CL905" s="93"/>
      <c r="CM905" s="93"/>
      <c r="CN905" s="93"/>
      <c r="CO905" s="93"/>
      <c r="CP905" s="93"/>
      <c r="CQ905" s="93"/>
      <c r="CR905" s="93"/>
      <c r="CS905" s="93"/>
      <c r="CT905" s="93"/>
      <c r="CU905" s="93"/>
      <c r="CV905" s="93"/>
      <c r="CW905" s="93"/>
      <c r="CX905" s="93"/>
      <c r="CY905" s="93"/>
      <c r="CZ905" s="106"/>
      <c r="DA905" s="106"/>
      <c r="DB905" s="106"/>
      <c r="DC905" s="106"/>
      <c r="DD905" s="106"/>
      <c r="DE905" s="106"/>
      <c r="DF905" s="106"/>
      <c r="DG905" s="106"/>
      <c r="DH905" s="106"/>
      <c r="DI905" s="106"/>
      <c r="DJ905" s="106"/>
      <c r="DK905" s="106"/>
      <c r="DL905" s="106"/>
      <c r="DM905" s="106"/>
      <c r="DN905" s="106"/>
      <c r="DO905" s="106"/>
      <c r="DP905" s="106"/>
      <c r="DQ905" s="106"/>
      <c r="DR905" s="106"/>
      <c r="DS905" s="106"/>
      <c r="DT905" s="106"/>
      <c r="DU905" s="106"/>
      <c r="DV905" s="106"/>
      <c r="DW905" s="106"/>
      <c r="DX905" s="106"/>
      <c r="DY905" s="106"/>
      <c r="DZ905" s="106"/>
      <c r="EA905" s="106"/>
      <c r="EB905" s="106"/>
      <c r="EC905" s="106"/>
      <c r="ED905" s="106"/>
      <c r="EE905" s="106"/>
      <c r="EF905" s="106"/>
      <c r="EG905" s="106"/>
      <c r="EH905" s="106"/>
      <c r="EI905" s="106"/>
      <c r="EJ905" s="106"/>
      <c r="EK905" s="106"/>
      <c r="EL905" s="106"/>
      <c r="EM905" s="106"/>
      <c r="EN905" s="106"/>
      <c r="EO905" s="106"/>
      <c r="EP905" s="106"/>
      <c r="EQ905" s="106"/>
      <c r="ER905" s="106"/>
      <c r="ES905" s="106"/>
      <c r="ET905" s="106"/>
      <c r="EU905" s="106"/>
      <c r="EV905" s="106"/>
      <c r="EW905" s="106"/>
      <c r="EX905" s="106"/>
      <c r="EY905" s="106"/>
      <c r="EZ905" s="106"/>
      <c r="FA905" s="106"/>
      <c r="FB905" s="106"/>
      <c r="FC905" s="106"/>
      <c r="FD905" s="106"/>
      <c r="FE905" s="106"/>
      <c r="FF905" s="106"/>
      <c r="FG905" s="106"/>
      <c r="FH905" s="106"/>
      <c r="FI905" s="106"/>
      <c r="FJ905" s="106"/>
      <c r="FK905" s="106"/>
      <c r="FL905" s="106"/>
      <c r="FM905" s="106"/>
      <c r="FN905" s="106"/>
      <c r="FO905" s="106"/>
      <c r="FP905" s="106"/>
      <c r="FQ905" s="106"/>
      <c r="FR905" s="106"/>
      <c r="FS905" s="106"/>
      <c r="FT905" s="106"/>
      <c r="FU905" s="106"/>
    </row>
    <row r="906" spans="30:177" ht="6.95" customHeight="1" x14ac:dyDescent="0.15"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  <c r="AZ906" s="93"/>
      <c r="BA906" s="93"/>
      <c r="BB906" s="93"/>
      <c r="BC906" s="93"/>
      <c r="BD906" s="93"/>
      <c r="BE906" s="93"/>
      <c r="BF906" s="93"/>
      <c r="BG906" s="93"/>
      <c r="BH906" s="93"/>
      <c r="BI906" s="93"/>
      <c r="BJ906" s="93"/>
      <c r="BK906" s="93"/>
      <c r="BL906" s="93"/>
      <c r="BM906" s="93"/>
      <c r="BN906" s="93"/>
      <c r="BO906" s="93"/>
      <c r="BP906" s="93"/>
      <c r="BQ906" s="93"/>
      <c r="BR906" s="93"/>
      <c r="BS906" s="93"/>
      <c r="BT906" s="93"/>
      <c r="BU906" s="93"/>
      <c r="BV906" s="93"/>
      <c r="BW906" s="93"/>
      <c r="BX906" s="93"/>
      <c r="BY906" s="93"/>
      <c r="BZ906" s="93"/>
      <c r="CA906" s="93"/>
      <c r="CB906" s="93"/>
      <c r="CC906" s="93"/>
      <c r="CD906" s="93"/>
      <c r="CE906" s="93"/>
      <c r="CF906" s="93"/>
      <c r="CG906" s="93"/>
      <c r="CH906" s="93"/>
      <c r="CI906" s="93"/>
      <c r="CJ906" s="93"/>
      <c r="CK906" s="93"/>
      <c r="CL906" s="93"/>
      <c r="CM906" s="93"/>
      <c r="CN906" s="93"/>
      <c r="CO906" s="93"/>
      <c r="CP906" s="93"/>
      <c r="CQ906" s="93"/>
      <c r="CR906" s="93"/>
      <c r="CS906" s="93"/>
      <c r="CT906" s="93"/>
      <c r="CU906" s="93"/>
      <c r="CV906" s="93"/>
      <c r="CW906" s="93"/>
      <c r="CX906" s="93"/>
      <c r="CY906" s="93"/>
      <c r="CZ906" s="106"/>
      <c r="DA906" s="106"/>
      <c r="DB906" s="106"/>
      <c r="DC906" s="106"/>
      <c r="DD906" s="106"/>
      <c r="DE906" s="106"/>
      <c r="DF906" s="106"/>
      <c r="DG906" s="106"/>
      <c r="DH906" s="106"/>
      <c r="DI906" s="106"/>
      <c r="DJ906" s="106"/>
      <c r="DK906" s="106"/>
      <c r="DL906" s="106"/>
      <c r="DM906" s="106"/>
      <c r="DN906" s="106"/>
      <c r="DO906" s="106"/>
      <c r="DP906" s="106"/>
      <c r="DQ906" s="106"/>
      <c r="DR906" s="106"/>
      <c r="DS906" s="106"/>
      <c r="DT906" s="106"/>
      <c r="DU906" s="106"/>
      <c r="DV906" s="106"/>
      <c r="DW906" s="106"/>
      <c r="DX906" s="106"/>
      <c r="DY906" s="106"/>
      <c r="DZ906" s="106"/>
      <c r="EA906" s="106"/>
      <c r="EB906" s="106"/>
      <c r="EC906" s="106"/>
      <c r="ED906" s="106"/>
      <c r="EE906" s="106"/>
      <c r="EF906" s="106"/>
      <c r="EG906" s="106"/>
      <c r="EH906" s="106"/>
      <c r="EI906" s="106"/>
      <c r="EJ906" s="106"/>
      <c r="EK906" s="106"/>
      <c r="EL906" s="106"/>
      <c r="EM906" s="106"/>
      <c r="EN906" s="106"/>
      <c r="EO906" s="106"/>
      <c r="EP906" s="106"/>
      <c r="EQ906" s="106"/>
      <c r="ER906" s="106"/>
      <c r="ES906" s="106"/>
      <c r="ET906" s="106"/>
      <c r="EU906" s="106"/>
      <c r="EV906" s="106"/>
      <c r="EW906" s="106"/>
      <c r="EX906" s="106"/>
      <c r="EY906" s="106"/>
      <c r="EZ906" s="106"/>
      <c r="FA906" s="106"/>
      <c r="FB906" s="106"/>
      <c r="FC906" s="106"/>
      <c r="FD906" s="106"/>
      <c r="FE906" s="106"/>
      <c r="FF906" s="106"/>
      <c r="FG906" s="106"/>
      <c r="FH906" s="106"/>
      <c r="FI906" s="106"/>
      <c r="FJ906" s="106"/>
      <c r="FK906" s="106"/>
      <c r="FL906" s="106"/>
      <c r="FM906" s="106"/>
      <c r="FN906" s="106"/>
      <c r="FO906" s="106"/>
      <c r="FP906" s="106"/>
      <c r="FQ906" s="106"/>
      <c r="FR906" s="106"/>
      <c r="FS906" s="106"/>
      <c r="FT906" s="106"/>
      <c r="FU906" s="106"/>
    </row>
    <row r="907" spans="30:177" ht="6.95" customHeight="1" x14ac:dyDescent="0.15"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  <c r="AZ907" s="93"/>
      <c r="BA907" s="93"/>
      <c r="BB907" s="93"/>
      <c r="BC907" s="93"/>
      <c r="BD907" s="93"/>
      <c r="BE907" s="93"/>
      <c r="BF907" s="93"/>
      <c r="BG907" s="93"/>
      <c r="BH907" s="93"/>
      <c r="BI907" s="93"/>
      <c r="BJ907" s="93"/>
      <c r="BK907" s="93"/>
      <c r="BL907" s="93"/>
      <c r="BM907" s="93"/>
      <c r="BN907" s="93"/>
      <c r="BO907" s="93"/>
      <c r="BP907" s="93"/>
      <c r="BQ907" s="93"/>
      <c r="BR907" s="93"/>
      <c r="BS907" s="93"/>
      <c r="BT907" s="93"/>
      <c r="BU907" s="93"/>
      <c r="BV907" s="93"/>
      <c r="BW907" s="93"/>
      <c r="BX907" s="93"/>
      <c r="BY907" s="93"/>
      <c r="BZ907" s="93"/>
      <c r="CA907" s="93"/>
      <c r="CB907" s="93"/>
      <c r="CC907" s="93"/>
      <c r="CD907" s="93"/>
      <c r="CE907" s="93"/>
      <c r="CF907" s="93"/>
      <c r="CG907" s="93"/>
      <c r="CH907" s="93"/>
      <c r="CI907" s="93"/>
      <c r="CJ907" s="93"/>
      <c r="CK907" s="93"/>
      <c r="CL907" s="93"/>
      <c r="CM907" s="93"/>
      <c r="CN907" s="93"/>
      <c r="CO907" s="93"/>
      <c r="CP907" s="93"/>
      <c r="CQ907" s="93"/>
      <c r="CR907" s="93"/>
      <c r="CS907" s="93"/>
      <c r="CT907" s="93"/>
      <c r="CU907" s="93"/>
      <c r="CV907" s="93"/>
      <c r="CW907" s="93"/>
      <c r="CX907" s="93"/>
      <c r="CY907" s="93"/>
      <c r="CZ907" s="106"/>
      <c r="DA907" s="106"/>
      <c r="DB907" s="106"/>
      <c r="DC907" s="106"/>
      <c r="DD907" s="106"/>
      <c r="DE907" s="106"/>
      <c r="DF907" s="106"/>
      <c r="DG907" s="106"/>
      <c r="DH907" s="106"/>
      <c r="DI907" s="106"/>
      <c r="DJ907" s="106"/>
      <c r="DK907" s="106"/>
      <c r="DL907" s="106"/>
      <c r="DM907" s="106"/>
      <c r="DN907" s="106"/>
      <c r="DO907" s="106"/>
      <c r="DP907" s="106"/>
      <c r="DQ907" s="106"/>
      <c r="DR907" s="106"/>
      <c r="DS907" s="106"/>
      <c r="DT907" s="106"/>
      <c r="DU907" s="106"/>
      <c r="DV907" s="106"/>
      <c r="DW907" s="106"/>
      <c r="DX907" s="106"/>
      <c r="DY907" s="106"/>
      <c r="DZ907" s="106"/>
      <c r="EA907" s="106"/>
      <c r="EB907" s="106"/>
      <c r="EC907" s="106"/>
      <c r="ED907" s="106"/>
      <c r="EE907" s="106"/>
      <c r="EF907" s="106"/>
      <c r="EG907" s="106"/>
      <c r="EH907" s="106"/>
      <c r="EI907" s="106"/>
      <c r="EJ907" s="106"/>
      <c r="EK907" s="106"/>
      <c r="EL907" s="106"/>
      <c r="EM907" s="106"/>
      <c r="EN907" s="106"/>
      <c r="EO907" s="106"/>
      <c r="EP907" s="106"/>
      <c r="EQ907" s="106"/>
      <c r="ER907" s="106"/>
      <c r="ES907" s="106"/>
      <c r="ET907" s="106"/>
      <c r="EU907" s="106"/>
      <c r="EV907" s="106"/>
      <c r="EW907" s="106"/>
      <c r="EX907" s="106"/>
      <c r="EY907" s="106"/>
      <c r="EZ907" s="106"/>
      <c r="FA907" s="106"/>
      <c r="FB907" s="106"/>
      <c r="FC907" s="106"/>
      <c r="FD907" s="106"/>
      <c r="FE907" s="106"/>
      <c r="FF907" s="106"/>
      <c r="FG907" s="106"/>
      <c r="FH907" s="106"/>
      <c r="FI907" s="106"/>
      <c r="FJ907" s="106"/>
      <c r="FK907" s="106"/>
      <c r="FL907" s="106"/>
      <c r="FM907" s="106"/>
      <c r="FN907" s="106"/>
      <c r="FO907" s="106"/>
      <c r="FP907" s="106"/>
      <c r="FQ907" s="106"/>
      <c r="FR907" s="106"/>
      <c r="FS907" s="106"/>
      <c r="FT907" s="106"/>
      <c r="FU907" s="106"/>
    </row>
    <row r="908" spans="30:177" ht="6.95" customHeight="1" x14ac:dyDescent="0.15"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  <c r="AZ908" s="93"/>
      <c r="BA908" s="93"/>
      <c r="BB908" s="93"/>
      <c r="BC908" s="93"/>
      <c r="BD908" s="93"/>
      <c r="BE908" s="93"/>
      <c r="BF908" s="93"/>
      <c r="BG908" s="93"/>
      <c r="BH908" s="93"/>
      <c r="BI908" s="93"/>
      <c r="BJ908" s="93"/>
      <c r="BK908" s="93"/>
      <c r="BL908" s="93"/>
      <c r="BM908" s="93"/>
      <c r="BN908" s="93"/>
      <c r="BO908" s="93"/>
      <c r="BP908" s="93"/>
      <c r="BQ908" s="93"/>
      <c r="BR908" s="93"/>
      <c r="BS908" s="93"/>
      <c r="BT908" s="93"/>
      <c r="BU908" s="93"/>
      <c r="BV908" s="93"/>
      <c r="BW908" s="93"/>
      <c r="BX908" s="93"/>
      <c r="BY908" s="93"/>
      <c r="BZ908" s="93"/>
      <c r="CA908" s="93"/>
      <c r="CB908" s="93"/>
      <c r="CC908" s="93"/>
      <c r="CD908" s="93"/>
      <c r="CE908" s="93"/>
      <c r="CF908" s="93"/>
      <c r="CG908" s="93"/>
      <c r="CH908" s="93"/>
      <c r="CI908" s="93"/>
      <c r="CJ908" s="93"/>
      <c r="CK908" s="93"/>
      <c r="CL908" s="93"/>
      <c r="CM908" s="93"/>
      <c r="CN908" s="93"/>
      <c r="CO908" s="93"/>
      <c r="CP908" s="93"/>
      <c r="CQ908" s="93"/>
      <c r="CR908" s="93"/>
      <c r="CS908" s="93"/>
      <c r="CT908" s="93"/>
      <c r="CU908" s="93"/>
      <c r="CV908" s="93"/>
      <c r="CW908" s="93"/>
      <c r="CX908" s="93"/>
      <c r="CY908" s="93"/>
      <c r="CZ908" s="106"/>
      <c r="DA908" s="106"/>
      <c r="DB908" s="106"/>
      <c r="DC908" s="106"/>
      <c r="DD908" s="106"/>
      <c r="DE908" s="106"/>
      <c r="DF908" s="106"/>
      <c r="DG908" s="106"/>
      <c r="DH908" s="106"/>
      <c r="DI908" s="106"/>
      <c r="DJ908" s="106"/>
      <c r="DK908" s="106"/>
      <c r="DL908" s="106"/>
      <c r="DM908" s="106"/>
      <c r="DN908" s="106"/>
      <c r="DO908" s="106"/>
      <c r="DP908" s="106"/>
      <c r="DQ908" s="106"/>
      <c r="DR908" s="106"/>
      <c r="DS908" s="106"/>
      <c r="DT908" s="106"/>
      <c r="DU908" s="106"/>
      <c r="DV908" s="106"/>
      <c r="DW908" s="106"/>
      <c r="DX908" s="106"/>
      <c r="DY908" s="106"/>
      <c r="DZ908" s="106"/>
      <c r="EA908" s="106"/>
      <c r="EB908" s="106"/>
      <c r="EC908" s="106"/>
      <c r="ED908" s="106"/>
      <c r="EE908" s="106"/>
      <c r="EF908" s="106"/>
      <c r="EG908" s="106"/>
      <c r="EH908" s="106"/>
      <c r="EI908" s="106"/>
      <c r="EJ908" s="106"/>
      <c r="EK908" s="106"/>
      <c r="EL908" s="106"/>
      <c r="EM908" s="106"/>
      <c r="EN908" s="106"/>
      <c r="EO908" s="106"/>
      <c r="EP908" s="106"/>
      <c r="EQ908" s="106"/>
      <c r="ER908" s="106"/>
      <c r="ES908" s="106"/>
      <c r="ET908" s="106"/>
      <c r="EU908" s="106"/>
      <c r="EV908" s="106"/>
      <c r="EW908" s="106"/>
      <c r="EX908" s="106"/>
      <c r="EY908" s="106"/>
      <c r="EZ908" s="106"/>
      <c r="FA908" s="106"/>
      <c r="FB908" s="106"/>
      <c r="FC908" s="106"/>
      <c r="FD908" s="106"/>
      <c r="FE908" s="106"/>
      <c r="FF908" s="106"/>
      <c r="FG908" s="106"/>
      <c r="FH908" s="106"/>
      <c r="FI908" s="106"/>
      <c r="FJ908" s="106"/>
      <c r="FK908" s="106"/>
      <c r="FL908" s="106"/>
      <c r="FM908" s="106"/>
      <c r="FN908" s="106"/>
      <c r="FO908" s="106"/>
      <c r="FP908" s="106"/>
      <c r="FQ908" s="106"/>
      <c r="FR908" s="106"/>
      <c r="FS908" s="106"/>
      <c r="FT908" s="106"/>
      <c r="FU908" s="106"/>
    </row>
    <row r="909" spans="30:177" ht="6.95" customHeight="1" x14ac:dyDescent="0.15"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  <c r="AZ909" s="93"/>
      <c r="BA909" s="93"/>
      <c r="BB909" s="93"/>
      <c r="BC909" s="93"/>
      <c r="BD909" s="93"/>
      <c r="BE909" s="93"/>
      <c r="BF909" s="93"/>
      <c r="BG909" s="93"/>
      <c r="BH909" s="93"/>
      <c r="BI909" s="93"/>
      <c r="BJ909" s="93"/>
      <c r="BK909" s="93"/>
      <c r="BL909" s="93"/>
      <c r="BM909" s="93"/>
      <c r="BN909" s="93"/>
      <c r="BO909" s="93"/>
      <c r="BP909" s="93"/>
      <c r="BQ909" s="93"/>
      <c r="BR909" s="93"/>
      <c r="BS909" s="93"/>
      <c r="BT909" s="93"/>
      <c r="BU909" s="93"/>
      <c r="BV909" s="93"/>
      <c r="BW909" s="93"/>
      <c r="BX909" s="93"/>
      <c r="BY909" s="93"/>
      <c r="BZ909" s="93"/>
      <c r="CA909" s="93"/>
      <c r="CB909" s="93"/>
      <c r="CC909" s="93"/>
      <c r="CD909" s="93"/>
      <c r="CE909" s="93"/>
      <c r="CF909" s="93"/>
      <c r="CG909" s="93"/>
      <c r="CH909" s="93"/>
      <c r="CI909" s="93"/>
      <c r="CJ909" s="93"/>
      <c r="CK909" s="93"/>
      <c r="CL909" s="93"/>
      <c r="CM909" s="93"/>
      <c r="CN909" s="93"/>
      <c r="CO909" s="93"/>
      <c r="CP909" s="93"/>
      <c r="CQ909" s="93"/>
      <c r="CR909" s="93"/>
      <c r="CS909" s="93"/>
      <c r="CT909" s="93"/>
      <c r="CU909" s="93"/>
      <c r="CV909" s="93"/>
      <c r="CW909" s="93"/>
      <c r="CX909" s="93"/>
      <c r="CY909" s="93"/>
      <c r="CZ909" s="106"/>
      <c r="DA909" s="106"/>
      <c r="DB909" s="106"/>
      <c r="DC909" s="106"/>
      <c r="DD909" s="106"/>
      <c r="DE909" s="106"/>
      <c r="DF909" s="106"/>
      <c r="DG909" s="106"/>
      <c r="DH909" s="106"/>
      <c r="DI909" s="106"/>
      <c r="DJ909" s="106"/>
      <c r="DK909" s="106"/>
      <c r="DL909" s="106"/>
      <c r="DM909" s="106"/>
      <c r="DN909" s="106"/>
      <c r="DO909" s="106"/>
      <c r="DP909" s="106"/>
      <c r="DQ909" s="106"/>
      <c r="DR909" s="106"/>
      <c r="DS909" s="106"/>
      <c r="DT909" s="106"/>
      <c r="DU909" s="106"/>
      <c r="DV909" s="106"/>
      <c r="DW909" s="106"/>
      <c r="DX909" s="106"/>
      <c r="DY909" s="106"/>
      <c r="DZ909" s="106"/>
      <c r="EA909" s="106"/>
      <c r="EB909" s="106"/>
      <c r="EC909" s="106"/>
      <c r="ED909" s="106"/>
      <c r="EE909" s="106"/>
      <c r="EF909" s="106"/>
      <c r="EG909" s="106"/>
      <c r="EH909" s="106"/>
      <c r="EI909" s="106"/>
      <c r="EJ909" s="106"/>
      <c r="EK909" s="106"/>
      <c r="EL909" s="106"/>
      <c r="EM909" s="106"/>
      <c r="EN909" s="106"/>
      <c r="EO909" s="106"/>
      <c r="EP909" s="106"/>
      <c r="EQ909" s="106"/>
      <c r="ER909" s="106"/>
      <c r="ES909" s="106"/>
      <c r="ET909" s="106"/>
      <c r="EU909" s="106"/>
      <c r="EV909" s="106"/>
      <c r="EW909" s="106"/>
      <c r="EX909" s="106"/>
      <c r="EY909" s="106"/>
      <c r="EZ909" s="106"/>
      <c r="FA909" s="106"/>
      <c r="FB909" s="106"/>
      <c r="FC909" s="106"/>
      <c r="FD909" s="106"/>
      <c r="FE909" s="106"/>
      <c r="FF909" s="106"/>
      <c r="FG909" s="106"/>
      <c r="FH909" s="106"/>
      <c r="FI909" s="106"/>
      <c r="FJ909" s="106"/>
      <c r="FK909" s="106"/>
      <c r="FL909" s="106"/>
      <c r="FM909" s="106"/>
      <c r="FN909" s="106"/>
      <c r="FO909" s="106"/>
      <c r="FP909" s="106"/>
      <c r="FQ909" s="106"/>
      <c r="FR909" s="106"/>
      <c r="FS909" s="106"/>
      <c r="FT909" s="106"/>
      <c r="FU909" s="106"/>
    </row>
    <row r="910" spans="30:177" ht="6.95" customHeight="1" x14ac:dyDescent="0.15"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  <c r="AZ910" s="93"/>
      <c r="BA910" s="93"/>
      <c r="BB910" s="93"/>
      <c r="BC910" s="93"/>
      <c r="BD910" s="93"/>
      <c r="BE910" s="93"/>
      <c r="BF910" s="93"/>
      <c r="BG910" s="93"/>
      <c r="BH910" s="93"/>
      <c r="BI910" s="93"/>
      <c r="BJ910" s="93"/>
      <c r="BK910" s="93"/>
      <c r="BL910" s="93"/>
      <c r="BM910" s="93"/>
      <c r="BN910" s="93"/>
      <c r="BO910" s="93"/>
      <c r="BP910" s="93"/>
      <c r="BQ910" s="93"/>
      <c r="BR910" s="93"/>
      <c r="BS910" s="93"/>
      <c r="BT910" s="93"/>
      <c r="BU910" s="93"/>
      <c r="BV910" s="93"/>
      <c r="BW910" s="93"/>
      <c r="BX910" s="93"/>
      <c r="BY910" s="93"/>
      <c r="BZ910" s="93"/>
      <c r="CA910" s="93"/>
      <c r="CB910" s="93"/>
      <c r="CC910" s="93"/>
      <c r="CD910" s="93"/>
      <c r="CE910" s="93"/>
      <c r="CF910" s="93"/>
      <c r="CG910" s="93"/>
      <c r="CH910" s="93"/>
      <c r="CI910" s="93"/>
      <c r="CJ910" s="93"/>
      <c r="CK910" s="93"/>
      <c r="CL910" s="93"/>
      <c r="CM910" s="93"/>
      <c r="CN910" s="93"/>
      <c r="CO910" s="93"/>
      <c r="CP910" s="93"/>
      <c r="CQ910" s="93"/>
      <c r="CR910" s="93"/>
      <c r="CS910" s="93"/>
      <c r="CT910" s="93"/>
      <c r="CU910" s="93"/>
      <c r="CV910" s="93"/>
      <c r="CW910" s="93"/>
      <c r="CX910" s="93"/>
      <c r="CY910" s="93"/>
      <c r="CZ910" s="106"/>
      <c r="DA910" s="106"/>
      <c r="DB910" s="106"/>
      <c r="DC910" s="106"/>
      <c r="DD910" s="106"/>
      <c r="DE910" s="106"/>
      <c r="DF910" s="106"/>
      <c r="DG910" s="106"/>
      <c r="DH910" s="106"/>
      <c r="DI910" s="106"/>
      <c r="DJ910" s="106"/>
      <c r="DK910" s="106"/>
      <c r="DL910" s="106"/>
      <c r="DM910" s="106"/>
      <c r="DN910" s="106"/>
      <c r="DO910" s="106"/>
      <c r="DP910" s="106"/>
      <c r="DQ910" s="106"/>
      <c r="DR910" s="106"/>
      <c r="DS910" s="106"/>
      <c r="DT910" s="106"/>
      <c r="DU910" s="106"/>
      <c r="DV910" s="106"/>
      <c r="DW910" s="106"/>
      <c r="DX910" s="106"/>
      <c r="DY910" s="106"/>
      <c r="DZ910" s="106"/>
      <c r="EA910" s="106"/>
      <c r="EB910" s="106"/>
      <c r="EC910" s="106"/>
      <c r="ED910" s="106"/>
      <c r="EE910" s="106"/>
      <c r="EF910" s="106"/>
      <c r="EG910" s="106"/>
      <c r="EH910" s="106"/>
      <c r="EI910" s="106"/>
      <c r="EJ910" s="106"/>
      <c r="EK910" s="106"/>
      <c r="EL910" s="106"/>
      <c r="EM910" s="106"/>
      <c r="EN910" s="106"/>
      <c r="EO910" s="106"/>
      <c r="EP910" s="106"/>
      <c r="EQ910" s="106"/>
      <c r="ER910" s="106"/>
      <c r="ES910" s="106"/>
      <c r="ET910" s="106"/>
      <c r="EU910" s="106"/>
      <c r="EV910" s="106"/>
      <c r="EW910" s="106"/>
      <c r="EX910" s="106"/>
      <c r="EY910" s="106"/>
      <c r="EZ910" s="106"/>
      <c r="FA910" s="106"/>
      <c r="FB910" s="106"/>
      <c r="FC910" s="106"/>
      <c r="FD910" s="106"/>
      <c r="FE910" s="106"/>
      <c r="FF910" s="106"/>
      <c r="FG910" s="106"/>
      <c r="FH910" s="106"/>
      <c r="FI910" s="106"/>
      <c r="FJ910" s="106"/>
      <c r="FK910" s="106"/>
      <c r="FL910" s="106"/>
      <c r="FM910" s="106"/>
      <c r="FN910" s="106"/>
      <c r="FO910" s="106"/>
      <c r="FP910" s="106"/>
      <c r="FQ910" s="106"/>
      <c r="FR910" s="106"/>
      <c r="FS910" s="106"/>
      <c r="FT910" s="106"/>
      <c r="FU910" s="106"/>
    </row>
    <row r="911" spans="30:177" ht="6.95" customHeight="1" x14ac:dyDescent="0.15"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  <c r="BD911" s="93"/>
      <c r="BE911" s="93"/>
      <c r="BF911" s="93"/>
      <c r="BG911" s="93"/>
      <c r="BH911" s="93"/>
      <c r="BI911" s="93"/>
      <c r="BJ911" s="93"/>
      <c r="BK911" s="93"/>
      <c r="BL911" s="93"/>
      <c r="BM911" s="93"/>
      <c r="BN911" s="93"/>
      <c r="BO911" s="93"/>
      <c r="BP911" s="93"/>
      <c r="BQ911" s="93"/>
      <c r="BR911" s="93"/>
      <c r="BS911" s="93"/>
      <c r="BT911" s="93"/>
      <c r="BU911" s="93"/>
      <c r="BV911" s="93"/>
      <c r="BW911" s="93"/>
      <c r="BX911" s="93"/>
      <c r="BY911" s="93"/>
      <c r="BZ911" s="93"/>
      <c r="CA911" s="93"/>
      <c r="CB911" s="93"/>
      <c r="CC911" s="93"/>
      <c r="CD911" s="93"/>
      <c r="CE911" s="93"/>
      <c r="CF911" s="93"/>
      <c r="CG911" s="93"/>
      <c r="CH911" s="93"/>
      <c r="CI911" s="93"/>
      <c r="CJ911" s="93"/>
      <c r="CK911" s="93"/>
      <c r="CL911" s="93"/>
      <c r="CM911" s="93"/>
      <c r="CN911" s="93"/>
      <c r="CO911" s="93"/>
      <c r="CP911" s="93"/>
      <c r="CQ911" s="93"/>
      <c r="CR911" s="93"/>
      <c r="CS911" s="93"/>
      <c r="CT911" s="93"/>
      <c r="CU911" s="93"/>
      <c r="CV911" s="93"/>
      <c r="CW911" s="93"/>
      <c r="CX911" s="93"/>
      <c r="CY911" s="93"/>
      <c r="CZ911" s="106"/>
      <c r="DA911" s="106"/>
      <c r="DB911" s="106"/>
      <c r="DC911" s="106"/>
      <c r="DD911" s="106"/>
      <c r="DE911" s="106"/>
      <c r="DF911" s="106"/>
      <c r="DG911" s="106"/>
      <c r="DH911" s="106"/>
      <c r="DI911" s="106"/>
      <c r="DJ911" s="106"/>
      <c r="DK911" s="106"/>
      <c r="DL911" s="106"/>
      <c r="DM911" s="106"/>
      <c r="DN911" s="106"/>
      <c r="DO911" s="106"/>
      <c r="DP911" s="106"/>
      <c r="DQ911" s="106"/>
      <c r="DR911" s="106"/>
      <c r="DS911" s="106"/>
      <c r="DT911" s="106"/>
      <c r="DU911" s="106"/>
      <c r="DV911" s="106"/>
      <c r="DW911" s="106"/>
      <c r="DX911" s="106"/>
      <c r="DY911" s="106"/>
      <c r="DZ911" s="106"/>
      <c r="EA911" s="106"/>
      <c r="EB911" s="106"/>
      <c r="EC911" s="106"/>
      <c r="ED911" s="106"/>
      <c r="EE911" s="106"/>
      <c r="EF911" s="106"/>
      <c r="EG911" s="106"/>
      <c r="EH911" s="106"/>
      <c r="EI911" s="106"/>
      <c r="EJ911" s="106"/>
      <c r="EK911" s="106"/>
      <c r="EL911" s="106"/>
      <c r="EM911" s="106"/>
      <c r="EN911" s="106"/>
      <c r="EO911" s="106"/>
      <c r="EP911" s="106"/>
      <c r="EQ911" s="106"/>
      <c r="ER911" s="106"/>
      <c r="ES911" s="106"/>
      <c r="ET911" s="106"/>
      <c r="EU911" s="106"/>
      <c r="EV911" s="106"/>
      <c r="EW911" s="106"/>
      <c r="EX911" s="106"/>
      <c r="EY911" s="106"/>
      <c r="EZ911" s="106"/>
      <c r="FA911" s="106"/>
      <c r="FB911" s="106"/>
      <c r="FC911" s="106"/>
      <c r="FD911" s="106"/>
      <c r="FE911" s="106"/>
      <c r="FF911" s="106"/>
      <c r="FG911" s="106"/>
      <c r="FH911" s="106"/>
      <c r="FI911" s="106"/>
      <c r="FJ911" s="106"/>
      <c r="FK911" s="106"/>
      <c r="FL911" s="106"/>
      <c r="FM911" s="106"/>
      <c r="FN911" s="106"/>
      <c r="FO911" s="106"/>
      <c r="FP911" s="106"/>
      <c r="FQ911" s="106"/>
      <c r="FR911" s="106"/>
      <c r="FS911" s="106"/>
      <c r="FT911" s="106"/>
      <c r="FU911" s="106"/>
    </row>
    <row r="912" spans="30:177" ht="6.95" customHeight="1" x14ac:dyDescent="0.15"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  <c r="BD912" s="93"/>
      <c r="BE912" s="93"/>
      <c r="BF912" s="93"/>
      <c r="BG912" s="93"/>
      <c r="BH912" s="93"/>
      <c r="BI912" s="93"/>
      <c r="BJ912" s="93"/>
      <c r="BK912" s="93"/>
      <c r="BL912" s="93"/>
      <c r="BM912" s="93"/>
      <c r="BN912" s="93"/>
      <c r="BO912" s="93"/>
      <c r="BP912" s="93"/>
      <c r="BQ912" s="93"/>
      <c r="BR912" s="93"/>
      <c r="BS912" s="93"/>
      <c r="BT912" s="93"/>
      <c r="BU912" s="93"/>
      <c r="BV912" s="93"/>
      <c r="BW912" s="93"/>
      <c r="BX912" s="93"/>
      <c r="BY912" s="93"/>
      <c r="BZ912" s="93"/>
      <c r="CA912" s="93"/>
      <c r="CB912" s="93"/>
      <c r="CC912" s="93"/>
      <c r="CD912" s="93"/>
      <c r="CE912" s="93"/>
      <c r="CF912" s="93"/>
      <c r="CG912" s="93"/>
      <c r="CH912" s="93"/>
      <c r="CI912" s="93"/>
      <c r="CJ912" s="93"/>
      <c r="CK912" s="93"/>
      <c r="CL912" s="93"/>
      <c r="CM912" s="93"/>
      <c r="CN912" s="93"/>
      <c r="CO912" s="93"/>
      <c r="CP912" s="93"/>
      <c r="CQ912" s="93"/>
      <c r="CR912" s="93"/>
      <c r="CS912" s="93"/>
      <c r="CT912" s="93"/>
      <c r="CU912" s="93"/>
      <c r="CV912" s="93"/>
      <c r="CW912" s="93"/>
      <c r="CX912" s="93"/>
      <c r="CY912" s="93"/>
      <c r="CZ912" s="106"/>
      <c r="DA912" s="106"/>
      <c r="DB912" s="106"/>
      <c r="DC912" s="106"/>
      <c r="DD912" s="106"/>
      <c r="DE912" s="106"/>
      <c r="DF912" s="106"/>
      <c r="DG912" s="106"/>
      <c r="DH912" s="106"/>
      <c r="DI912" s="106"/>
      <c r="DJ912" s="106"/>
      <c r="DK912" s="106"/>
      <c r="DL912" s="106"/>
      <c r="DM912" s="106"/>
      <c r="DN912" s="106"/>
      <c r="DO912" s="106"/>
      <c r="DP912" s="106"/>
      <c r="DQ912" s="106"/>
      <c r="DR912" s="106"/>
      <c r="DS912" s="106"/>
      <c r="DT912" s="106"/>
      <c r="DU912" s="106"/>
      <c r="DV912" s="106"/>
      <c r="DW912" s="106"/>
      <c r="DX912" s="106"/>
      <c r="DY912" s="106"/>
      <c r="DZ912" s="106"/>
      <c r="EA912" s="106"/>
      <c r="EB912" s="106"/>
      <c r="EC912" s="106"/>
      <c r="ED912" s="106"/>
      <c r="EE912" s="106"/>
      <c r="EF912" s="106"/>
      <c r="EG912" s="106"/>
      <c r="EH912" s="106"/>
      <c r="EI912" s="106"/>
      <c r="EJ912" s="106"/>
      <c r="EK912" s="106"/>
      <c r="EL912" s="106"/>
      <c r="EM912" s="106"/>
      <c r="EN912" s="106"/>
      <c r="EO912" s="106"/>
      <c r="EP912" s="106"/>
      <c r="EQ912" s="106"/>
      <c r="ER912" s="106"/>
      <c r="ES912" s="106"/>
      <c r="ET912" s="106"/>
      <c r="EU912" s="106"/>
      <c r="EV912" s="106"/>
      <c r="EW912" s="106"/>
      <c r="EX912" s="106"/>
      <c r="EY912" s="106"/>
      <c r="EZ912" s="106"/>
      <c r="FA912" s="106"/>
      <c r="FB912" s="106"/>
      <c r="FC912" s="106"/>
      <c r="FD912" s="106"/>
      <c r="FE912" s="106"/>
      <c r="FF912" s="106"/>
      <c r="FG912" s="106"/>
      <c r="FH912" s="106"/>
      <c r="FI912" s="106"/>
      <c r="FJ912" s="106"/>
      <c r="FK912" s="106"/>
      <c r="FL912" s="106"/>
      <c r="FM912" s="106"/>
      <c r="FN912" s="106"/>
      <c r="FO912" s="106"/>
      <c r="FP912" s="106"/>
      <c r="FQ912" s="106"/>
      <c r="FR912" s="106"/>
      <c r="FS912" s="106"/>
      <c r="FT912" s="106"/>
      <c r="FU912" s="106"/>
    </row>
    <row r="913" spans="30:177" ht="6.95" customHeight="1" x14ac:dyDescent="0.15"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  <c r="BD913" s="93"/>
      <c r="BE913" s="93"/>
      <c r="BF913" s="93"/>
      <c r="BG913" s="93"/>
      <c r="BH913" s="93"/>
      <c r="BI913" s="93"/>
      <c r="BJ913" s="93"/>
      <c r="BK913" s="93"/>
      <c r="BL913" s="93"/>
      <c r="BM913" s="93"/>
      <c r="BN913" s="93"/>
      <c r="BO913" s="93"/>
      <c r="BP913" s="93"/>
      <c r="BQ913" s="93"/>
      <c r="BR913" s="93"/>
      <c r="BS913" s="93"/>
      <c r="BT913" s="93"/>
      <c r="BU913" s="93"/>
      <c r="BV913" s="93"/>
      <c r="BW913" s="93"/>
      <c r="BX913" s="93"/>
      <c r="BY913" s="93"/>
      <c r="BZ913" s="93"/>
      <c r="CA913" s="93"/>
      <c r="CB913" s="93"/>
      <c r="CC913" s="93"/>
      <c r="CD913" s="93"/>
      <c r="CE913" s="93"/>
      <c r="CF913" s="93"/>
      <c r="CG913" s="93"/>
      <c r="CH913" s="93"/>
      <c r="CI913" s="93"/>
      <c r="CJ913" s="93"/>
      <c r="CK913" s="93"/>
      <c r="CL913" s="93"/>
      <c r="CM913" s="93"/>
      <c r="CN913" s="93"/>
      <c r="CO913" s="93"/>
      <c r="CP913" s="93"/>
      <c r="CQ913" s="93"/>
      <c r="CR913" s="93"/>
      <c r="CS913" s="93"/>
      <c r="CT913" s="93"/>
      <c r="CU913" s="93"/>
      <c r="CV913" s="93"/>
      <c r="CW913" s="93"/>
      <c r="CX913" s="93"/>
      <c r="CY913" s="93"/>
      <c r="CZ913" s="106"/>
      <c r="DA913" s="106"/>
      <c r="DB913" s="106"/>
      <c r="DC913" s="106"/>
      <c r="DD913" s="106"/>
      <c r="DE913" s="106"/>
      <c r="DF913" s="106"/>
      <c r="DG913" s="106"/>
      <c r="DH913" s="106"/>
      <c r="DI913" s="106"/>
      <c r="DJ913" s="106"/>
      <c r="DK913" s="106"/>
      <c r="DL913" s="106"/>
      <c r="DM913" s="106"/>
      <c r="DN913" s="106"/>
      <c r="DO913" s="106"/>
      <c r="DP913" s="106"/>
      <c r="DQ913" s="106"/>
      <c r="DR913" s="106"/>
      <c r="DS913" s="106"/>
      <c r="DT913" s="106"/>
      <c r="DU913" s="106"/>
      <c r="DV913" s="106"/>
      <c r="DW913" s="106"/>
      <c r="DX913" s="106"/>
      <c r="DY913" s="106"/>
      <c r="DZ913" s="106"/>
      <c r="EA913" s="106"/>
      <c r="EB913" s="106"/>
      <c r="EC913" s="106"/>
      <c r="ED913" s="106"/>
      <c r="EE913" s="106"/>
      <c r="EF913" s="106"/>
      <c r="EG913" s="106"/>
      <c r="EH913" s="106"/>
      <c r="EI913" s="106"/>
      <c r="EJ913" s="106"/>
      <c r="EK913" s="106"/>
      <c r="EL913" s="106"/>
      <c r="EM913" s="106"/>
      <c r="EN913" s="106"/>
      <c r="EO913" s="106"/>
      <c r="EP913" s="106"/>
      <c r="EQ913" s="106"/>
      <c r="ER913" s="106"/>
      <c r="ES913" s="106"/>
      <c r="ET913" s="106"/>
      <c r="EU913" s="106"/>
      <c r="EV913" s="106"/>
      <c r="EW913" s="106"/>
      <c r="EX913" s="106"/>
      <c r="EY913" s="106"/>
      <c r="EZ913" s="106"/>
      <c r="FA913" s="106"/>
      <c r="FB913" s="106"/>
      <c r="FC913" s="106"/>
      <c r="FD913" s="106"/>
      <c r="FE913" s="106"/>
      <c r="FF913" s="106"/>
      <c r="FG913" s="106"/>
      <c r="FH913" s="106"/>
      <c r="FI913" s="106"/>
      <c r="FJ913" s="106"/>
      <c r="FK913" s="106"/>
      <c r="FL913" s="106"/>
      <c r="FM913" s="106"/>
      <c r="FN913" s="106"/>
      <c r="FO913" s="106"/>
      <c r="FP913" s="106"/>
      <c r="FQ913" s="106"/>
      <c r="FR913" s="106"/>
      <c r="FS913" s="106"/>
      <c r="FT913" s="106"/>
      <c r="FU913" s="106"/>
    </row>
    <row r="914" spans="30:177" ht="6.95" customHeight="1" x14ac:dyDescent="0.15"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3"/>
      <c r="BF914" s="93"/>
      <c r="BG914" s="93"/>
      <c r="BH914" s="93"/>
      <c r="BI914" s="93"/>
      <c r="BJ914" s="93"/>
      <c r="BK914" s="93"/>
      <c r="BL914" s="93"/>
      <c r="BM914" s="93"/>
      <c r="BN914" s="93"/>
      <c r="BO914" s="93"/>
      <c r="BP914" s="93"/>
      <c r="BQ914" s="93"/>
      <c r="BR914" s="93"/>
      <c r="BS914" s="93"/>
      <c r="BT914" s="93"/>
      <c r="BU914" s="93"/>
      <c r="BV914" s="93"/>
      <c r="BW914" s="93"/>
      <c r="BX914" s="93"/>
      <c r="BY914" s="93"/>
      <c r="BZ914" s="93"/>
      <c r="CA914" s="93"/>
      <c r="CB914" s="93"/>
      <c r="CC914" s="93"/>
      <c r="CD914" s="93"/>
      <c r="CE914" s="93"/>
      <c r="CF914" s="93"/>
      <c r="CG914" s="93"/>
      <c r="CH914" s="93"/>
      <c r="CI914" s="93"/>
      <c r="CJ914" s="93"/>
      <c r="CK914" s="93"/>
      <c r="CL914" s="93"/>
      <c r="CM914" s="93"/>
      <c r="CN914" s="93"/>
      <c r="CO914" s="93"/>
      <c r="CP914" s="93"/>
      <c r="CQ914" s="93"/>
      <c r="CR914" s="93"/>
      <c r="CS914" s="93"/>
      <c r="CT914" s="93"/>
      <c r="CU914" s="93"/>
      <c r="CV914" s="93"/>
      <c r="CW914" s="93"/>
      <c r="CX914" s="93"/>
      <c r="CY914" s="93"/>
      <c r="CZ914" s="106"/>
      <c r="DA914" s="106"/>
      <c r="DB914" s="106"/>
      <c r="DC914" s="106"/>
      <c r="DD914" s="106"/>
      <c r="DE914" s="106"/>
      <c r="DF914" s="106"/>
      <c r="DG914" s="106"/>
      <c r="DH914" s="106"/>
      <c r="DI914" s="106"/>
      <c r="DJ914" s="106"/>
      <c r="DK914" s="106"/>
      <c r="DL914" s="106"/>
      <c r="DM914" s="106"/>
      <c r="DN914" s="106"/>
      <c r="DO914" s="106"/>
      <c r="DP914" s="106"/>
      <c r="DQ914" s="106"/>
      <c r="DR914" s="106"/>
      <c r="DS914" s="106"/>
      <c r="DT914" s="106"/>
      <c r="DU914" s="106"/>
      <c r="DV914" s="106"/>
      <c r="DW914" s="106"/>
      <c r="DX914" s="106"/>
      <c r="DY914" s="106"/>
      <c r="DZ914" s="106"/>
      <c r="EA914" s="106"/>
      <c r="EB914" s="106"/>
      <c r="EC914" s="106"/>
      <c r="ED914" s="106"/>
      <c r="EE914" s="106"/>
      <c r="EF914" s="106"/>
      <c r="EG914" s="106"/>
      <c r="EH914" s="106"/>
      <c r="EI914" s="106"/>
      <c r="EJ914" s="106"/>
      <c r="EK914" s="106"/>
      <c r="EL914" s="106"/>
      <c r="EM914" s="106"/>
      <c r="EN914" s="106"/>
      <c r="EO914" s="106"/>
      <c r="EP914" s="106"/>
      <c r="EQ914" s="106"/>
      <c r="ER914" s="106"/>
      <c r="ES914" s="106"/>
      <c r="ET914" s="106"/>
      <c r="EU914" s="106"/>
      <c r="EV914" s="106"/>
      <c r="EW914" s="106"/>
      <c r="EX914" s="106"/>
      <c r="EY914" s="106"/>
      <c r="EZ914" s="106"/>
      <c r="FA914" s="106"/>
      <c r="FB914" s="106"/>
      <c r="FC914" s="106"/>
      <c r="FD914" s="106"/>
      <c r="FE914" s="106"/>
      <c r="FF914" s="106"/>
      <c r="FG914" s="106"/>
      <c r="FH914" s="106"/>
      <c r="FI914" s="106"/>
      <c r="FJ914" s="106"/>
      <c r="FK914" s="106"/>
      <c r="FL914" s="106"/>
      <c r="FM914" s="106"/>
      <c r="FN914" s="106"/>
      <c r="FO914" s="106"/>
      <c r="FP914" s="106"/>
      <c r="FQ914" s="106"/>
      <c r="FR914" s="106"/>
      <c r="FS914" s="106"/>
      <c r="FT914" s="106"/>
      <c r="FU914" s="106"/>
    </row>
    <row r="915" spans="30:177" ht="6.95" customHeight="1" x14ac:dyDescent="0.15"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  <c r="BD915" s="93"/>
      <c r="BE915" s="93"/>
      <c r="BF915" s="93"/>
      <c r="BG915" s="93"/>
      <c r="BH915" s="93"/>
      <c r="BI915" s="93"/>
      <c r="BJ915" s="93"/>
      <c r="BK915" s="93"/>
      <c r="BL915" s="93"/>
      <c r="BM915" s="93"/>
      <c r="BN915" s="93"/>
      <c r="BO915" s="93"/>
      <c r="BP915" s="93"/>
      <c r="BQ915" s="93"/>
      <c r="BR915" s="93"/>
      <c r="BS915" s="93"/>
      <c r="BT915" s="93"/>
      <c r="BU915" s="93"/>
      <c r="BV915" s="93"/>
      <c r="BW915" s="93"/>
      <c r="BX915" s="93"/>
      <c r="BY915" s="93"/>
      <c r="BZ915" s="93"/>
      <c r="CA915" s="93"/>
      <c r="CB915" s="93"/>
      <c r="CC915" s="93"/>
      <c r="CD915" s="93"/>
      <c r="CE915" s="93"/>
      <c r="CF915" s="93"/>
      <c r="CG915" s="93"/>
      <c r="CH915" s="93"/>
      <c r="CI915" s="93"/>
      <c r="CJ915" s="93"/>
      <c r="CK915" s="93"/>
      <c r="CL915" s="93"/>
      <c r="CM915" s="93"/>
      <c r="CN915" s="93"/>
      <c r="CO915" s="93"/>
      <c r="CP915" s="93"/>
      <c r="CQ915" s="93"/>
      <c r="CR915" s="93"/>
      <c r="CS915" s="93"/>
      <c r="CT915" s="93"/>
      <c r="CU915" s="93"/>
      <c r="CV915" s="93"/>
      <c r="CW915" s="93"/>
      <c r="CX915" s="93"/>
      <c r="CY915" s="93"/>
      <c r="CZ915" s="106"/>
      <c r="DA915" s="106"/>
      <c r="DB915" s="106"/>
      <c r="DC915" s="106"/>
      <c r="DD915" s="106"/>
      <c r="DE915" s="106"/>
      <c r="DF915" s="106"/>
      <c r="DG915" s="106"/>
      <c r="DH915" s="106"/>
      <c r="DI915" s="106"/>
      <c r="DJ915" s="106"/>
      <c r="DK915" s="106"/>
      <c r="DL915" s="106"/>
      <c r="DM915" s="106"/>
      <c r="DN915" s="106"/>
      <c r="DO915" s="106"/>
      <c r="DP915" s="106"/>
      <c r="DQ915" s="106"/>
      <c r="DR915" s="106"/>
      <c r="DS915" s="106"/>
      <c r="DT915" s="106"/>
      <c r="DU915" s="106"/>
      <c r="DV915" s="106"/>
      <c r="DW915" s="106"/>
      <c r="DX915" s="106"/>
      <c r="DY915" s="106"/>
      <c r="DZ915" s="106"/>
      <c r="EA915" s="106"/>
      <c r="EB915" s="106"/>
      <c r="EC915" s="106"/>
      <c r="ED915" s="106"/>
      <c r="EE915" s="106"/>
      <c r="EF915" s="106"/>
      <c r="EG915" s="106"/>
      <c r="EH915" s="106"/>
      <c r="EI915" s="106"/>
      <c r="EJ915" s="106"/>
      <c r="EK915" s="106"/>
      <c r="EL915" s="106"/>
      <c r="EM915" s="106"/>
      <c r="EN915" s="106"/>
      <c r="EO915" s="106"/>
      <c r="EP915" s="106"/>
      <c r="EQ915" s="106"/>
      <c r="ER915" s="106"/>
      <c r="ES915" s="106"/>
      <c r="ET915" s="106"/>
      <c r="EU915" s="106"/>
      <c r="EV915" s="106"/>
      <c r="EW915" s="106"/>
      <c r="EX915" s="106"/>
      <c r="EY915" s="106"/>
      <c r="EZ915" s="106"/>
      <c r="FA915" s="106"/>
      <c r="FB915" s="106"/>
      <c r="FC915" s="106"/>
      <c r="FD915" s="106"/>
      <c r="FE915" s="106"/>
      <c r="FF915" s="106"/>
      <c r="FG915" s="106"/>
      <c r="FH915" s="106"/>
      <c r="FI915" s="106"/>
      <c r="FJ915" s="106"/>
      <c r="FK915" s="106"/>
      <c r="FL915" s="106"/>
      <c r="FM915" s="106"/>
      <c r="FN915" s="106"/>
      <c r="FO915" s="106"/>
      <c r="FP915" s="106"/>
      <c r="FQ915" s="106"/>
      <c r="FR915" s="106"/>
      <c r="FS915" s="106"/>
      <c r="FT915" s="106"/>
      <c r="FU915" s="106"/>
    </row>
    <row r="916" spans="30:177" ht="6.95" customHeight="1" x14ac:dyDescent="0.15"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  <c r="AZ916" s="93"/>
      <c r="BA916" s="93"/>
      <c r="BB916" s="93"/>
      <c r="BC916" s="93"/>
      <c r="BD916" s="93"/>
      <c r="BE916" s="93"/>
      <c r="BF916" s="93"/>
      <c r="BG916" s="93"/>
      <c r="BH916" s="93"/>
      <c r="BI916" s="93"/>
      <c r="BJ916" s="93"/>
      <c r="BK916" s="93"/>
      <c r="BL916" s="93"/>
      <c r="BM916" s="93"/>
      <c r="BN916" s="93"/>
      <c r="BO916" s="93"/>
      <c r="BP916" s="93"/>
      <c r="BQ916" s="93"/>
      <c r="BR916" s="93"/>
      <c r="BS916" s="93"/>
      <c r="BT916" s="93"/>
      <c r="BU916" s="93"/>
      <c r="BV916" s="93"/>
      <c r="BW916" s="93"/>
      <c r="BX916" s="93"/>
      <c r="BY916" s="93"/>
      <c r="BZ916" s="93"/>
      <c r="CA916" s="93"/>
      <c r="CB916" s="93"/>
      <c r="CC916" s="93"/>
      <c r="CD916" s="93"/>
      <c r="CE916" s="93"/>
      <c r="CF916" s="93"/>
      <c r="CG916" s="93"/>
      <c r="CH916" s="93"/>
      <c r="CI916" s="93"/>
      <c r="CJ916" s="93"/>
      <c r="CK916" s="93"/>
      <c r="CL916" s="93"/>
      <c r="CM916" s="93"/>
      <c r="CN916" s="93"/>
      <c r="CO916" s="93"/>
      <c r="CP916" s="93"/>
      <c r="CQ916" s="93"/>
      <c r="CR916" s="93"/>
      <c r="CS916" s="93"/>
      <c r="CT916" s="93"/>
      <c r="CU916" s="93"/>
      <c r="CV916" s="93"/>
      <c r="CW916" s="93"/>
      <c r="CX916" s="93"/>
      <c r="CY916" s="93"/>
      <c r="CZ916" s="106"/>
      <c r="DA916" s="106"/>
      <c r="DB916" s="106"/>
      <c r="DC916" s="106"/>
      <c r="DD916" s="106"/>
      <c r="DE916" s="106"/>
      <c r="DF916" s="106"/>
      <c r="DG916" s="106"/>
      <c r="DH916" s="106"/>
      <c r="DI916" s="106"/>
      <c r="DJ916" s="106"/>
      <c r="DK916" s="106"/>
      <c r="DL916" s="106"/>
      <c r="DM916" s="106"/>
      <c r="DN916" s="106"/>
      <c r="DO916" s="106"/>
      <c r="DP916" s="106"/>
      <c r="DQ916" s="106"/>
      <c r="DR916" s="106"/>
      <c r="DS916" s="106"/>
      <c r="DT916" s="106"/>
      <c r="DU916" s="106"/>
      <c r="DV916" s="106"/>
      <c r="DW916" s="106"/>
      <c r="DX916" s="106"/>
      <c r="DY916" s="106"/>
      <c r="DZ916" s="106"/>
      <c r="EA916" s="106"/>
      <c r="EB916" s="106"/>
      <c r="EC916" s="106"/>
      <c r="ED916" s="106"/>
      <c r="EE916" s="106"/>
      <c r="EF916" s="106"/>
      <c r="EG916" s="106"/>
      <c r="EH916" s="106"/>
      <c r="EI916" s="106"/>
      <c r="EJ916" s="106"/>
      <c r="EK916" s="106"/>
      <c r="EL916" s="106"/>
      <c r="EM916" s="106"/>
      <c r="EN916" s="106"/>
      <c r="EO916" s="106"/>
      <c r="EP916" s="106"/>
      <c r="EQ916" s="106"/>
      <c r="ER916" s="106"/>
      <c r="ES916" s="106"/>
      <c r="ET916" s="106"/>
      <c r="EU916" s="106"/>
      <c r="EV916" s="106"/>
      <c r="EW916" s="106"/>
      <c r="EX916" s="106"/>
      <c r="EY916" s="106"/>
      <c r="EZ916" s="106"/>
      <c r="FA916" s="106"/>
      <c r="FB916" s="106"/>
      <c r="FC916" s="106"/>
      <c r="FD916" s="106"/>
      <c r="FE916" s="106"/>
      <c r="FF916" s="106"/>
      <c r="FG916" s="106"/>
      <c r="FH916" s="106"/>
      <c r="FI916" s="106"/>
      <c r="FJ916" s="106"/>
      <c r="FK916" s="106"/>
      <c r="FL916" s="106"/>
      <c r="FM916" s="106"/>
      <c r="FN916" s="106"/>
      <c r="FO916" s="106"/>
      <c r="FP916" s="106"/>
      <c r="FQ916" s="106"/>
      <c r="FR916" s="106"/>
      <c r="FS916" s="106"/>
      <c r="FT916" s="106"/>
      <c r="FU916" s="106"/>
    </row>
    <row r="917" spans="30:177" ht="6.95" customHeight="1" x14ac:dyDescent="0.15"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3"/>
      <c r="BF917" s="93"/>
      <c r="BG917" s="93"/>
      <c r="BH917" s="93"/>
      <c r="BI917" s="93"/>
      <c r="BJ917" s="93"/>
      <c r="BK917" s="93"/>
      <c r="BL917" s="93"/>
      <c r="BM917" s="93"/>
      <c r="BN917" s="93"/>
      <c r="BO917" s="93"/>
      <c r="BP917" s="93"/>
      <c r="BQ917" s="93"/>
      <c r="BR917" s="93"/>
      <c r="BS917" s="93"/>
      <c r="BT917" s="93"/>
      <c r="BU917" s="93"/>
      <c r="BV917" s="93"/>
      <c r="BW917" s="93"/>
      <c r="BX917" s="93"/>
      <c r="BY917" s="93"/>
      <c r="BZ917" s="93"/>
      <c r="CA917" s="93"/>
      <c r="CB917" s="93"/>
      <c r="CC917" s="93"/>
      <c r="CD917" s="93"/>
      <c r="CE917" s="93"/>
      <c r="CF917" s="93"/>
      <c r="CG917" s="93"/>
      <c r="CH917" s="93"/>
      <c r="CI917" s="93"/>
      <c r="CJ917" s="93"/>
      <c r="CK917" s="93"/>
      <c r="CL917" s="93"/>
      <c r="CM917" s="93"/>
      <c r="CN917" s="93"/>
      <c r="CO917" s="93"/>
      <c r="CP917" s="93"/>
      <c r="CQ917" s="93"/>
      <c r="CR917" s="93"/>
      <c r="CS917" s="93"/>
      <c r="CT917" s="93"/>
      <c r="CU917" s="93"/>
      <c r="CV917" s="93"/>
      <c r="CW917" s="93"/>
      <c r="CX917" s="93"/>
      <c r="CY917" s="93"/>
      <c r="CZ917" s="106"/>
      <c r="DA917" s="106"/>
      <c r="DB917" s="106"/>
      <c r="DC917" s="106"/>
      <c r="DD917" s="106"/>
      <c r="DE917" s="106"/>
      <c r="DF917" s="106"/>
      <c r="DG917" s="106"/>
      <c r="DH917" s="106"/>
      <c r="DI917" s="106"/>
      <c r="DJ917" s="106"/>
      <c r="DK917" s="106"/>
      <c r="DL917" s="106"/>
      <c r="DM917" s="106"/>
      <c r="DN917" s="106"/>
      <c r="DO917" s="106"/>
      <c r="DP917" s="106"/>
      <c r="DQ917" s="106"/>
      <c r="DR917" s="106"/>
      <c r="DS917" s="106"/>
      <c r="DT917" s="106"/>
      <c r="DU917" s="106"/>
      <c r="DV917" s="106"/>
      <c r="DW917" s="106"/>
      <c r="DX917" s="106"/>
      <c r="DY917" s="106"/>
      <c r="DZ917" s="106"/>
      <c r="EA917" s="106"/>
      <c r="EB917" s="106"/>
      <c r="EC917" s="106"/>
      <c r="ED917" s="106"/>
      <c r="EE917" s="106"/>
      <c r="EF917" s="106"/>
      <c r="EG917" s="106"/>
      <c r="EH917" s="106"/>
      <c r="EI917" s="106"/>
      <c r="EJ917" s="106"/>
      <c r="EK917" s="106"/>
      <c r="EL917" s="106"/>
      <c r="EM917" s="106"/>
      <c r="EN917" s="106"/>
      <c r="EO917" s="106"/>
      <c r="EP917" s="106"/>
      <c r="EQ917" s="106"/>
      <c r="ER917" s="106"/>
      <c r="ES917" s="106"/>
      <c r="ET917" s="106"/>
      <c r="EU917" s="106"/>
      <c r="EV917" s="106"/>
      <c r="EW917" s="106"/>
      <c r="EX917" s="106"/>
      <c r="EY917" s="106"/>
      <c r="EZ917" s="106"/>
      <c r="FA917" s="106"/>
      <c r="FB917" s="106"/>
      <c r="FC917" s="106"/>
      <c r="FD917" s="106"/>
      <c r="FE917" s="106"/>
      <c r="FF917" s="106"/>
      <c r="FG917" s="106"/>
      <c r="FH917" s="106"/>
      <c r="FI917" s="106"/>
      <c r="FJ917" s="106"/>
      <c r="FK917" s="106"/>
      <c r="FL917" s="106"/>
      <c r="FM917" s="106"/>
      <c r="FN917" s="106"/>
      <c r="FO917" s="106"/>
      <c r="FP917" s="106"/>
      <c r="FQ917" s="106"/>
      <c r="FR917" s="106"/>
      <c r="FS917" s="106"/>
      <c r="FT917" s="106"/>
      <c r="FU917" s="106"/>
    </row>
    <row r="918" spans="30:177" ht="6.95" customHeight="1" x14ac:dyDescent="0.15"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  <c r="BD918" s="93"/>
      <c r="BE918" s="93"/>
      <c r="BF918" s="93"/>
      <c r="BG918" s="93"/>
      <c r="BH918" s="93"/>
      <c r="BI918" s="93"/>
      <c r="BJ918" s="93"/>
      <c r="BK918" s="93"/>
      <c r="BL918" s="93"/>
      <c r="BM918" s="93"/>
      <c r="BN918" s="93"/>
      <c r="BO918" s="93"/>
      <c r="BP918" s="93"/>
      <c r="BQ918" s="93"/>
      <c r="BR918" s="93"/>
      <c r="BS918" s="93"/>
      <c r="BT918" s="93"/>
      <c r="BU918" s="93"/>
      <c r="BV918" s="93"/>
      <c r="BW918" s="93"/>
      <c r="BX918" s="93"/>
      <c r="BY918" s="93"/>
      <c r="BZ918" s="93"/>
      <c r="CA918" s="93"/>
      <c r="CB918" s="93"/>
      <c r="CC918" s="93"/>
      <c r="CD918" s="93"/>
      <c r="CE918" s="93"/>
      <c r="CF918" s="93"/>
      <c r="CG918" s="93"/>
      <c r="CH918" s="93"/>
      <c r="CI918" s="93"/>
      <c r="CJ918" s="93"/>
      <c r="CK918" s="93"/>
      <c r="CL918" s="93"/>
      <c r="CM918" s="93"/>
      <c r="CN918" s="93"/>
      <c r="CO918" s="93"/>
      <c r="CP918" s="93"/>
      <c r="CQ918" s="93"/>
      <c r="CR918" s="93"/>
      <c r="CS918" s="93"/>
      <c r="CT918" s="93"/>
      <c r="CU918" s="93"/>
      <c r="CV918" s="93"/>
      <c r="CW918" s="93"/>
      <c r="CX918" s="93"/>
      <c r="CY918" s="93"/>
      <c r="CZ918" s="106"/>
      <c r="DA918" s="106"/>
      <c r="DB918" s="106"/>
      <c r="DC918" s="106"/>
      <c r="DD918" s="106"/>
      <c r="DE918" s="106"/>
      <c r="DF918" s="106"/>
      <c r="DG918" s="106"/>
      <c r="DH918" s="106"/>
      <c r="DI918" s="106"/>
      <c r="DJ918" s="106"/>
      <c r="DK918" s="106"/>
      <c r="DL918" s="106"/>
      <c r="DM918" s="106"/>
      <c r="DN918" s="106"/>
      <c r="DO918" s="106"/>
      <c r="DP918" s="106"/>
      <c r="DQ918" s="106"/>
      <c r="DR918" s="106"/>
      <c r="DS918" s="106"/>
      <c r="DT918" s="106"/>
      <c r="DU918" s="106"/>
      <c r="DV918" s="106"/>
      <c r="DW918" s="106"/>
      <c r="DX918" s="106"/>
      <c r="DY918" s="106"/>
      <c r="DZ918" s="106"/>
      <c r="EA918" s="106"/>
      <c r="EB918" s="106"/>
      <c r="EC918" s="106"/>
      <c r="ED918" s="106"/>
      <c r="EE918" s="106"/>
      <c r="EF918" s="106"/>
      <c r="EG918" s="106"/>
      <c r="EH918" s="106"/>
      <c r="EI918" s="106"/>
      <c r="EJ918" s="106"/>
      <c r="EK918" s="106"/>
      <c r="EL918" s="106"/>
      <c r="EM918" s="106"/>
      <c r="EN918" s="106"/>
      <c r="EO918" s="106"/>
      <c r="EP918" s="106"/>
      <c r="EQ918" s="106"/>
      <c r="ER918" s="106"/>
      <c r="ES918" s="106"/>
      <c r="ET918" s="106"/>
      <c r="EU918" s="106"/>
      <c r="EV918" s="106"/>
      <c r="EW918" s="106"/>
      <c r="EX918" s="106"/>
      <c r="EY918" s="106"/>
      <c r="EZ918" s="106"/>
      <c r="FA918" s="106"/>
      <c r="FB918" s="106"/>
      <c r="FC918" s="106"/>
      <c r="FD918" s="106"/>
      <c r="FE918" s="106"/>
      <c r="FF918" s="106"/>
      <c r="FG918" s="106"/>
      <c r="FH918" s="106"/>
      <c r="FI918" s="106"/>
      <c r="FJ918" s="106"/>
      <c r="FK918" s="106"/>
      <c r="FL918" s="106"/>
      <c r="FM918" s="106"/>
      <c r="FN918" s="106"/>
      <c r="FO918" s="106"/>
      <c r="FP918" s="106"/>
      <c r="FQ918" s="106"/>
      <c r="FR918" s="106"/>
      <c r="FS918" s="106"/>
      <c r="FT918" s="106"/>
      <c r="FU918" s="106"/>
    </row>
    <row r="919" spans="30:177" ht="6.95" customHeight="1" x14ac:dyDescent="0.15"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  <c r="BD919" s="93"/>
      <c r="BE919" s="93"/>
      <c r="BF919" s="93"/>
      <c r="BG919" s="93"/>
      <c r="BH919" s="93"/>
      <c r="BI919" s="93"/>
      <c r="BJ919" s="93"/>
      <c r="BK919" s="93"/>
      <c r="BL919" s="93"/>
      <c r="BM919" s="93"/>
      <c r="BN919" s="93"/>
      <c r="BO919" s="93"/>
      <c r="BP919" s="93"/>
      <c r="BQ919" s="93"/>
      <c r="BR919" s="93"/>
      <c r="BS919" s="93"/>
      <c r="BT919" s="93"/>
      <c r="BU919" s="93"/>
      <c r="BV919" s="93"/>
      <c r="BW919" s="93"/>
      <c r="BX919" s="93"/>
      <c r="BY919" s="93"/>
      <c r="BZ919" s="93"/>
      <c r="CA919" s="93"/>
      <c r="CB919" s="93"/>
      <c r="CC919" s="93"/>
      <c r="CD919" s="93"/>
      <c r="CE919" s="93"/>
      <c r="CF919" s="93"/>
      <c r="CG919" s="93"/>
      <c r="CH919" s="93"/>
      <c r="CI919" s="93"/>
      <c r="CJ919" s="93"/>
      <c r="CK919" s="93"/>
      <c r="CL919" s="93"/>
      <c r="CM919" s="93"/>
      <c r="CN919" s="93"/>
      <c r="CO919" s="93"/>
      <c r="CP919" s="93"/>
      <c r="CQ919" s="93"/>
      <c r="CR919" s="93"/>
      <c r="CS919" s="93"/>
      <c r="CT919" s="93"/>
      <c r="CU919" s="93"/>
      <c r="CV919" s="93"/>
      <c r="CW919" s="93"/>
      <c r="CX919" s="93"/>
      <c r="CY919" s="93"/>
      <c r="CZ919" s="106"/>
      <c r="DA919" s="106"/>
      <c r="DB919" s="106"/>
      <c r="DC919" s="106"/>
      <c r="DD919" s="106"/>
      <c r="DE919" s="106"/>
      <c r="DF919" s="106"/>
      <c r="DG919" s="106"/>
      <c r="DH919" s="106"/>
      <c r="DI919" s="106"/>
      <c r="DJ919" s="106"/>
      <c r="DK919" s="106"/>
      <c r="DL919" s="106"/>
      <c r="DM919" s="106"/>
      <c r="DN919" s="106"/>
      <c r="DO919" s="106"/>
      <c r="DP919" s="106"/>
      <c r="DQ919" s="106"/>
      <c r="DR919" s="106"/>
      <c r="DS919" s="106"/>
      <c r="DT919" s="106"/>
      <c r="DU919" s="106"/>
      <c r="DV919" s="106"/>
      <c r="DW919" s="106"/>
      <c r="DX919" s="106"/>
      <c r="DY919" s="106"/>
      <c r="DZ919" s="106"/>
      <c r="EA919" s="106"/>
      <c r="EB919" s="106"/>
      <c r="EC919" s="106"/>
      <c r="ED919" s="106"/>
      <c r="EE919" s="106"/>
      <c r="EF919" s="106"/>
      <c r="EG919" s="106"/>
      <c r="EH919" s="106"/>
      <c r="EI919" s="106"/>
      <c r="EJ919" s="106"/>
      <c r="EK919" s="106"/>
      <c r="EL919" s="106"/>
      <c r="EM919" s="106"/>
      <c r="EN919" s="106"/>
      <c r="EO919" s="106"/>
      <c r="EP919" s="106"/>
      <c r="EQ919" s="106"/>
      <c r="ER919" s="106"/>
      <c r="ES919" s="106"/>
      <c r="ET919" s="106"/>
      <c r="EU919" s="106"/>
      <c r="EV919" s="106"/>
      <c r="EW919" s="106"/>
      <c r="EX919" s="106"/>
      <c r="EY919" s="106"/>
      <c r="EZ919" s="106"/>
      <c r="FA919" s="106"/>
      <c r="FB919" s="106"/>
      <c r="FC919" s="106"/>
      <c r="FD919" s="106"/>
      <c r="FE919" s="106"/>
      <c r="FF919" s="106"/>
      <c r="FG919" s="106"/>
      <c r="FH919" s="106"/>
      <c r="FI919" s="106"/>
      <c r="FJ919" s="106"/>
      <c r="FK919" s="106"/>
      <c r="FL919" s="106"/>
      <c r="FM919" s="106"/>
      <c r="FN919" s="106"/>
      <c r="FO919" s="106"/>
      <c r="FP919" s="106"/>
      <c r="FQ919" s="106"/>
      <c r="FR919" s="106"/>
      <c r="FS919" s="106"/>
      <c r="FT919" s="106"/>
      <c r="FU919" s="106"/>
    </row>
    <row r="920" spans="30:177" ht="6.95" customHeight="1" x14ac:dyDescent="0.15"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3"/>
      <c r="BF920" s="93"/>
      <c r="BG920" s="93"/>
      <c r="BH920" s="93"/>
      <c r="BI920" s="93"/>
      <c r="BJ920" s="93"/>
      <c r="BK920" s="93"/>
      <c r="BL920" s="93"/>
      <c r="BM920" s="93"/>
      <c r="BN920" s="93"/>
      <c r="BO920" s="93"/>
      <c r="BP920" s="93"/>
      <c r="BQ920" s="93"/>
      <c r="BR920" s="93"/>
      <c r="BS920" s="93"/>
      <c r="BT920" s="93"/>
      <c r="BU920" s="93"/>
      <c r="BV920" s="93"/>
      <c r="BW920" s="93"/>
      <c r="BX920" s="93"/>
      <c r="BY920" s="93"/>
      <c r="BZ920" s="93"/>
      <c r="CA920" s="93"/>
      <c r="CB920" s="93"/>
      <c r="CC920" s="93"/>
      <c r="CD920" s="93"/>
      <c r="CE920" s="93"/>
      <c r="CF920" s="93"/>
      <c r="CG920" s="93"/>
      <c r="CH920" s="93"/>
      <c r="CI920" s="93"/>
      <c r="CJ920" s="93"/>
      <c r="CK920" s="93"/>
      <c r="CL920" s="93"/>
      <c r="CM920" s="93"/>
      <c r="CN920" s="93"/>
      <c r="CO920" s="93"/>
      <c r="CP920" s="93"/>
      <c r="CQ920" s="93"/>
      <c r="CR920" s="93"/>
      <c r="CS920" s="93"/>
      <c r="CT920" s="93"/>
      <c r="CU920" s="93"/>
      <c r="CV920" s="93"/>
      <c r="CW920" s="93"/>
      <c r="CX920" s="93"/>
      <c r="CY920" s="93"/>
      <c r="CZ920" s="106"/>
      <c r="DA920" s="106"/>
      <c r="DB920" s="106"/>
      <c r="DC920" s="106"/>
      <c r="DD920" s="106"/>
      <c r="DE920" s="106"/>
      <c r="DF920" s="106"/>
      <c r="DG920" s="106"/>
      <c r="DH920" s="106"/>
      <c r="DI920" s="106"/>
      <c r="DJ920" s="106"/>
      <c r="DK920" s="106"/>
      <c r="DL920" s="106"/>
      <c r="DM920" s="106"/>
      <c r="DN920" s="106"/>
      <c r="DO920" s="106"/>
      <c r="DP920" s="106"/>
      <c r="DQ920" s="106"/>
      <c r="DR920" s="106"/>
      <c r="DS920" s="106"/>
      <c r="DT920" s="106"/>
      <c r="DU920" s="106"/>
      <c r="DV920" s="106"/>
      <c r="DW920" s="106"/>
      <c r="DX920" s="106"/>
      <c r="DY920" s="106"/>
      <c r="DZ920" s="106"/>
      <c r="EA920" s="106"/>
      <c r="EB920" s="106"/>
      <c r="EC920" s="106"/>
      <c r="ED920" s="106"/>
      <c r="EE920" s="106"/>
      <c r="EF920" s="106"/>
      <c r="EG920" s="106"/>
      <c r="EH920" s="106"/>
      <c r="EI920" s="106"/>
      <c r="EJ920" s="106"/>
      <c r="EK920" s="106"/>
      <c r="EL920" s="106"/>
      <c r="EM920" s="106"/>
      <c r="EN920" s="106"/>
      <c r="EO920" s="106"/>
      <c r="EP920" s="106"/>
      <c r="EQ920" s="106"/>
      <c r="ER920" s="106"/>
      <c r="ES920" s="106"/>
      <c r="ET920" s="106"/>
      <c r="EU920" s="106"/>
      <c r="EV920" s="106"/>
      <c r="EW920" s="106"/>
      <c r="EX920" s="106"/>
      <c r="EY920" s="106"/>
      <c r="EZ920" s="106"/>
      <c r="FA920" s="106"/>
      <c r="FB920" s="106"/>
      <c r="FC920" s="106"/>
      <c r="FD920" s="106"/>
      <c r="FE920" s="106"/>
      <c r="FF920" s="106"/>
      <c r="FG920" s="106"/>
      <c r="FH920" s="106"/>
      <c r="FI920" s="106"/>
      <c r="FJ920" s="106"/>
      <c r="FK920" s="106"/>
      <c r="FL920" s="106"/>
      <c r="FM920" s="106"/>
      <c r="FN920" s="106"/>
      <c r="FO920" s="106"/>
      <c r="FP920" s="106"/>
      <c r="FQ920" s="106"/>
      <c r="FR920" s="106"/>
      <c r="FS920" s="106"/>
      <c r="FT920" s="106"/>
      <c r="FU920" s="106"/>
    </row>
    <row r="921" spans="30:177" ht="6.95" customHeight="1" x14ac:dyDescent="0.15"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  <c r="BD921" s="93"/>
      <c r="BE921" s="93"/>
      <c r="BF921" s="93"/>
      <c r="BG921" s="93"/>
      <c r="BH921" s="93"/>
      <c r="BI921" s="93"/>
      <c r="BJ921" s="93"/>
      <c r="BK921" s="93"/>
      <c r="BL921" s="93"/>
      <c r="BM921" s="93"/>
      <c r="BN921" s="93"/>
      <c r="BO921" s="93"/>
      <c r="BP921" s="93"/>
      <c r="BQ921" s="93"/>
      <c r="BR921" s="93"/>
      <c r="BS921" s="93"/>
      <c r="BT921" s="93"/>
      <c r="BU921" s="93"/>
      <c r="BV921" s="93"/>
      <c r="BW921" s="93"/>
      <c r="BX921" s="93"/>
      <c r="BY921" s="93"/>
      <c r="BZ921" s="93"/>
      <c r="CA921" s="93"/>
      <c r="CB921" s="93"/>
      <c r="CC921" s="93"/>
      <c r="CD921" s="93"/>
      <c r="CE921" s="93"/>
      <c r="CF921" s="93"/>
      <c r="CG921" s="93"/>
      <c r="CH921" s="93"/>
      <c r="CI921" s="93"/>
      <c r="CJ921" s="93"/>
      <c r="CK921" s="93"/>
      <c r="CL921" s="93"/>
      <c r="CM921" s="93"/>
      <c r="CN921" s="93"/>
      <c r="CO921" s="93"/>
      <c r="CP921" s="93"/>
      <c r="CQ921" s="93"/>
      <c r="CR921" s="93"/>
      <c r="CS921" s="93"/>
      <c r="CT921" s="93"/>
      <c r="CU921" s="93"/>
      <c r="CV921" s="93"/>
      <c r="CW921" s="93"/>
      <c r="CX921" s="93"/>
      <c r="CY921" s="93"/>
      <c r="CZ921" s="106"/>
      <c r="DA921" s="106"/>
      <c r="DB921" s="106"/>
      <c r="DC921" s="106"/>
      <c r="DD921" s="106"/>
      <c r="DE921" s="106"/>
      <c r="DF921" s="106"/>
      <c r="DG921" s="106"/>
      <c r="DH921" s="106"/>
      <c r="DI921" s="106"/>
      <c r="DJ921" s="106"/>
      <c r="DK921" s="106"/>
      <c r="DL921" s="106"/>
      <c r="DM921" s="106"/>
      <c r="DN921" s="106"/>
      <c r="DO921" s="106"/>
      <c r="DP921" s="106"/>
      <c r="DQ921" s="106"/>
      <c r="DR921" s="106"/>
      <c r="DS921" s="106"/>
      <c r="DT921" s="106"/>
      <c r="DU921" s="106"/>
      <c r="DV921" s="106"/>
      <c r="DW921" s="106"/>
      <c r="DX921" s="106"/>
      <c r="DY921" s="106"/>
      <c r="DZ921" s="106"/>
      <c r="EA921" s="106"/>
      <c r="EB921" s="106"/>
      <c r="EC921" s="106"/>
      <c r="ED921" s="106"/>
      <c r="EE921" s="106"/>
      <c r="EF921" s="106"/>
      <c r="EG921" s="106"/>
      <c r="EH921" s="106"/>
      <c r="EI921" s="106"/>
      <c r="EJ921" s="106"/>
      <c r="EK921" s="106"/>
      <c r="EL921" s="106"/>
      <c r="EM921" s="106"/>
      <c r="EN921" s="106"/>
      <c r="EO921" s="106"/>
      <c r="EP921" s="106"/>
      <c r="EQ921" s="106"/>
      <c r="ER921" s="106"/>
      <c r="ES921" s="106"/>
      <c r="ET921" s="106"/>
      <c r="EU921" s="106"/>
      <c r="EV921" s="106"/>
      <c r="EW921" s="106"/>
      <c r="EX921" s="106"/>
      <c r="EY921" s="106"/>
      <c r="EZ921" s="106"/>
      <c r="FA921" s="106"/>
      <c r="FB921" s="106"/>
      <c r="FC921" s="106"/>
      <c r="FD921" s="106"/>
      <c r="FE921" s="106"/>
      <c r="FF921" s="106"/>
      <c r="FG921" s="106"/>
      <c r="FH921" s="106"/>
      <c r="FI921" s="106"/>
      <c r="FJ921" s="106"/>
      <c r="FK921" s="106"/>
      <c r="FL921" s="106"/>
      <c r="FM921" s="106"/>
      <c r="FN921" s="106"/>
      <c r="FO921" s="106"/>
      <c r="FP921" s="106"/>
      <c r="FQ921" s="106"/>
      <c r="FR921" s="106"/>
      <c r="FS921" s="106"/>
      <c r="FT921" s="106"/>
      <c r="FU921" s="106"/>
    </row>
    <row r="922" spans="30:177" ht="6.95" customHeight="1" x14ac:dyDescent="0.15"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  <c r="BD922" s="93"/>
      <c r="BE922" s="93"/>
      <c r="BF922" s="93"/>
      <c r="BG922" s="93"/>
      <c r="BH922" s="93"/>
      <c r="BI922" s="93"/>
      <c r="BJ922" s="93"/>
      <c r="BK922" s="93"/>
      <c r="BL922" s="93"/>
      <c r="BM922" s="93"/>
      <c r="BN922" s="93"/>
      <c r="BO922" s="93"/>
      <c r="BP922" s="93"/>
      <c r="BQ922" s="93"/>
      <c r="BR922" s="93"/>
      <c r="BS922" s="93"/>
      <c r="BT922" s="93"/>
      <c r="BU922" s="93"/>
      <c r="BV922" s="93"/>
      <c r="BW922" s="93"/>
      <c r="BX922" s="93"/>
      <c r="BY922" s="93"/>
      <c r="BZ922" s="93"/>
      <c r="CA922" s="93"/>
      <c r="CB922" s="93"/>
      <c r="CC922" s="93"/>
      <c r="CD922" s="93"/>
      <c r="CE922" s="93"/>
      <c r="CF922" s="93"/>
      <c r="CG922" s="93"/>
      <c r="CH922" s="93"/>
      <c r="CI922" s="93"/>
      <c r="CJ922" s="93"/>
      <c r="CK922" s="93"/>
      <c r="CL922" s="93"/>
      <c r="CM922" s="93"/>
      <c r="CN922" s="93"/>
      <c r="CO922" s="93"/>
      <c r="CP922" s="93"/>
      <c r="CQ922" s="93"/>
      <c r="CR922" s="93"/>
      <c r="CS922" s="93"/>
      <c r="CT922" s="93"/>
      <c r="CU922" s="93"/>
      <c r="CV922" s="93"/>
      <c r="CW922" s="93"/>
      <c r="CX922" s="93"/>
      <c r="CY922" s="93"/>
      <c r="CZ922" s="106"/>
      <c r="DA922" s="106"/>
      <c r="DB922" s="106"/>
      <c r="DC922" s="106"/>
      <c r="DD922" s="106"/>
      <c r="DE922" s="106"/>
      <c r="DF922" s="106"/>
      <c r="DG922" s="106"/>
      <c r="DH922" s="106"/>
      <c r="DI922" s="106"/>
      <c r="DJ922" s="106"/>
      <c r="DK922" s="106"/>
      <c r="DL922" s="106"/>
      <c r="DM922" s="106"/>
      <c r="DN922" s="106"/>
      <c r="DO922" s="106"/>
      <c r="DP922" s="106"/>
      <c r="DQ922" s="106"/>
      <c r="DR922" s="106"/>
      <c r="DS922" s="106"/>
      <c r="DT922" s="106"/>
      <c r="DU922" s="106"/>
      <c r="DV922" s="106"/>
      <c r="DW922" s="106"/>
      <c r="DX922" s="106"/>
      <c r="DY922" s="106"/>
      <c r="DZ922" s="106"/>
      <c r="EA922" s="106"/>
      <c r="EB922" s="106"/>
      <c r="EC922" s="106"/>
      <c r="ED922" s="106"/>
      <c r="EE922" s="106"/>
      <c r="EF922" s="106"/>
      <c r="EG922" s="106"/>
      <c r="EH922" s="106"/>
      <c r="EI922" s="106"/>
      <c r="EJ922" s="106"/>
      <c r="EK922" s="106"/>
      <c r="EL922" s="106"/>
      <c r="EM922" s="106"/>
      <c r="EN922" s="106"/>
      <c r="EO922" s="106"/>
      <c r="EP922" s="106"/>
      <c r="EQ922" s="106"/>
      <c r="ER922" s="106"/>
      <c r="ES922" s="106"/>
      <c r="ET922" s="106"/>
      <c r="EU922" s="106"/>
      <c r="EV922" s="106"/>
      <c r="EW922" s="106"/>
      <c r="EX922" s="106"/>
      <c r="EY922" s="106"/>
      <c r="EZ922" s="106"/>
      <c r="FA922" s="106"/>
      <c r="FB922" s="106"/>
      <c r="FC922" s="106"/>
      <c r="FD922" s="106"/>
      <c r="FE922" s="106"/>
      <c r="FF922" s="106"/>
      <c r="FG922" s="106"/>
      <c r="FH922" s="106"/>
      <c r="FI922" s="106"/>
      <c r="FJ922" s="106"/>
      <c r="FK922" s="106"/>
      <c r="FL922" s="106"/>
      <c r="FM922" s="106"/>
      <c r="FN922" s="106"/>
      <c r="FO922" s="106"/>
      <c r="FP922" s="106"/>
      <c r="FQ922" s="106"/>
      <c r="FR922" s="106"/>
      <c r="FS922" s="106"/>
      <c r="FT922" s="106"/>
      <c r="FU922" s="106"/>
    </row>
    <row r="923" spans="30:177" ht="6.95" customHeight="1" x14ac:dyDescent="0.15"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3"/>
      <c r="BF923" s="93"/>
      <c r="BG923" s="93"/>
      <c r="BH923" s="93"/>
      <c r="BI923" s="93"/>
      <c r="BJ923" s="93"/>
      <c r="BK923" s="93"/>
      <c r="BL923" s="93"/>
      <c r="BM923" s="93"/>
      <c r="BN923" s="93"/>
      <c r="BO923" s="93"/>
      <c r="BP923" s="93"/>
      <c r="BQ923" s="93"/>
      <c r="BR923" s="93"/>
      <c r="BS923" s="93"/>
      <c r="BT923" s="93"/>
      <c r="BU923" s="93"/>
      <c r="BV923" s="93"/>
      <c r="BW923" s="93"/>
      <c r="BX923" s="93"/>
      <c r="BY923" s="93"/>
      <c r="BZ923" s="93"/>
      <c r="CA923" s="93"/>
      <c r="CB923" s="93"/>
      <c r="CC923" s="93"/>
      <c r="CD923" s="93"/>
      <c r="CE923" s="93"/>
      <c r="CF923" s="93"/>
      <c r="CG923" s="93"/>
      <c r="CH923" s="93"/>
      <c r="CI923" s="93"/>
      <c r="CJ923" s="93"/>
      <c r="CK923" s="93"/>
      <c r="CL923" s="93"/>
      <c r="CM923" s="93"/>
      <c r="CN923" s="93"/>
      <c r="CO923" s="93"/>
      <c r="CP923" s="93"/>
      <c r="CQ923" s="93"/>
      <c r="CR923" s="93"/>
      <c r="CS923" s="93"/>
      <c r="CT923" s="93"/>
      <c r="CU923" s="93"/>
      <c r="CV923" s="93"/>
      <c r="CW923" s="93"/>
      <c r="CX923" s="93"/>
      <c r="CY923" s="93"/>
      <c r="CZ923" s="106"/>
      <c r="DA923" s="106"/>
      <c r="DB923" s="106"/>
      <c r="DC923" s="106"/>
      <c r="DD923" s="106"/>
      <c r="DE923" s="106"/>
      <c r="DF923" s="106"/>
      <c r="DG923" s="106"/>
      <c r="DH923" s="106"/>
      <c r="DI923" s="106"/>
      <c r="DJ923" s="106"/>
      <c r="DK923" s="106"/>
      <c r="DL923" s="106"/>
      <c r="DM923" s="106"/>
      <c r="DN923" s="106"/>
      <c r="DO923" s="106"/>
      <c r="DP923" s="106"/>
      <c r="DQ923" s="106"/>
      <c r="DR923" s="106"/>
      <c r="DS923" s="106"/>
      <c r="DT923" s="106"/>
      <c r="DU923" s="106"/>
      <c r="DV923" s="106"/>
      <c r="DW923" s="106"/>
      <c r="DX923" s="106"/>
      <c r="DY923" s="106"/>
      <c r="DZ923" s="106"/>
      <c r="EA923" s="106"/>
      <c r="EB923" s="106"/>
      <c r="EC923" s="106"/>
      <c r="ED923" s="106"/>
      <c r="EE923" s="106"/>
      <c r="EF923" s="106"/>
      <c r="EG923" s="106"/>
      <c r="EH923" s="106"/>
      <c r="EI923" s="106"/>
      <c r="EJ923" s="106"/>
      <c r="EK923" s="106"/>
      <c r="EL923" s="106"/>
      <c r="EM923" s="106"/>
      <c r="EN923" s="106"/>
      <c r="EO923" s="106"/>
      <c r="EP923" s="106"/>
      <c r="EQ923" s="106"/>
      <c r="ER923" s="106"/>
      <c r="ES923" s="106"/>
      <c r="ET923" s="106"/>
      <c r="EU923" s="106"/>
      <c r="EV923" s="106"/>
      <c r="EW923" s="106"/>
      <c r="EX923" s="106"/>
      <c r="EY923" s="106"/>
      <c r="EZ923" s="106"/>
      <c r="FA923" s="106"/>
      <c r="FB923" s="106"/>
      <c r="FC923" s="106"/>
      <c r="FD923" s="106"/>
      <c r="FE923" s="106"/>
      <c r="FF923" s="106"/>
      <c r="FG923" s="106"/>
      <c r="FH923" s="106"/>
      <c r="FI923" s="106"/>
      <c r="FJ923" s="106"/>
      <c r="FK923" s="106"/>
      <c r="FL923" s="106"/>
      <c r="FM923" s="106"/>
      <c r="FN923" s="106"/>
      <c r="FO923" s="106"/>
      <c r="FP923" s="106"/>
      <c r="FQ923" s="106"/>
      <c r="FR923" s="106"/>
      <c r="FS923" s="106"/>
      <c r="FT923" s="106"/>
      <c r="FU923" s="106"/>
    </row>
    <row r="924" spans="30:177" ht="6.95" customHeight="1" x14ac:dyDescent="0.15"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  <c r="BD924" s="93"/>
      <c r="BE924" s="93"/>
      <c r="BF924" s="93"/>
      <c r="BG924" s="93"/>
      <c r="BH924" s="93"/>
      <c r="BI924" s="93"/>
      <c r="BJ924" s="93"/>
      <c r="BK924" s="93"/>
      <c r="BL924" s="93"/>
      <c r="BM924" s="93"/>
      <c r="BN924" s="93"/>
      <c r="BO924" s="93"/>
      <c r="BP924" s="93"/>
      <c r="BQ924" s="93"/>
      <c r="BR924" s="93"/>
      <c r="BS924" s="93"/>
      <c r="BT924" s="93"/>
      <c r="BU924" s="93"/>
      <c r="BV924" s="93"/>
      <c r="BW924" s="93"/>
      <c r="BX924" s="93"/>
      <c r="BY924" s="93"/>
      <c r="BZ924" s="93"/>
      <c r="CA924" s="93"/>
      <c r="CB924" s="93"/>
      <c r="CC924" s="93"/>
      <c r="CD924" s="93"/>
      <c r="CE924" s="93"/>
      <c r="CF924" s="93"/>
      <c r="CG924" s="93"/>
      <c r="CH924" s="93"/>
      <c r="CI924" s="93"/>
      <c r="CJ924" s="93"/>
      <c r="CK924" s="93"/>
      <c r="CL924" s="93"/>
      <c r="CM924" s="93"/>
      <c r="CN924" s="93"/>
      <c r="CO924" s="93"/>
      <c r="CP924" s="93"/>
      <c r="CQ924" s="93"/>
      <c r="CR924" s="93"/>
      <c r="CS924" s="93"/>
      <c r="CT924" s="93"/>
      <c r="CU924" s="93"/>
      <c r="CV924" s="93"/>
      <c r="CW924" s="93"/>
      <c r="CX924" s="93"/>
      <c r="CY924" s="93"/>
      <c r="CZ924" s="106"/>
      <c r="DA924" s="106"/>
      <c r="DB924" s="106"/>
      <c r="DC924" s="106"/>
      <c r="DD924" s="106"/>
      <c r="DE924" s="106"/>
      <c r="DF924" s="106"/>
      <c r="DG924" s="106"/>
      <c r="DH924" s="106"/>
      <c r="DI924" s="106"/>
      <c r="DJ924" s="106"/>
      <c r="DK924" s="106"/>
      <c r="DL924" s="106"/>
      <c r="DM924" s="106"/>
      <c r="DN924" s="106"/>
      <c r="DO924" s="106"/>
      <c r="DP924" s="106"/>
      <c r="DQ924" s="106"/>
      <c r="DR924" s="106"/>
      <c r="DS924" s="106"/>
      <c r="DT924" s="106"/>
      <c r="DU924" s="106"/>
      <c r="DV924" s="106"/>
      <c r="DW924" s="106"/>
      <c r="DX924" s="106"/>
      <c r="DY924" s="106"/>
      <c r="DZ924" s="106"/>
      <c r="EA924" s="106"/>
      <c r="EB924" s="106"/>
      <c r="EC924" s="106"/>
      <c r="ED924" s="106"/>
      <c r="EE924" s="106"/>
      <c r="EF924" s="106"/>
      <c r="EG924" s="106"/>
      <c r="EH924" s="106"/>
      <c r="EI924" s="106"/>
      <c r="EJ924" s="106"/>
      <c r="EK924" s="106"/>
      <c r="EL924" s="106"/>
      <c r="EM924" s="106"/>
      <c r="EN924" s="106"/>
      <c r="EO924" s="106"/>
      <c r="EP924" s="106"/>
      <c r="EQ924" s="106"/>
      <c r="ER924" s="106"/>
      <c r="ES924" s="106"/>
      <c r="ET924" s="106"/>
      <c r="EU924" s="106"/>
      <c r="EV924" s="106"/>
      <c r="EW924" s="106"/>
      <c r="EX924" s="106"/>
      <c r="EY924" s="106"/>
      <c r="EZ924" s="106"/>
      <c r="FA924" s="106"/>
      <c r="FB924" s="106"/>
      <c r="FC924" s="106"/>
      <c r="FD924" s="106"/>
      <c r="FE924" s="106"/>
      <c r="FF924" s="106"/>
      <c r="FG924" s="106"/>
      <c r="FH924" s="106"/>
      <c r="FI924" s="106"/>
      <c r="FJ924" s="106"/>
      <c r="FK924" s="106"/>
      <c r="FL924" s="106"/>
      <c r="FM924" s="106"/>
      <c r="FN924" s="106"/>
      <c r="FO924" s="106"/>
      <c r="FP924" s="106"/>
      <c r="FQ924" s="106"/>
      <c r="FR924" s="106"/>
      <c r="FS924" s="106"/>
      <c r="FT924" s="106"/>
      <c r="FU924" s="106"/>
    </row>
    <row r="925" spans="30:177" ht="6.95" customHeight="1" x14ac:dyDescent="0.15"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  <c r="BD925" s="93"/>
      <c r="BE925" s="93"/>
      <c r="BF925" s="93"/>
      <c r="BG925" s="93"/>
      <c r="BH925" s="93"/>
      <c r="BI925" s="93"/>
      <c r="BJ925" s="93"/>
      <c r="BK925" s="93"/>
      <c r="BL925" s="93"/>
      <c r="BM925" s="93"/>
      <c r="BN925" s="93"/>
      <c r="BO925" s="93"/>
      <c r="BP925" s="93"/>
      <c r="BQ925" s="93"/>
      <c r="BR925" s="93"/>
      <c r="BS925" s="93"/>
      <c r="BT925" s="93"/>
      <c r="BU925" s="93"/>
      <c r="BV925" s="93"/>
      <c r="BW925" s="93"/>
      <c r="BX925" s="93"/>
      <c r="BY925" s="93"/>
      <c r="BZ925" s="93"/>
      <c r="CA925" s="93"/>
      <c r="CB925" s="93"/>
      <c r="CC925" s="93"/>
      <c r="CD925" s="93"/>
      <c r="CE925" s="93"/>
      <c r="CF925" s="93"/>
      <c r="CG925" s="93"/>
      <c r="CH925" s="93"/>
      <c r="CI925" s="93"/>
      <c r="CJ925" s="93"/>
      <c r="CK925" s="93"/>
      <c r="CL925" s="93"/>
      <c r="CM925" s="93"/>
      <c r="CN925" s="93"/>
      <c r="CO925" s="93"/>
      <c r="CP925" s="93"/>
      <c r="CQ925" s="93"/>
      <c r="CR925" s="93"/>
      <c r="CS925" s="93"/>
      <c r="CT925" s="93"/>
      <c r="CU925" s="93"/>
      <c r="CV925" s="93"/>
      <c r="CW925" s="93"/>
      <c r="CX925" s="93"/>
      <c r="CY925" s="93"/>
      <c r="CZ925" s="106"/>
      <c r="DA925" s="106"/>
      <c r="DB925" s="106"/>
      <c r="DC925" s="106"/>
      <c r="DD925" s="106"/>
      <c r="DE925" s="106"/>
      <c r="DF925" s="106"/>
      <c r="DG925" s="106"/>
      <c r="DH925" s="106"/>
      <c r="DI925" s="106"/>
      <c r="DJ925" s="106"/>
      <c r="DK925" s="106"/>
      <c r="DL925" s="106"/>
      <c r="DM925" s="106"/>
      <c r="DN925" s="106"/>
      <c r="DO925" s="106"/>
      <c r="DP925" s="106"/>
      <c r="DQ925" s="106"/>
      <c r="DR925" s="106"/>
      <c r="DS925" s="106"/>
      <c r="DT925" s="106"/>
      <c r="DU925" s="106"/>
      <c r="DV925" s="106"/>
      <c r="DW925" s="106"/>
      <c r="DX925" s="106"/>
      <c r="DY925" s="106"/>
      <c r="DZ925" s="106"/>
      <c r="EA925" s="106"/>
      <c r="EB925" s="106"/>
      <c r="EC925" s="106"/>
      <c r="ED925" s="106"/>
      <c r="EE925" s="106"/>
      <c r="EF925" s="106"/>
      <c r="EG925" s="106"/>
      <c r="EH925" s="106"/>
      <c r="EI925" s="106"/>
      <c r="EJ925" s="106"/>
      <c r="EK925" s="106"/>
      <c r="EL925" s="106"/>
      <c r="EM925" s="106"/>
      <c r="EN925" s="106"/>
      <c r="EO925" s="106"/>
      <c r="EP925" s="106"/>
      <c r="EQ925" s="106"/>
      <c r="ER925" s="106"/>
      <c r="ES925" s="106"/>
      <c r="ET925" s="106"/>
      <c r="EU925" s="106"/>
      <c r="EV925" s="106"/>
      <c r="EW925" s="106"/>
      <c r="EX925" s="106"/>
      <c r="EY925" s="106"/>
      <c r="EZ925" s="106"/>
      <c r="FA925" s="106"/>
      <c r="FB925" s="106"/>
      <c r="FC925" s="106"/>
      <c r="FD925" s="106"/>
      <c r="FE925" s="106"/>
      <c r="FF925" s="106"/>
      <c r="FG925" s="106"/>
      <c r="FH925" s="106"/>
      <c r="FI925" s="106"/>
      <c r="FJ925" s="106"/>
      <c r="FK925" s="106"/>
      <c r="FL925" s="106"/>
      <c r="FM925" s="106"/>
      <c r="FN925" s="106"/>
      <c r="FO925" s="106"/>
      <c r="FP925" s="106"/>
      <c r="FQ925" s="106"/>
      <c r="FR925" s="106"/>
      <c r="FS925" s="106"/>
      <c r="FT925" s="106"/>
      <c r="FU925" s="106"/>
    </row>
    <row r="926" spans="30:177" ht="6.95" customHeight="1" x14ac:dyDescent="0.15"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3"/>
      <c r="BF926" s="93"/>
      <c r="BG926" s="93"/>
      <c r="BH926" s="93"/>
      <c r="BI926" s="93"/>
      <c r="BJ926" s="93"/>
      <c r="BK926" s="93"/>
      <c r="BL926" s="93"/>
      <c r="BM926" s="93"/>
      <c r="BN926" s="93"/>
      <c r="BO926" s="93"/>
      <c r="BP926" s="93"/>
      <c r="BQ926" s="93"/>
      <c r="BR926" s="93"/>
      <c r="BS926" s="93"/>
      <c r="BT926" s="93"/>
      <c r="BU926" s="93"/>
      <c r="BV926" s="93"/>
      <c r="BW926" s="93"/>
      <c r="BX926" s="93"/>
      <c r="BY926" s="93"/>
      <c r="BZ926" s="93"/>
      <c r="CA926" s="93"/>
      <c r="CB926" s="93"/>
      <c r="CC926" s="93"/>
      <c r="CD926" s="93"/>
      <c r="CE926" s="93"/>
      <c r="CF926" s="93"/>
      <c r="CG926" s="93"/>
      <c r="CH926" s="93"/>
      <c r="CI926" s="93"/>
      <c r="CJ926" s="93"/>
      <c r="CK926" s="93"/>
      <c r="CL926" s="93"/>
      <c r="CM926" s="93"/>
      <c r="CN926" s="93"/>
      <c r="CO926" s="93"/>
      <c r="CP926" s="93"/>
      <c r="CQ926" s="93"/>
      <c r="CR926" s="93"/>
      <c r="CS926" s="93"/>
      <c r="CT926" s="93"/>
      <c r="CU926" s="93"/>
      <c r="CV926" s="93"/>
      <c r="CW926" s="93"/>
      <c r="CX926" s="93"/>
      <c r="CY926" s="93"/>
      <c r="CZ926" s="106"/>
      <c r="DA926" s="106"/>
      <c r="DB926" s="106"/>
      <c r="DC926" s="106"/>
      <c r="DD926" s="106"/>
      <c r="DE926" s="106"/>
      <c r="DF926" s="106"/>
      <c r="DG926" s="106"/>
      <c r="DH926" s="106"/>
      <c r="DI926" s="106"/>
      <c r="DJ926" s="106"/>
      <c r="DK926" s="106"/>
      <c r="DL926" s="106"/>
      <c r="DM926" s="106"/>
      <c r="DN926" s="106"/>
      <c r="DO926" s="106"/>
      <c r="DP926" s="106"/>
      <c r="DQ926" s="106"/>
      <c r="DR926" s="106"/>
      <c r="DS926" s="106"/>
      <c r="DT926" s="106"/>
      <c r="DU926" s="106"/>
      <c r="DV926" s="106"/>
      <c r="DW926" s="106"/>
      <c r="DX926" s="106"/>
      <c r="DY926" s="106"/>
      <c r="DZ926" s="106"/>
      <c r="EA926" s="106"/>
      <c r="EB926" s="106"/>
      <c r="EC926" s="106"/>
      <c r="ED926" s="106"/>
      <c r="EE926" s="106"/>
      <c r="EF926" s="106"/>
      <c r="EG926" s="106"/>
      <c r="EH926" s="106"/>
      <c r="EI926" s="106"/>
      <c r="EJ926" s="106"/>
      <c r="EK926" s="106"/>
      <c r="EL926" s="106"/>
      <c r="EM926" s="106"/>
      <c r="EN926" s="106"/>
      <c r="EO926" s="106"/>
      <c r="EP926" s="106"/>
      <c r="EQ926" s="106"/>
      <c r="ER926" s="106"/>
      <c r="ES926" s="106"/>
      <c r="ET926" s="106"/>
      <c r="EU926" s="106"/>
      <c r="EV926" s="106"/>
      <c r="EW926" s="106"/>
      <c r="EX926" s="106"/>
      <c r="EY926" s="106"/>
      <c r="EZ926" s="106"/>
      <c r="FA926" s="106"/>
      <c r="FB926" s="106"/>
      <c r="FC926" s="106"/>
      <c r="FD926" s="106"/>
      <c r="FE926" s="106"/>
      <c r="FF926" s="106"/>
      <c r="FG926" s="106"/>
      <c r="FH926" s="106"/>
      <c r="FI926" s="106"/>
      <c r="FJ926" s="106"/>
      <c r="FK926" s="106"/>
      <c r="FL926" s="106"/>
      <c r="FM926" s="106"/>
      <c r="FN926" s="106"/>
      <c r="FO926" s="106"/>
      <c r="FP926" s="106"/>
      <c r="FQ926" s="106"/>
      <c r="FR926" s="106"/>
      <c r="FS926" s="106"/>
      <c r="FT926" s="106"/>
      <c r="FU926" s="106"/>
    </row>
    <row r="927" spans="30:177" ht="6.95" customHeight="1" x14ac:dyDescent="0.15"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  <c r="BD927" s="93"/>
      <c r="BE927" s="93"/>
      <c r="BF927" s="93"/>
      <c r="BG927" s="93"/>
      <c r="BH927" s="93"/>
      <c r="BI927" s="93"/>
      <c r="BJ927" s="93"/>
      <c r="BK927" s="93"/>
      <c r="BL927" s="93"/>
      <c r="BM927" s="93"/>
      <c r="BN927" s="93"/>
      <c r="BO927" s="93"/>
      <c r="BP927" s="93"/>
      <c r="BQ927" s="93"/>
      <c r="BR927" s="93"/>
      <c r="BS927" s="93"/>
      <c r="BT927" s="93"/>
      <c r="BU927" s="93"/>
      <c r="BV927" s="93"/>
      <c r="BW927" s="93"/>
      <c r="BX927" s="93"/>
      <c r="BY927" s="93"/>
      <c r="BZ927" s="93"/>
      <c r="CA927" s="93"/>
      <c r="CB927" s="93"/>
      <c r="CC927" s="93"/>
      <c r="CD927" s="93"/>
      <c r="CE927" s="93"/>
      <c r="CF927" s="93"/>
      <c r="CG927" s="93"/>
      <c r="CH927" s="93"/>
      <c r="CI927" s="93"/>
      <c r="CJ927" s="93"/>
      <c r="CK927" s="93"/>
      <c r="CL927" s="93"/>
      <c r="CM927" s="93"/>
      <c r="CN927" s="93"/>
      <c r="CO927" s="93"/>
      <c r="CP927" s="93"/>
      <c r="CQ927" s="93"/>
      <c r="CR927" s="93"/>
      <c r="CS927" s="93"/>
      <c r="CT927" s="93"/>
      <c r="CU927" s="93"/>
      <c r="CV927" s="93"/>
      <c r="CW927" s="93"/>
      <c r="CX927" s="93"/>
      <c r="CY927" s="93"/>
      <c r="CZ927" s="106"/>
      <c r="DA927" s="106"/>
      <c r="DB927" s="106"/>
      <c r="DC927" s="106"/>
      <c r="DD927" s="106"/>
      <c r="DE927" s="106"/>
      <c r="DF927" s="106"/>
      <c r="DG927" s="106"/>
      <c r="DH927" s="106"/>
      <c r="DI927" s="106"/>
      <c r="DJ927" s="106"/>
      <c r="DK927" s="106"/>
      <c r="DL927" s="106"/>
      <c r="DM927" s="106"/>
      <c r="DN927" s="106"/>
      <c r="DO927" s="106"/>
      <c r="DP927" s="106"/>
      <c r="DQ927" s="106"/>
      <c r="DR927" s="106"/>
      <c r="DS927" s="106"/>
      <c r="DT927" s="106"/>
      <c r="DU927" s="106"/>
      <c r="DV927" s="106"/>
      <c r="DW927" s="106"/>
      <c r="DX927" s="106"/>
      <c r="DY927" s="106"/>
      <c r="DZ927" s="106"/>
      <c r="EA927" s="106"/>
      <c r="EB927" s="106"/>
      <c r="EC927" s="106"/>
      <c r="ED927" s="106"/>
      <c r="EE927" s="106"/>
      <c r="EF927" s="106"/>
      <c r="EG927" s="106"/>
      <c r="EH927" s="106"/>
      <c r="EI927" s="106"/>
      <c r="EJ927" s="106"/>
      <c r="EK927" s="106"/>
      <c r="EL927" s="106"/>
      <c r="EM927" s="106"/>
      <c r="EN927" s="106"/>
      <c r="EO927" s="106"/>
      <c r="EP927" s="106"/>
      <c r="EQ927" s="106"/>
      <c r="ER927" s="106"/>
      <c r="ES927" s="106"/>
      <c r="ET927" s="106"/>
      <c r="EU927" s="106"/>
      <c r="EV927" s="106"/>
      <c r="EW927" s="106"/>
      <c r="EX927" s="106"/>
      <c r="EY927" s="106"/>
      <c r="EZ927" s="106"/>
      <c r="FA927" s="106"/>
      <c r="FB927" s="106"/>
      <c r="FC927" s="106"/>
      <c r="FD927" s="106"/>
      <c r="FE927" s="106"/>
      <c r="FF927" s="106"/>
      <c r="FG927" s="106"/>
      <c r="FH927" s="106"/>
      <c r="FI927" s="106"/>
      <c r="FJ927" s="106"/>
      <c r="FK927" s="106"/>
      <c r="FL927" s="106"/>
      <c r="FM927" s="106"/>
      <c r="FN927" s="106"/>
      <c r="FO927" s="106"/>
      <c r="FP927" s="106"/>
      <c r="FQ927" s="106"/>
      <c r="FR927" s="106"/>
      <c r="FS927" s="106"/>
      <c r="FT927" s="106"/>
      <c r="FU927" s="106"/>
    </row>
    <row r="928" spans="30:177" ht="6.95" customHeight="1" x14ac:dyDescent="0.15"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  <c r="BD928" s="93"/>
      <c r="BE928" s="93"/>
      <c r="BF928" s="93"/>
      <c r="BG928" s="93"/>
      <c r="BH928" s="93"/>
      <c r="BI928" s="93"/>
      <c r="BJ928" s="93"/>
      <c r="BK928" s="93"/>
      <c r="BL928" s="93"/>
      <c r="BM928" s="93"/>
      <c r="BN928" s="93"/>
      <c r="BO928" s="93"/>
      <c r="BP928" s="93"/>
      <c r="BQ928" s="93"/>
      <c r="BR928" s="93"/>
      <c r="BS928" s="93"/>
      <c r="BT928" s="93"/>
      <c r="BU928" s="93"/>
      <c r="BV928" s="93"/>
      <c r="BW928" s="93"/>
      <c r="BX928" s="93"/>
      <c r="BY928" s="93"/>
      <c r="BZ928" s="93"/>
      <c r="CA928" s="93"/>
      <c r="CB928" s="93"/>
      <c r="CC928" s="93"/>
      <c r="CD928" s="93"/>
      <c r="CE928" s="93"/>
      <c r="CF928" s="93"/>
      <c r="CG928" s="93"/>
      <c r="CH928" s="93"/>
      <c r="CI928" s="93"/>
      <c r="CJ928" s="93"/>
      <c r="CK928" s="93"/>
      <c r="CL928" s="93"/>
      <c r="CM928" s="93"/>
      <c r="CN928" s="93"/>
      <c r="CO928" s="93"/>
      <c r="CP928" s="93"/>
      <c r="CQ928" s="93"/>
      <c r="CR928" s="93"/>
      <c r="CS928" s="93"/>
      <c r="CT928" s="93"/>
      <c r="CU928" s="93"/>
      <c r="CV928" s="93"/>
      <c r="CW928" s="93"/>
      <c r="CX928" s="93"/>
      <c r="CY928" s="93"/>
      <c r="CZ928" s="93"/>
      <c r="DA928" s="93"/>
      <c r="DB928" s="93"/>
      <c r="DC928" s="93"/>
      <c r="DD928" s="93"/>
    </row>
    <row r="929" spans="30:108" ht="6.95" customHeight="1" x14ac:dyDescent="0.15"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  <c r="AZ929" s="93"/>
      <c r="BA929" s="93"/>
      <c r="BB929" s="93"/>
      <c r="BC929" s="93"/>
      <c r="BD929" s="93"/>
      <c r="BE929" s="93"/>
      <c r="BF929" s="93"/>
      <c r="BG929" s="93"/>
      <c r="BH929" s="93"/>
      <c r="BI929" s="93"/>
      <c r="BJ929" s="93"/>
      <c r="BK929" s="93"/>
      <c r="BL929" s="93"/>
      <c r="BM929" s="93"/>
      <c r="BN929" s="93"/>
      <c r="BO929" s="93"/>
      <c r="BP929" s="93"/>
      <c r="BQ929" s="93"/>
      <c r="BR929" s="93"/>
      <c r="BS929" s="93"/>
      <c r="BT929" s="93"/>
      <c r="BU929" s="93"/>
      <c r="BV929" s="93"/>
      <c r="BW929" s="93"/>
      <c r="BX929" s="93"/>
      <c r="BY929" s="93"/>
      <c r="BZ929" s="93"/>
      <c r="CA929" s="93"/>
      <c r="CB929" s="93"/>
      <c r="CC929" s="93"/>
      <c r="CD929" s="93"/>
      <c r="CE929" s="93"/>
      <c r="CF929" s="93"/>
      <c r="CG929" s="93"/>
      <c r="CH929" s="93"/>
      <c r="CI929" s="93"/>
      <c r="CJ929" s="93"/>
      <c r="CK929" s="93"/>
      <c r="CL929" s="93"/>
      <c r="CM929" s="93"/>
      <c r="CN929" s="93"/>
      <c r="CO929" s="93"/>
      <c r="CP929" s="93"/>
      <c r="CQ929" s="93"/>
      <c r="CR929" s="93"/>
      <c r="CS929" s="93"/>
      <c r="CT929" s="93"/>
      <c r="CU929" s="93"/>
      <c r="CV929" s="93"/>
      <c r="CW929" s="93"/>
      <c r="CX929" s="93"/>
      <c r="CY929" s="93"/>
      <c r="CZ929" s="93"/>
      <c r="DA929" s="93"/>
      <c r="DB929" s="93"/>
      <c r="DC929" s="93"/>
      <c r="DD929" s="93"/>
    </row>
    <row r="930" spans="30:108" ht="6.95" customHeight="1" x14ac:dyDescent="0.15"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  <c r="BD930" s="93"/>
      <c r="BE930" s="93"/>
      <c r="BF930" s="93"/>
      <c r="BG930" s="93"/>
      <c r="BH930" s="93"/>
      <c r="BI930" s="93"/>
      <c r="BJ930" s="93"/>
      <c r="BK930" s="93"/>
      <c r="BL930" s="93"/>
      <c r="BM930" s="93"/>
      <c r="BN930" s="93"/>
      <c r="BO930" s="93"/>
      <c r="BP930" s="93"/>
      <c r="BQ930" s="93"/>
      <c r="BR930" s="93"/>
      <c r="BS930" s="93"/>
      <c r="BT930" s="93"/>
      <c r="BU930" s="93"/>
      <c r="BV930" s="93"/>
      <c r="BW930" s="93"/>
      <c r="BX930" s="93"/>
      <c r="BY930" s="93"/>
      <c r="BZ930" s="93"/>
      <c r="CA930" s="93"/>
      <c r="CB930" s="93"/>
      <c r="CC930" s="93"/>
      <c r="CD930" s="93"/>
      <c r="CE930" s="93"/>
      <c r="CF930" s="93"/>
      <c r="CG930" s="93"/>
      <c r="CH930" s="93"/>
      <c r="CI930" s="93"/>
      <c r="CJ930" s="93"/>
      <c r="CK930" s="93"/>
      <c r="CL930" s="93"/>
      <c r="CM930" s="93"/>
      <c r="CN930" s="93"/>
      <c r="CO930" s="93"/>
      <c r="CP930" s="93"/>
      <c r="CQ930" s="93"/>
      <c r="CR930" s="93"/>
      <c r="CS930" s="93"/>
      <c r="CT930" s="93"/>
      <c r="CU930" s="93"/>
      <c r="CV930" s="93"/>
      <c r="CW930" s="93"/>
      <c r="CX930" s="93"/>
      <c r="CY930" s="93"/>
      <c r="CZ930" s="93"/>
      <c r="DA930" s="93"/>
      <c r="DB930" s="93"/>
      <c r="DC930" s="93"/>
      <c r="DD930" s="93"/>
    </row>
    <row r="931" spans="30:108" ht="6.95" customHeight="1" x14ac:dyDescent="0.15"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  <c r="AZ931" s="93"/>
      <c r="BA931" s="93"/>
      <c r="BB931" s="93"/>
      <c r="BC931" s="93"/>
      <c r="BD931" s="93"/>
      <c r="BE931" s="93"/>
      <c r="BF931" s="93"/>
      <c r="BG931" s="93"/>
      <c r="BH931" s="93"/>
      <c r="BI931" s="93"/>
      <c r="BJ931" s="93"/>
      <c r="BK931" s="93"/>
      <c r="BL931" s="93"/>
      <c r="BM931" s="93"/>
      <c r="BN931" s="93"/>
      <c r="BO931" s="93"/>
      <c r="BP931" s="93"/>
      <c r="BQ931" s="93"/>
      <c r="BR931" s="93"/>
      <c r="BS931" s="93"/>
      <c r="BT931" s="93"/>
      <c r="BU931" s="93"/>
      <c r="BV931" s="93"/>
      <c r="BW931" s="93"/>
      <c r="BX931" s="93"/>
      <c r="BY931" s="93"/>
      <c r="BZ931" s="93"/>
      <c r="CA931" s="93"/>
      <c r="CB931" s="93"/>
      <c r="CC931" s="93"/>
      <c r="CD931" s="93"/>
      <c r="CE931" s="93"/>
      <c r="CF931" s="93"/>
      <c r="CG931" s="93"/>
      <c r="CH931" s="93"/>
      <c r="CI931" s="93"/>
      <c r="CJ931" s="93"/>
      <c r="CK931" s="93"/>
      <c r="CL931" s="93"/>
      <c r="CM931" s="93"/>
      <c r="CN931" s="93"/>
      <c r="CO931" s="93"/>
      <c r="CP931" s="93"/>
      <c r="CQ931" s="93"/>
      <c r="CR931" s="93"/>
      <c r="CS931" s="93"/>
      <c r="CT931" s="93"/>
      <c r="CU931" s="93"/>
      <c r="CV931" s="93"/>
      <c r="CW931" s="93"/>
      <c r="CX931" s="93"/>
      <c r="CY931" s="93"/>
      <c r="CZ931" s="93"/>
      <c r="DA931" s="93"/>
      <c r="DB931" s="93"/>
      <c r="DC931" s="93"/>
      <c r="DD931" s="93"/>
    </row>
    <row r="932" spans="30:108" ht="6.95" customHeight="1" x14ac:dyDescent="0.15"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3"/>
      <c r="BF932" s="93"/>
      <c r="BG932" s="93"/>
      <c r="BH932" s="93"/>
      <c r="BI932" s="93"/>
      <c r="BJ932" s="93"/>
      <c r="BK932" s="93"/>
      <c r="BL932" s="93"/>
      <c r="BM932" s="93"/>
      <c r="BN932" s="93"/>
      <c r="BO932" s="93"/>
      <c r="BP932" s="93"/>
      <c r="BQ932" s="93"/>
      <c r="BR932" s="93"/>
      <c r="BS932" s="93"/>
      <c r="BT932" s="93"/>
      <c r="BU932" s="93"/>
      <c r="BV932" s="93"/>
      <c r="BW932" s="93"/>
      <c r="BX932" s="93"/>
      <c r="BY932" s="93"/>
      <c r="BZ932" s="93"/>
      <c r="CA932" s="93"/>
      <c r="CB932" s="93"/>
      <c r="CC932" s="93"/>
      <c r="CD932" s="93"/>
      <c r="CE932" s="93"/>
      <c r="CF932" s="93"/>
      <c r="CG932" s="93"/>
      <c r="CH932" s="93"/>
      <c r="CI932" s="93"/>
      <c r="CJ932" s="93"/>
      <c r="CK932" s="93"/>
      <c r="CL932" s="93"/>
      <c r="CM932" s="93"/>
      <c r="CN932" s="93"/>
      <c r="CO932" s="93"/>
      <c r="CP932" s="93"/>
      <c r="CQ932" s="93"/>
      <c r="CR932" s="93"/>
      <c r="CS932" s="93"/>
      <c r="CT932" s="93"/>
      <c r="CU932" s="93"/>
      <c r="CV932" s="93"/>
      <c r="CW932" s="93"/>
      <c r="CX932" s="93"/>
      <c r="CY932" s="93"/>
      <c r="CZ932" s="93"/>
      <c r="DA932" s="93"/>
      <c r="DB932" s="93"/>
      <c r="DC932" s="93"/>
      <c r="DD932" s="93"/>
    </row>
    <row r="933" spans="30:108" ht="6.95" customHeight="1" x14ac:dyDescent="0.15"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  <c r="AZ933" s="93"/>
      <c r="BA933" s="93"/>
      <c r="BB933" s="93"/>
      <c r="BC933" s="93"/>
      <c r="BD933" s="93"/>
      <c r="BE933" s="93"/>
      <c r="BF933" s="93"/>
      <c r="BG933" s="93"/>
      <c r="BH933" s="93"/>
      <c r="BI933" s="93"/>
      <c r="BJ933" s="93"/>
      <c r="BK933" s="93"/>
      <c r="BL933" s="93"/>
      <c r="BM933" s="93"/>
      <c r="BN933" s="93"/>
      <c r="BO933" s="93"/>
      <c r="BP933" s="93"/>
      <c r="BQ933" s="93"/>
      <c r="BR933" s="93"/>
      <c r="BS933" s="93"/>
      <c r="BT933" s="93"/>
      <c r="BU933" s="93"/>
      <c r="BV933" s="93"/>
      <c r="BW933" s="93"/>
      <c r="BX933" s="93"/>
      <c r="BY933" s="93"/>
      <c r="BZ933" s="93"/>
      <c r="CA933" s="93"/>
      <c r="CB933" s="93"/>
      <c r="CC933" s="93"/>
      <c r="CD933" s="93"/>
      <c r="CE933" s="93"/>
      <c r="CF933" s="93"/>
      <c r="CG933" s="93"/>
      <c r="CH933" s="93"/>
      <c r="CI933" s="93"/>
      <c r="CJ933" s="93"/>
      <c r="CK933" s="93"/>
      <c r="CL933" s="93"/>
      <c r="CM933" s="93"/>
      <c r="CN933" s="93"/>
      <c r="CO933" s="93"/>
      <c r="CP933" s="93"/>
      <c r="CQ933" s="93"/>
      <c r="CR933" s="93"/>
      <c r="CS933" s="93"/>
      <c r="CT933" s="93"/>
      <c r="CU933" s="93"/>
      <c r="CV933" s="93"/>
      <c r="CW933" s="93"/>
      <c r="CX933" s="93"/>
      <c r="CY933" s="93"/>
      <c r="CZ933" s="93"/>
      <c r="DA933" s="93"/>
      <c r="DB933" s="93"/>
      <c r="DC933" s="93"/>
      <c r="DD933" s="93"/>
    </row>
    <row r="934" spans="30:108" ht="6.95" customHeight="1" x14ac:dyDescent="0.15"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  <c r="AZ934" s="93"/>
      <c r="BA934" s="93"/>
      <c r="BB934" s="93"/>
      <c r="BC934" s="93"/>
      <c r="BD934" s="93"/>
      <c r="BE934" s="93"/>
      <c r="BF934" s="93"/>
      <c r="BG934" s="93"/>
      <c r="BH934" s="93"/>
      <c r="BI934" s="93"/>
      <c r="BJ934" s="93"/>
      <c r="BK934" s="93"/>
      <c r="BL934" s="93"/>
      <c r="BM934" s="93"/>
      <c r="BN934" s="93"/>
      <c r="BO934" s="93"/>
      <c r="BP934" s="93"/>
      <c r="BQ934" s="93"/>
      <c r="BR934" s="93"/>
      <c r="BS934" s="93"/>
      <c r="BT934" s="93"/>
      <c r="BU934" s="93"/>
      <c r="BV934" s="93"/>
      <c r="BW934" s="93"/>
      <c r="BX934" s="93"/>
      <c r="BY934" s="93"/>
      <c r="BZ934" s="93"/>
      <c r="CA934" s="93"/>
      <c r="CB934" s="93"/>
      <c r="CC934" s="93"/>
      <c r="CD934" s="93"/>
      <c r="CE934" s="93"/>
      <c r="CF934" s="93"/>
      <c r="CG934" s="93"/>
      <c r="CH934" s="93"/>
      <c r="CI934" s="93"/>
      <c r="CJ934" s="93"/>
      <c r="CK934" s="93"/>
      <c r="CL934" s="93"/>
      <c r="CM934" s="93"/>
      <c r="CN934" s="93"/>
      <c r="CO934" s="93"/>
      <c r="CP934" s="93"/>
      <c r="CQ934" s="93"/>
      <c r="CR934" s="93"/>
      <c r="CS934" s="93"/>
      <c r="CT934" s="93"/>
      <c r="CU934" s="93"/>
      <c r="CV934" s="93"/>
      <c r="CW934" s="93"/>
      <c r="CX934" s="93"/>
      <c r="CY934" s="93"/>
      <c r="CZ934" s="93"/>
      <c r="DA934" s="93"/>
      <c r="DB934" s="93"/>
      <c r="DC934" s="93"/>
      <c r="DD934" s="93"/>
    </row>
    <row r="935" spans="30:108" ht="6.95" customHeight="1" x14ac:dyDescent="0.15"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  <c r="AZ935" s="93"/>
      <c r="BA935" s="93"/>
      <c r="BB935" s="93"/>
      <c r="BC935" s="93"/>
      <c r="BD935" s="93"/>
      <c r="BE935" s="93"/>
      <c r="BF935" s="93"/>
      <c r="BG935" s="93"/>
      <c r="BH935" s="93"/>
      <c r="BI935" s="93"/>
      <c r="BJ935" s="93"/>
      <c r="BK935" s="93"/>
      <c r="BL935" s="93"/>
      <c r="BM935" s="93"/>
      <c r="BN935" s="93"/>
      <c r="BO935" s="93"/>
      <c r="BP935" s="93"/>
      <c r="BQ935" s="93"/>
      <c r="BR935" s="93"/>
      <c r="BS935" s="93"/>
      <c r="BT935" s="93"/>
      <c r="BU935" s="93"/>
      <c r="BV935" s="93"/>
      <c r="BW935" s="93"/>
      <c r="BX935" s="93"/>
      <c r="BY935" s="93"/>
      <c r="BZ935" s="93"/>
      <c r="CA935" s="93"/>
      <c r="CB935" s="93"/>
      <c r="CC935" s="93"/>
      <c r="CD935" s="93"/>
      <c r="CE935" s="93"/>
      <c r="CF935" s="93"/>
      <c r="CG935" s="93"/>
      <c r="CH935" s="93"/>
      <c r="CI935" s="93"/>
      <c r="CJ935" s="93"/>
      <c r="CK935" s="93"/>
      <c r="CL935" s="93"/>
      <c r="CM935" s="93"/>
      <c r="CN935" s="93"/>
      <c r="CO935" s="93"/>
      <c r="CP935" s="93"/>
      <c r="CQ935" s="93"/>
      <c r="CR935" s="93"/>
      <c r="CS935" s="93"/>
      <c r="CT935" s="93"/>
      <c r="CU935" s="93"/>
      <c r="CV935" s="93"/>
      <c r="CW935" s="93"/>
      <c r="CX935" s="93"/>
      <c r="CY935" s="93"/>
      <c r="CZ935" s="93"/>
      <c r="DA935" s="93"/>
      <c r="DB935" s="93"/>
      <c r="DC935" s="93"/>
      <c r="DD935" s="93"/>
    </row>
    <row r="936" spans="30:108" ht="6.95" customHeight="1" x14ac:dyDescent="0.15"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  <c r="AZ936" s="93"/>
      <c r="BA936" s="93"/>
      <c r="BB936" s="93"/>
      <c r="BC936" s="93"/>
      <c r="BD936" s="93"/>
      <c r="BE936" s="93"/>
      <c r="BF936" s="93"/>
      <c r="BG936" s="93"/>
      <c r="BH936" s="93"/>
      <c r="BI936" s="93"/>
      <c r="BJ936" s="93"/>
      <c r="BK936" s="93"/>
      <c r="BL936" s="93"/>
      <c r="BM936" s="93"/>
      <c r="BN936" s="93"/>
      <c r="BO936" s="93"/>
      <c r="BP936" s="93"/>
      <c r="BQ936" s="93"/>
      <c r="BR936" s="93"/>
      <c r="BS936" s="93"/>
      <c r="BT936" s="93"/>
      <c r="BU936" s="93"/>
      <c r="BV936" s="93"/>
      <c r="BW936" s="93"/>
      <c r="BX936" s="93"/>
      <c r="BY936" s="93"/>
      <c r="BZ936" s="93"/>
      <c r="CA936" s="93"/>
      <c r="CB936" s="93"/>
      <c r="CC936" s="93"/>
      <c r="CD936" s="93"/>
      <c r="CE936" s="93"/>
      <c r="CF936" s="93"/>
      <c r="CG936" s="93"/>
      <c r="CH936" s="93"/>
      <c r="CI936" s="93"/>
      <c r="CJ936" s="93"/>
      <c r="CK936" s="93"/>
      <c r="CL936" s="93"/>
      <c r="CM936" s="93"/>
      <c r="CN936" s="93"/>
      <c r="CO936" s="93"/>
      <c r="CP936" s="93"/>
      <c r="CQ936" s="93"/>
      <c r="CR936" s="93"/>
      <c r="CS936" s="93"/>
      <c r="CT936" s="93"/>
      <c r="CU936" s="93"/>
      <c r="CV936" s="93"/>
      <c r="CW936" s="93"/>
      <c r="CX936" s="93"/>
      <c r="CY936" s="93"/>
      <c r="CZ936" s="93"/>
      <c r="DA936" s="93"/>
      <c r="DB936" s="93"/>
      <c r="DC936" s="93"/>
      <c r="DD936" s="93"/>
    </row>
    <row r="937" spans="30:108" ht="6.95" customHeight="1" x14ac:dyDescent="0.15"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  <c r="AZ937" s="93"/>
      <c r="BA937" s="93"/>
      <c r="BB937" s="93"/>
      <c r="BC937" s="93"/>
      <c r="BD937" s="93"/>
      <c r="BE937" s="93"/>
      <c r="BF937" s="93"/>
      <c r="BG937" s="93"/>
      <c r="BH937" s="93"/>
      <c r="BI937" s="93"/>
      <c r="BJ937" s="93"/>
      <c r="BK937" s="93"/>
      <c r="BL937" s="93"/>
      <c r="BM937" s="93"/>
      <c r="BN937" s="93"/>
      <c r="BO937" s="93"/>
      <c r="BP937" s="93"/>
      <c r="BQ937" s="93"/>
      <c r="BR937" s="93"/>
      <c r="BS937" s="93"/>
      <c r="BT937" s="93"/>
      <c r="BU937" s="93"/>
      <c r="BV937" s="93"/>
      <c r="BW937" s="93"/>
      <c r="BX937" s="93"/>
      <c r="BY937" s="93"/>
      <c r="BZ937" s="93"/>
      <c r="CA937" s="93"/>
      <c r="CB937" s="93"/>
      <c r="CC937" s="93"/>
      <c r="CD937" s="93"/>
      <c r="CE937" s="93"/>
      <c r="CF937" s="93"/>
      <c r="CG937" s="93"/>
      <c r="CH937" s="93"/>
      <c r="CI937" s="93"/>
      <c r="CJ937" s="93"/>
      <c r="CK937" s="93"/>
      <c r="CL937" s="93"/>
      <c r="CM937" s="93"/>
      <c r="CN937" s="93"/>
      <c r="CO937" s="93"/>
      <c r="CP937" s="93"/>
      <c r="CQ937" s="93"/>
      <c r="CR937" s="93"/>
      <c r="CS937" s="93"/>
      <c r="CT937" s="93"/>
      <c r="CU937" s="93"/>
      <c r="CV937" s="93"/>
      <c r="CW937" s="93"/>
      <c r="CX937" s="93"/>
      <c r="CY937" s="93"/>
      <c r="CZ937" s="93"/>
      <c r="DA937" s="93"/>
      <c r="DB937" s="93"/>
      <c r="DC937" s="93"/>
      <c r="DD937" s="93"/>
    </row>
    <row r="938" spans="30:108" ht="6.95" customHeight="1" x14ac:dyDescent="0.15"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3"/>
      <c r="BF938" s="93"/>
      <c r="BG938" s="93"/>
      <c r="BH938" s="93"/>
      <c r="BI938" s="93"/>
      <c r="BJ938" s="93"/>
      <c r="BK938" s="93"/>
      <c r="BL938" s="93"/>
      <c r="BM938" s="93"/>
      <c r="BN938" s="93"/>
      <c r="BO938" s="93"/>
      <c r="BP938" s="93"/>
      <c r="BQ938" s="93"/>
      <c r="BR938" s="93"/>
      <c r="BS938" s="93"/>
      <c r="BT938" s="93"/>
      <c r="BU938" s="93"/>
      <c r="BV938" s="93"/>
      <c r="BW938" s="93"/>
      <c r="BX938" s="93"/>
      <c r="BY938" s="93"/>
      <c r="BZ938" s="93"/>
      <c r="CA938" s="93"/>
      <c r="CB938" s="93"/>
      <c r="CC938" s="93"/>
      <c r="CD938" s="93"/>
      <c r="CE938" s="93"/>
      <c r="CF938" s="93"/>
      <c r="CG938" s="93"/>
      <c r="CH938" s="93"/>
      <c r="CI938" s="93"/>
      <c r="CJ938" s="93"/>
      <c r="CK938" s="93"/>
      <c r="CL938" s="93"/>
      <c r="CM938" s="93"/>
      <c r="CN938" s="93"/>
      <c r="CO938" s="93"/>
      <c r="CP938" s="93"/>
      <c r="CQ938" s="93"/>
      <c r="CR938" s="93"/>
      <c r="CS938" s="93"/>
      <c r="CT938" s="93"/>
      <c r="CU938" s="93"/>
      <c r="CV938" s="93"/>
      <c r="CW938" s="93"/>
      <c r="CX938" s="93"/>
      <c r="CY938" s="93"/>
      <c r="CZ938" s="93"/>
      <c r="DA938" s="93"/>
      <c r="DB938" s="93"/>
      <c r="DC938" s="93"/>
      <c r="DD938" s="93"/>
    </row>
    <row r="939" spans="30:108" ht="6.95" customHeight="1" x14ac:dyDescent="0.15"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  <c r="AZ939" s="93"/>
      <c r="BA939" s="93"/>
      <c r="BB939" s="93"/>
      <c r="BC939" s="93"/>
      <c r="BD939" s="93"/>
      <c r="BE939" s="93"/>
      <c r="BF939" s="93"/>
      <c r="BG939" s="93"/>
      <c r="BH939" s="93"/>
      <c r="BI939" s="93"/>
      <c r="BJ939" s="93"/>
      <c r="BK939" s="93"/>
      <c r="BL939" s="93"/>
      <c r="BM939" s="93"/>
      <c r="BN939" s="93"/>
      <c r="BO939" s="93"/>
      <c r="BP939" s="93"/>
      <c r="BQ939" s="93"/>
      <c r="BR939" s="93"/>
      <c r="BS939" s="93"/>
      <c r="BT939" s="93"/>
      <c r="BU939" s="93"/>
      <c r="BV939" s="93"/>
      <c r="BW939" s="93"/>
      <c r="BX939" s="93"/>
      <c r="BY939" s="93"/>
      <c r="BZ939" s="93"/>
      <c r="CA939" s="93"/>
      <c r="CB939" s="93"/>
      <c r="CC939" s="93"/>
      <c r="CD939" s="93"/>
      <c r="CE939" s="93"/>
      <c r="CF939" s="93"/>
      <c r="CG939" s="93"/>
      <c r="CH939" s="93"/>
      <c r="CI939" s="93"/>
      <c r="CJ939" s="93"/>
      <c r="CK939" s="93"/>
      <c r="CL939" s="93"/>
      <c r="CM939" s="93"/>
      <c r="CN939" s="93"/>
      <c r="CO939" s="93"/>
      <c r="CP939" s="93"/>
      <c r="CQ939" s="93"/>
      <c r="CR939" s="93"/>
      <c r="CS939" s="93"/>
      <c r="CT939" s="93"/>
      <c r="CU939" s="93"/>
      <c r="CV939" s="93"/>
      <c r="CW939" s="93"/>
      <c r="CX939" s="93"/>
      <c r="CY939" s="93"/>
      <c r="CZ939" s="93"/>
      <c r="DA939" s="93"/>
      <c r="DB939" s="93"/>
      <c r="DC939" s="93"/>
      <c r="DD939" s="93"/>
    </row>
    <row r="940" spans="30:108" ht="6.95" customHeight="1" x14ac:dyDescent="0.15"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  <c r="AZ940" s="93"/>
      <c r="BA940" s="93"/>
      <c r="BB940" s="93"/>
      <c r="BC940" s="93"/>
      <c r="BD940" s="93"/>
      <c r="BE940" s="93"/>
      <c r="BF940" s="93"/>
      <c r="BG940" s="93"/>
      <c r="BH940" s="93"/>
      <c r="BI940" s="93"/>
      <c r="BJ940" s="93"/>
      <c r="BK940" s="93"/>
      <c r="BL940" s="93"/>
      <c r="BM940" s="93"/>
      <c r="BN940" s="93"/>
      <c r="BO940" s="93"/>
      <c r="BP940" s="93"/>
      <c r="BQ940" s="93"/>
      <c r="BR940" s="93"/>
      <c r="BS940" s="93"/>
      <c r="BT940" s="93"/>
      <c r="BU940" s="93"/>
      <c r="BV940" s="93"/>
      <c r="BW940" s="93"/>
      <c r="BX940" s="93"/>
      <c r="BY940" s="93"/>
      <c r="BZ940" s="93"/>
      <c r="CA940" s="93"/>
      <c r="CB940" s="93"/>
      <c r="CC940" s="93"/>
      <c r="CD940" s="93"/>
      <c r="CE940" s="93"/>
      <c r="CF940" s="93"/>
      <c r="CG940" s="93"/>
      <c r="CH940" s="93"/>
      <c r="CI940" s="93"/>
      <c r="CJ940" s="93"/>
      <c r="CK940" s="93"/>
      <c r="CL940" s="93"/>
      <c r="CM940" s="93"/>
      <c r="CN940" s="93"/>
      <c r="CO940" s="93"/>
      <c r="CP940" s="93"/>
      <c r="CQ940" s="93"/>
      <c r="CR940" s="93"/>
      <c r="CS940" s="93"/>
      <c r="CT940" s="93"/>
      <c r="CU940" s="93"/>
      <c r="CV940" s="93"/>
      <c r="CW940" s="93"/>
      <c r="CX940" s="93"/>
      <c r="CY940" s="93"/>
      <c r="CZ940" s="93"/>
      <c r="DA940" s="93"/>
      <c r="DB940" s="93"/>
      <c r="DC940" s="93"/>
      <c r="DD940" s="93"/>
    </row>
    <row r="941" spans="30:108" ht="6.95" customHeight="1" x14ac:dyDescent="0.15"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  <c r="AZ941" s="93"/>
      <c r="BA941" s="93"/>
      <c r="BB941" s="93"/>
      <c r="BC941" s="93"/>
      <c r="BD941" s="93"/>
      <c r="BE941" s="93"/>
      <c r="BF941" s="93"/>
      <c r="BG941" s="93"/>
      <c r="BH941" s="93"/>
      <c r="BI941" s="93"/>
      <c r="BJ941" s="93"/>
      <c r="BK941" s="93"/>
      <c r="BL941" s="93"/>
      <c r="BM941" s="93"/>
      <c r="BN941" s="93"/>
      <c r="BO941" s="93"/>
      <c r="BP941" s="93"/>
      <c r="BQ941" s="93"/>
      <c r="BR941" s="93"/>
      <c r="BS941" s="93"/>
      <c r="BT941" s="93"/>
      <c r="BU941" s="93"/>
      <c r="BV941" s="93"/>
      <c r="BW941" s="93"/>
      <c r="BX941" s="93"/>
      <c r="BY941" s="93"/>
      <c r="BZ941" s="93"/>
      <c r="CA941" s="93"/>
      <c r="CB941" s="93"/>
      <c r="CC941" s="93"/>
      <c r="CD941" s="93"/>
      <c r="CE941" s="93"/>
      <c r="CF941" s="93"/>
      <c r="CG941" s="93"/>
      <c r="CH941" s="93"/>
      <c r="CI941" s="93"/>
      <c r="CJ941" s="93"/>
      <c r="CK941" s="93"/>
      <c r="CL941" s="93"/>
      <c r="CM941" s="93"/>
      <c r="CN941" s="93"/>
      <c r="CO941" s="93"/>
      <c r="CP941" s="93"/>
      <c r="CQ941" s="93"/>
      <c r="CR941" s="93"/>
      <c r="CS941" s="93"/>
      <c r="CT941" s="93"/>
      <c r="CU941" s="93"/>
      <c r="CV941" s="93"/>
      <c r="CW941" s="93"/>
      <c r="CX941" s="93"/>
      <c r="CY941" s="93"/>
      <c r="CZ941" s="93"/>
      <c r="DA941" s="93"/>
      <c r="DB941" s="93"/>
      <c r="DC941" s="93"/>
      <c r="DD941" s="93"/>
    </row>
    <row r="942" spans="30:108" ht="6.95" customHeight="1" x14ac:dyDescent="0.15"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  <c r="AZ942" s="93"/>
      <c r="BA942" s="93"/>
      <c r="BB942" s="93"/>
      <c r="BC942" s="93"/>
      <c r="BD942" s="93"/>
      <c r="BE942" s="93"/>
      <c r="BF942" s="93"/>
      <c r="BG942" s="93"/>
      <c r="BH942" s="93"/>
      <c r="BI942" s="93"/>
      <c r="BJ942" s="93"/>
      <c r="BK942" s="93"/>
      <c r="BL942" s="93"/>
      <c r="BM942" s="93"/>
      <c r="BN942" s="93"/>
      <c r="BO942" s="93"/>
      <c r="BP942" s="93"/>
      <c r="BQ942" s="93"/>
      <c r="BR942" s="93"/>
      <c r="BS942" s="93"/>
      <c r="BT942" s="93"/>
      <c r="BU942" s="93"/>
      <c r="BV942" s="93"/>
      <c r="BW942" s="93"/>
      <c r="BX942" s="93"/>
      <c r="BY942" s="93"/>
      <c r="BZ942" s="93"/>
      <c r="CA942" s="93"/>
      <c r="CB942" s="93"/>
      <c r="CC942" s="93"/>
      <c r="CD942" s="93"/>
      <c r="CE942" s="93"/>
      <c r="CF942" s="93"/>
      <c r="CG942" s="93"/>
      <c r="CH942" s="93"/>
      <c r="CI942" s="93"/>
      <c r="CJ942" s="93"/>
      <c r="CK942" s="93"/>
      <c r="CL942" s="93"/>
      <c r="CM942" s="93"/>
      <c r="CN942" s="93"/>
      <c r="CO942" s="93"/>
      <c r="CP942" s="93"/>
      <c r="CQ942" s="93"/>
      <c r="CR942" s="93"/>
      <c r="CS942" s="93"/>
      <c r="CT942" s="93"/>
      <c r="CU942" s="93"/>
      <c r="CV942" s="93"/>
      <c r="CW942" s="93"/>
      <c r="CX942" s="93"/>
      <c r="CY942" s="93"/>
      <c r="CZ942" s="93"/>
      <c r="DA942" s="93"/>
      <c r="DB942" s="93"/>
      <c r="DC942" s="93"/>
      <c r="DD942" s="93"/>
    </row>
    <row r="943" spans="30:108" ht="6.95" customHeight="1" x14ac:dyDescent="0.15"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  <c r="AZ943" s="93"/>
      <c r="BA943" s="93"/>
      <c r="BB943" s="93"/>
      <c r="BC943" s="93"/>
      <c r="BD943" s="93"/>
      <c r="BE943" s="93"/>
      <c r="BF943" s="93"/>
      <c r="BG943" s="93"/>
      <c r="BH943" s="93"/>
      <c r="BI943" s="93"/>
      <c r="BJ943" s="93"/>
      <c r="BK943" s="93"/>
      <c r="BL943" s="93"/>
      <c r="BM943" s="93"/>
      <c r="BN943" s="93"/>
      <c r="BO943" s="93"/>
      <c r="BP943" s="93"/>
      <c r="BQ943" s="93"/>
      <c r="BR943" s="93"/>
      <c r="BS943" s="93"/>
      <c r="BT943" s="93"/>
      <c r="BU943" s="93"/>
      <c r="BV943" s="93"/>
      <c r="BW943" s="93"/>
      <c r="BX943" s="93"/>
      <c r="BY943" s="93"/>
      <c r="BZ943" s="93"/>
      <c r="CA943" s="93"/>
      <c r="CB943" s="93"/>
      <c r="CC943" s="93"/>
      <c r="CD943" s="93"/>
      <c r="CE943" s="93"/>
      <c r="CF943" s="93"/>
      <c r="CG943" s="93"/>
      <c r="CH943" s="93"/>
      <c r="CI943" s="93"/>
      <c r="CJ943" s="93"/>
      <c r="CK943" s="93"/>
      <c r="CL943" s="93"/>
      <c r="CM943" s="93"/>
      <c r="CN943" s="93"/>
      <c r="CO943" s="93"/>
      <c r="CP943" s="93"/>
      <c r="CQ943" s="93"/>
      <c r="CR943" s="93"/>
      <c r="CS943" s="93"/>
      <c r="CT943" s="93"/>
      <c r="CU943" s="93"/>
      <c r="CV943" s="93"/>
      <c r="CW943" s="93"/>
      <c r="CX943" s="93"/>
      <c r="CY943" s="93"/>
      <c r="CZ943" s="93"/>
      <c r="DA943" s="93"/>
      <c r="DB943" s="93"/>
      <c r="DC943" s="93"/>
      <c r="DD943" s="93"/>
    </row>
    <row r="944" spans="30:108" ht="6.95" customHeight="1" x14ac:dyDescent="0.15"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  <c r="AZ944" s="93"/>
      <c r="BA944" s="93"/>
      <c r="BB944" s="93"/>
      <c r="BC944" s="93"/>
      <c r="BD944" s="93"/>
      <c r="BE944" s="93"/>
      <c r="BF944" s="93"/>
      <c r="BG944" s="93"/>
      <c r="BH944" s="93"/>
      <c r="BI944" s="93"/>
      <c r="BJ944" s="93"/>
      <c r="BK944" s="93"/>
      <c r="BL944" s="93"/>
      <c r="BM944" s="93"/>
      <c r="BN944" s="93"/>
      <c r="BO944" s="93"/>
      <c r="BP944" s="93"/>
      <c r="BQ944" s="93"/>
      <c r="BR944" s="93"/>
      <c r="BS944" s="93"/>
      <c r="BT944" s="93"/>
      <c r="BU944" s="93"/>
      <c r="BV944" s="93"/>
      <c r="BW944" s="93"/>
      <c r="BX944" s="93"/>
      <c r="BY944" s="93"/>
      <c r="BZ944" s="93"/>
      <c r="CA944" s="93"/>
      <c r="CB944" s="93"/>
      <c r="CC944" s="93"/>
      <c r="CD944" s="93"/>
      <c r="CE944" s="93"/>
      <c r="CF944" s="93"/>
      <c r="CG944" s="93"/>
      <c r="CH944" s="93"/>
      <c r="CI944" s="93"/>
      <c r="CJ944" s="93"/>
      <c r="CK944" s="93"/>
      <c r="CL944" s="93"/>
      <c r="CM944" s="93"/>
      <c r="CN944" s="93"/>
      <c r="CO944" s="93"/>
      <c r="CP944" s="93"/>
      <c r="CQ944" s="93"/>
      <c r="CR944" s="93"/>
      <c r="CS944" s="93"/>
      <c r="CT944" s="93"/>
      <c r="CU944" s="93"/>
      <c r="CV944" s="93"/>
      <c r="CW944" s="93"/>
      <c r="CX944" s="93"/>
      <c r="CY944" s="93"/>
      <c r="CZ944" s="93"/>
      <c r="DA944" s="93"/>
      <c r="DB944" s="93"/>
      <c r="DC944" s="93"/>
      <c r="DD944" s="93"/>
    </row>
    <row r="945" spans="30:108" ht="6.95" customHeight="1" x14ac:dyDescent="0.15"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  <c r="AZ945" s="93"/>
      <c r="BA945" s="93"/>
      <c r="BB945" s="93"/>
      <c r="BC945" s="93"/>
      <c r="BD945" s="93"/>
      <c r="BE945" s="93"/>
      <c r="BF945" s="93"/>
      <c r="BG945" s="93"/>
      <c r="BH945" s="93"/>
      <c r="BI945" s="93"/>
      <c r="BJ945" s="93"/>
      <c r="BK945" s="93"/>
      <c r="BL945" s="93"/>
      <c r="BM945" s="93"/>
      <c r="BN945" s="93"/>
      <c r="BO945" s="93"/>
      <c r="BP945" s="93"/>
      <c r="BQ945" s="93"/>
      <c r="BR945" s="93"/>
      <c r="BS945" s="93"/>
      <c r="BT945" s="93"/>
      <c r="BU945" s="93"/>
      <c r="BV945" s="93"/>
      <c r="BW945" s="93"/>
      <c r="BX945" s="93"/>
      <c r="BY945" s="93"/>
      <c r="BZ945" s="93"/>
      <c r="CA945" s="93"/>
      <c r="CB945" s="93"/>
      <c r="CC945" s="93"/>
      <c r="CD945" s="93"/>
      <c r="CE945" s="93"/>
      <c r="CF945" s="93"/>
      <c r="CG945" s="93"/>
      <c r="CH945" s="93"/>
      <c r="CI945" s="93"/>
      <c r="CJ945" s="93"/>
      <c r="CK945" s="93"/>
      <c r="CL945" s="93"/>
      <c r="CM945" s="93"/>
      <c r="CN945" s="93"/>
      <c r="CO945" s="93"/>
      <c r="CP945" s="93"/>
      <c r="CQ945" s="93"/>
      <c r="CR945" s="93"/>
      <c r="CS945" s="93"/>
      <c r="CT945" s="93"/>
      <c r="CU945" s="93"/>
      <c r="CV945" s="93"/>
      <c r="CW945" s="93"/>
      <c r="CX945" s="93"/>
      <c r="CY945" s="93"/>
      <c r="CZ945" s="93"/>
      <c r="DA945" s="93"/>
      <c r="DB945" s="93"/>
      <c r="DC945" s="93"/>
      <c r="DD945" s="93"/>
    </row>
    <row r="946" spans="30:108" ht="6.95" customHeight="1" x14ac:dyDescent="0.15"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  <c r="AZ946" s="93"/>
      <c r="BA946" s="93"/>
      <c r="BB946" s="93"/>
      <c r="BC946" s="93"/>
      <c r="BD946" s="93"/>
      <c r="BE946" s="93"/>
      <c r="BF946" s="93"/>
      <c r="BG946" s="93"/>
      <c r="BH946" s="93"/>
      <c r="BI946" s="93"/>
      <c r="BJ946" s="93"/>
      <c r="BK946" s="93"/>
      <c r="BL946" s="93"/>
      <c r="BM946" s="93"/>
      <c r="BN946" s="93"/>
      <c r="BO946" s="93"/>
      <c r="BP946" s="93"/>
      <c r="BQ946" s="93"/>
      <c r="BR946" s="93"/>
      <c r="BS946" s="93"/>
      <c r="BT946" s="93"/>
      <c r="BU946" s="93"/>
      <c r="BV946" s="93"/>
      <c r="BW946" s="93"/>
      <c r="BX946" s="93"/>
      <c r="BY946" s="93"/>
      <c r="BZ946" s="93"/>
      <c r="CA946" s="93"/>
      <c r="CB946" s="93"/>
      <c r="CC946" s="93"/>
      <c r="CD946" s="93"/>
      <c r="CE946" s="93"/>
      <c r="CF946" s="93"/>
      <c r="CG946" s="93"/>
      <c r="CH946" s="93"/>
      <c r="CI946" s="93"/>
      <c r="CJ946" s="93"/>
      <c r="CK946" s="93"/>
      <c r="CL946" s="93"/>
      <c r="CM946" s="93"/>
      <c r="CN946" s="93"/>
      <c r="CO946" s="93"/>
      <c r="CP946" s="93"/>
      <c r="CQ946" s="93"/>
      <c r="CR946" s="93"/>
      <c r="CS946" s="93"/>
      <c r="CT946" s="93"/>
      <c r="CU946" s="93"/>
      <c r="CV946" s="93"/>
      <c r="CW946" s="93"/>
      <c r="CX946" s="93"/>
      <c r="CY946" s="93"/>
      <c r="CZ946" s="93"/>
      <c r="DA946" s="93"/>
      <c r="DB946" s="93"/>
      <c r="DC946" s="93"/>
      <c r="DD946" s="93"/>
    </row>
    <row r="947" spans="30:108" ht="6.95" customHeight="1" x14ac:dyDescent="0.15"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3"/>
      <c r="BF947" s="93"/>
      <c r="BG947" s="93"/>
      <c r="BH947" s="93"/>
      <c r="BI947" s="93"/>
      <c r="BJ947" s="93"/>
      <c r="BK947" s="93"/>
      <c r="BL947" s="93"/>
      <c r="BM947" s="93"/>
      <c r="BN947" s="93"/>
      <c r="BO947" s="93"/>
      <c r="BP947" s="93"/>
      <c r="BQ947" s="93"/>
      <c r="BR947" s="93"/>
      <c r="BS947" s="93"/>
      <c r="BT947" s="93"/>
      <c r="BU947" s="93"/>
      <c r="BV947" s="93"/>
      <c r="BW947" s="93"/>
      <c r="BX947" s="93"/>
      <c r="BY947" s="93"/>
      <c r="BZ947" s="93"/>
      <c r="CA947" s="93"/>
      <c r="CB947" s="93"/>
      <c r="CC947" s="93"/>
      <c r="CD947" s="93"/>
      <c r="CE947" s="93"/>
      <c r="CF947" s="93"/>
      <c r="CG947" s="93"/>
      <c r="CH947" s="93"/>
      <c r="CI947" s="93"/>
      <c r="CJ947" s="93"/>
      <c r="CK947" s="93"/>
      <c r="CL947" s="93"/>
      <c r="CM947" s="93"/>
      <c r="CN947" s="93"/>
      <c r="CO947" s="93"/>
      <c r="CP947" s="93"/>
      <c r="CQ947" s="93"/>
      <c r="CR947" s="93"/>
      <c r="CS947" s="93"/>
      <c r="CT947" s="93"/>
      <c r="CU947" s="93"/>
      <c r="CV947" s="93"/>
      <c r="CW947" s="93"/>
      <c r="CX947" s="93"/>
      <c r="CY947" s="93"/>
      <c r="CZ947" s="93"/>
      <c r="DA947" s="93"/>
      <c r="DB947" s="93"/>
      <c r="DC947" s="93"/>
      <c r="DD947" s="93"/>
    </row>
    <row r="948" spans="30:108" ht="6.95" customHeight="1" x14ac:dyDescent="0.15"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  <c r="AZ948" s="93"/>
      <c r="BA948" s="93"/>
      <c r="BB948" s="93"/>
      <c r="BC948" s="93"/>
      <c r="BD948" s="93"/>
      <c r="BE948" s="93"/>
      <c r="BF948" s="93"/>
      <c r="BG948" s="93"/>
      <c r="BH948" s="93"/>
      <c r="BI948" s="93"/>
      <c r="BJ948" s="93"/>
      <c r="BK948" s="93"/>
      <c r="BL948" s="93"/>
      <c r="BM948" s="93"/>
      <c r="BN948" s="93"/>
      <c r="BO948" s="93"/>
      <c r="BP948" s="93"/>
      <c r="BQ948" s="93"/>
      <c r="BR948" s="93"/>
      <c r="BS948" s="93"/>
      <c r="BT948" s="93"/>
      <c r="BU948" s="93"/>
      <c r="BV948" s="93"/>
      <c r="BW948" s="93"/>
      <c r="BX948" s="93"/>
      <c r="BY948" s="93"/>
      <c r="BZ948" s="93"/>
      <c r="CA948" s="93"/>
      <c r="CB948" s="93"/>
      <c r="CC948" s="93"/>
      <c r="CD948" s="93"/>
      <c r="CE948" s="93"/>
      <c r="CF948" s="93"/>
      <c r="CG948" s="93"/>
      <c r="CH948" s="93"/>
      <c r="CI948" s="93"/>
      <c r="CJ948" s="93"/>
      <c r="CK948" s="93"/>
      <c r="CL948" s="93"/>
      <c r="CM948" s="93"/>
      <c r="CN948" s="93"/>
      <c r="CO948" s="93"/>
      <c r="CP948" s="93"/>
      <c r="CQ948" s="93"/>
      <c r="CR948" s="93"/>
      <c r="CS948" s="93"/>
      <c r="CT948" s="93"/>
      <c r="CU948" s="93"/>
      <c r="CV948" s="93"/>
      <c r="CW948" s="93"/>
      <c r="CX948" s="93"/>
      <c r="CY948" s="93"/>
      <c r="CZ948" s="93"/>
      <c r="DA948" s="93"/>
      <c r="DB948" s="93"/>
      <c r="DC948" s="93"/>
      <c r="DD948" s="93"/>
    </row>
    <row r="949" spans="30:108" ht="6.95" customHeight="1" x14ac:dyDescent="0.15"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  <c r="AZ949" s="93"/>
      <c r="BA949" s="93"/>
      <c r="BB949" s="93"/>
      <c r="BC949" s="93"/>
      <c r="BD949" s="93"/>
      <c r="BE949" s="93"/>
      <c r="BF949" s="93"/>
      <c r="BG949" s="93"/>
      <c r="BH949" s="93"/>
      <c r="BI949" s="93"/>
      <c r="BJ949" s="93"/>
      <c r="BK949" s="93"/>
      <c r="BL949" s="93"/>
      <c r="BM949" s="93"/>
      <c r="BN949" s="93"/>
      <c r="BO949" s="93"/>
      <c r="BP949" s="93"/>
      <c r="BQ949" s="93"/>
      <c r="BR949" s="93"/>
      <c r="BS949" s="93"/>
      <c r="BT949" s="93"/>
      <c r="BU949" s="93"/>
      <c r="BV949" s="93"/>
      <c r="BW949" s="93"/>
      <c r="BX949" s="93"/>
      <c r="BY949" s="93"/>
      <c r="BZ949" s="93"/>
      <c r="CA949" s="93"/>
      <c r="CB949" s="93"/>
      <c r="CC949" s="93"/>
      <c r="CD949" s="93"/>
      <c r="CE949" s="93"/>
      <c r="CF949" s="93"/>
      <c r="CG949" s="93"/>
      <c r="CH949" s="93"/>
      <c r="CI949" s="93"/>
      <c r="CJ949" s="93"/>
      <c r="CK949" s="93"/>
      <c r="CL949" s="93"/>
      <c r="CM949" s="93"/>
      <c r="CN949" s="93"/>
      <c r="CO949" s="93"/>
      <c r="CP949" s="93"/>
      <c r="CQ949" s="93"/>
      <c r="CR949" s="93"/>
      <c r="CS949" s="93"/>
      <c r="CT949" s="93"/>
      <c r="CU949" s="93"/>
      <c r="CV949" s="93"/>
      <c r="CW949" s="93"/>
      <c r="CX949" s="93"/>
      <c r="CY949" s="93"/>
      <c r="CZ949" s="93"/>
      <c r="DA949" s="93"/>
      <c r="DB949" s="93"/>
      <c r="DC949" s="93"/>
      <c r="DD949" s="93"/>
    </row>
    <row r="950" spans="30:108" ht="6.95" customHeight="1" x14ac:dyDescent="0.15"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  <c r="AZ950" s="93"/>
      <c r="BA950" s="93"/>
      <c r="BB950" s="93"/>
      <c r="BC950" s="93"/>
      <c r="BD950" s="93"/>
      <c r="BE950" s="93"/>
      <c r="BF950" s="93"/>
      <c r="BG950" s="93"/>
      <c r="BH950" s="93"/>
      <c r="BI950" s="93"/>
      <c r="BJ950" s="93"/>
      <c r="BK950" s="93"/>
      <c r="BL950" s="93"/>
      <c r="BM950" s="93"/>
      <c r="BN950" s="93"/>
      <c r="BO950" s="93"/>
      <c r="BP950" s="93"/>
      <c r="BQ950" s="93"/>
      <c r="BR950" s="93"/>
      <c r="BS950" s="93"/>
      <c r="BT950" s="93"/>
      <c r="BU950" s="93"/>
      <c r="BV950" s="93"/>
      <c r="BW950" s="93"/>
      <c r="BX950" s="93"/>
      <c r="BY950" s="93"/>
      <c r="BZ950" s="93"/>
      <c r="CA950" s="93"/>
      <c r="CB950" s="93"/>
      <c r="CC950" s="93"/>
      <c r="CD950" s="93"/>
      <c r="CE950" s="93"/>
      <c r="CF950" s="93"/>
      <c r="CG950" s="93"/>
      <c r="CH950" s="93"/>
      <c r="CI950" s="93"/>
      <c r="CJ950" s="93"/>
      <c r="CK950" s="93"/>
      <c r="CL950" s="93"/>
      <c r="CM950" s="93"/>
      <c r="CN950" s="93"/>
      <c r="CO950" s="93"/>
      <c r="CP950" s="93"/>
      <c r="CQ950" s="93"/>
      <c r="CR950" s="93"/>
      <c r="CS950" s="93"/>
      <c r="CT950" s="93"/>
      <c r="CU950" s="93"/>
      <c r="CV950" s="93"/>
      <c r="CW950" s="93"/>
      <c r="CX950" s="93"/>
      <c r="CY950" s="93"/>
      <c r="CZ950" s="93"/>
      <c r="DA950" s="93"/>
      <c r="DB950" s="93"/>
      <c r="DC950" s="93"/>
      <c r="DD950" s="93"/>
    </row>
    <row r="951" spans="30:108" ht="6.95" customHeight="1" x14ac:dyDescent="0.15"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  <c r="AX951" s="93"/>
      <c r="AY951" s="93"/>
      <c r="AZ951" s="93"/>
      <c r="BA951" s="93"/>
      <c r="BB951" s="93"/>
      <c r="BC951" s="93"/>
      <c r="BD951" s="93"/>
      <c r="BE951" s="93"/>
      <c r="BF951" s="93"/>
      <c r="BG951" s="93"/>
      <c r="BH951" s="93"/>
      <c r="BI951" s="93"/>
      <c r="BJ951" s="93"/>
      <c r="BK951" s="93"/>
      <c r="BL951" s="93"/>
      <c r="BM951" s="93"/>
      <c r="BN951" s="93"/>
      <c r="BO951" s="93"/>
      <c r="BP951" s="93"/>
      <c r="BQ951" s="93"/>
      <c r="BR951" s="93"/>
      <c r="BS951" s="93"/>
      <c r="BT951" s="93"/>
      <c r="BU951" s="93"/>
      <c r="BV951" s="93"/>
      <c r="BW951" s="93"/>
      <c r="BX951" s="93"/>
      <c r="BY951" s="93"/>
      <c r="BZ951" s="93"/>
      <c r="CA951" s="93"/>
      <c r="CB951" s="93"/>
      <c r="CC951" s="93"/>
      <c r="CD951" s="93"/>
      <c r="CE951" s="93"/>
      <c r="CF951" s="93"/>
      <c r="CG951" s="93"/>
      <c r="CH951" s="93"/>
      <c r="CI951" s="93"/>
      <c r="CJ951" s="93"/>
      <c r="CK951" s="93"/>
      <c r="CL951" s="93"/>
      <c r="CM951" s="93"/>
      <c r="CN951" s="93"/>
      <c r="CO951" s="93"/>
      <c r="CP951" s="93"/>
      <c r="CQ951" s="93"/>
      <c r="CR951" s="93"/>
      <c r="CS951" s="93"/>
      <c r="CT951" s="93"/>
      <c r="CU951" s="93"/>
      <c r="CV951" s="93"/>
      <c r="CW951" s="93"/>
      <c r="CX951" s="93"/>
      <c r="CY951" s="93"/>
      <c r="CZ951" s="93"/>
      <c r="DA951" s="93"/>
      <c r="DB951" s="93"/>
      <c r="DC951" s="93"/>
      <c r="DD951" s="93"/>
    </row>
    <row r="952" spans="30:108" ht="6.95" customHeight="1" x14ac:dyDescent="0.15"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  <c r="AX952" s="93"/>
      <c r="AY952" s="93"/>
      <c r="AZ952" s="93"/>
      <c r="BA952" s="93"/>
      <c r="BB952" s="93"/>
      <c r="BC952" s="93"/>
      <c r="BD952" s="93"/>
      <c r="BE952" s="93"/>
      <c r="BF952" s="93"/>
      <c r="BG952" s="93"/>
      <c r="BH952" s="93"/>
      <c r="BI952" s="93"/>
      <c r="BJ952" s="93"/>
      <c r="BK952" s="93"/>
      <c r="BL952" s="93"/>
      <c r="BM952" s="93"/>
      <c r="BN952" s="93"/>
      <c r="BO952" s="93"/>
      <c r="BP952" s="93"/>
      <c r="BQ952" s="93"/>
      <c r="BR952" s="93"/>
      <c r="BS952" s="93"/>
      <c r="BT952" s="93"/>
      <c r="BU952" s="93"/>
      <c r="BV952" s="93"/>
      <c r="BW952" s="93"/>
      <c r="BX952" s="93"/>
      <c r="BY952" s="93"/>
      <c r="BZ952" s="93"/>
      <c r="CA952" s="93"/>
      <c r="CB952" s="93"/>
      <c r="CC952" s="93"/>
      <c r="CD952" s="93"/>
      <c r="CE952" s="93"/>
      <c r="CF952" s="93"/>
      <c r="CG952" s="93"/>
      <c r="CH952" s="93"/>
      <c r="CI952" s="93"/>
      <c r="CJ952" s="93"/>
      <c r="CK952" s="93"/>
      <c r="CL952" s="93"/>
      <c r="CM952" s="93"/>
      <c r="CN952" s="93"/>
      <c r="CO952" s="93"/>
      <c r="CP952" s="93"/>
      <c r="CQ952" s="93"/>
      <c r="CR952" s="93"/>
      <c r="CS952" s="93"/>
      <c r="CT952" s="93"/>
      <c r="CU952" s="93"/>
      <c r="CV952" s="93"/>
      <c r="CW952" s="93"/>
      <c r="CX952" s="93"/>
      <c r="CY952" s="93"/>
      <c r="CZ952" s="93"/>
      <c r="DA952" s="93"/>
      <c r="DB952" s="93"/>
      <c r="DC952" s="93"/>
      <c r="DD952" s="93"/>
    </row>
    <row r="953" spans="30:108" ht="6.95" customHeight="1" x14ac:dyDescent="0.15"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3"/>
      <c r="BF953" s="93"/>
      <c r="BG953" s="93"/>
      <c r="BH953" s="93"/>
      <c r="BI953" s="93"/>
      <c r="BJ953" s="93"/>
      <c r="BK953" s="93"/>
      <c r="BL953" s="93"/>
      <c r="BM953" s="93"/>
      <c r="BN953" s="93"/>
      <c r="BO953" s="93"/>
      <c r="BP953" s="93"/>
      <c r="BQ953" s="93"/>
      <c r="BR953" s="93"/>
      <c r="BS953" s="93"/>
      <c r="BT953" s="93"/>
      <c r="BU953" s="93"/>
      <c r="BV953" s="93"/>
      <c r="BW953" s="93"/>
      <c r="BX953" s="93"/>
      <c r="BY953" s="93"/>
      <c r="BZ953" s="93"/>
      <c r="CA953" s="93"/>
      <c r="CB953" s="93"/>
      <c r="CC953" s="93"/>
      <c r="CD953" s="93"/>
      <c r="CE953" s="93"/>
      <c r="CF953" s="93"/>
      <c r="CG953" s="93"/>
      <c r="CH953" s="93"/>
      <c r="CI953" s="93"/>
      <c r="CJ953" s="93"/>
      <c r="CK953" s="93"/>
      <c r="CL953" s="93"/>
      <c r="CM953" s="93"/>
      <c r="CN953" s="93"/>
      <c r="CO953" s="93"/>
      <c r="CP953" s="93"/>
      <c r="CQ953" s="93"/>
      <c r="CR953" s="93"/>
      <c r="CS953" s="93"/>
      <c r="CT953" s="93"/>
      <c r="CU953" s="93"/>
      <c r="CV953" s="93"/>
      <c r="CW953" s="93"/>
      <c r="CX953" s="93"/>
      <c r="CY953" s="93"/>
      <c r="CZ953" s="93"/>
      <c r="DA953" s="93"/>
      <c r="DB953" s="93"/>
      <c r="DC953" s="93"/>
      <c r="DD953" s="93"/>
    </row>
    <row r="954" spans="30:108" ht="6.95" customHeight="1" x14ac:dyDescent="0.15"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  <c r="AX954" s="93"/>
      <c r="AY954" s="93"/>
      <c r="AZ954" s="93"/>
      <c r="BA954" s="93"/>
      <c r="BB954" s="93"/>
      <c r="BC954" s="93"/>
      <c r="BD954" s="93"/>
      <c r="BE954" s="93"/>
      <c r="BF954" s="93"/>
      <c r="BG954" s="93"/>
      <c r="BH954" s="93"/>
      <c r="BI954" s="93"/>
      <c r="BJ954" s="93"/>
      <c r="BK954" s="93"/>
      <c r="BL954" s="93"/>
      <c r="BM954" s="93"/>
      <c r="BN954" s="93"/>
      <c r="BO954" s="93"/>
      <c r="BP954" s="93"/>
      <c r="BQ954" s="93"/>
      <c r="BR954" s="93"/>
      <c r="BS954" s="93"/>
      <c r="BT954" s="93"/>
      <c r="BU954" s="93"/>
      <c r="BV954" s="93"/>
      <c r="BW954" s="93"/>
      <c r="BX954" s="93"/>
      <c r="BY954" s="93"/>
      <c r="BZ954" s="93"/>
      <c r="CA954" s="93"/>
      <c r="CB954" s="93"/>
      <c r="CC954" s="93"/>
      <c r="CD954" s="93"/>
      <c r="CE954" s="93"/>
      <c r="CF954" s="93"/>
      <c r="CG954" s="93"/>
      <c r="CH954" s="93"/>
      <c r="CI954" s="93"/>
      <c r="CJ954" s="93"/>
      <c r="CK954" s="93"/>
      <c r="CL954" s="93"/>
      <c r="CM954" s="93"/>
      <c r="CN954" s="93"/>
      <c r="CO954" s="93"/>
      <c r="CP954" s="93"/>
      <c r="CQ954" s="93"/>
      <c r="CR954" s="93"/>
      <c r="CS954" s="93"/>
      <c r="CT954" s="93"/>
      <c r="CU954" s="93"/>
      <c r="CV954" s="93"/>
      <c r="CW954" s="93"/>
      <c r="CX954" s="93"/>
      <c r="CY954" s="93"/>
      <c r="CZ954" s="93"/>
      <c r="DA954" s="93"/>
      <c r="DB954" s="93"/>
      <c r="DC954" s="93"/>
      <c r="DD954" s="93"/>
    </row>
    <row r="955" spans="30:108" ht="6.95" customHeight="1" x14ac:dyDescent="0.15"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  <c r="AX955" s="93"/>
      <c r="AY955" s="93"/>
      <c r="AZ955" s="93"/>
      <c r="BA955" s="93"/>
      <c r="BB955" s="93"/>
      <c r="BC955" s="93"/>
      <c r="BD955" s="93"/>
      <c r="BE955" s="93"/>
      <c r="BF955" s="93"/>
      <c r="BG955" s="93"/>
      <c r="BH955" s="93"/>
      <c r="BI955" s="93"/>
      <c r="BJ955" s="93"/>
      <c r="BK955" s="93"/>
      <c r="BL955" s="93"/>
      <c r="BM955" s="93"/>
      <c r="BN955" s="93"/>
      <c r="BO955" s="93"/>
      <c r="BP955" s="93"/>
      <c r="BQ955" s="93"/>
      <c r="BR955" s="93"/>
      <c r="BS955" s="93"/>
      <c r="BT955" s="93"/>
      <c r="BU955" s="93"/>
      <c r="BV955" s="93"/>
      <c r="BW955" s="93"/>
      <c r="BX955" s="93"/>
      <c r="BY955" s="93"/>
      <c r="BZ955" s="93"/>
      <c r="CA955" s="93"/>
      <c r="CB955" s="93"/>
      <c r="CC955" s="93"/>
      <c r="CD955" s="93"/>
      <c r="CE955" s="93"/>
      <c r="CF955" s="93"/>
      <c r="CG955" s="93"/>
      <c r="CH955" s="93"/>
      <c r="CI955" s="93"/>
      <c r="CJ955" s="93"/>
      <c r="CK955" s="93"/>
      <c r="CL955" s="93"/>
      <c r="CM955" s="93"/>
      <c r="CN955" s="93"/>
      <c r="CO955" s="93"/>
      <c r="CP955" s="93"/>
      <c r="CQ955" s="93"/>
      <c r="CR955" s="93"/>
      <c r="CS955" s="93"/>
      <c r="CT955" s="93"/>
      <c r="CU955" s="93"/>
      <c r="CV955" s="93"/>
      <c r="CW955" s="93"/>
      <c r="CX955" s="93"/>
      <c r="CY955" s="93"/>
      <c r="CZ955" s="93"/>
      <c r="DA955" s="93"/>
      <c r="DB955" s="93"/>
      <c r="DC955" s="93"/>
      <c r="DD955" s="93"/>
    </row>
    <row r="956" spans="30:108" ht="6.95" customHeight="1" x14ac:dyDescent="0.15"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3"/>
      <c r="BF956" s="93"/>
      <c r="BG956" s="93"/>
      <c r="BH956" s="93"/>
      <c r="BI956" s="93"/>
      <c r="BJ956" s="93"/>
      <c r="BK956" s="93"/>
      <c r="BL956" s="93"/>
      <c r="BM956" s="93"/>
      <c r="BN956" s="93"/>
      <c r="BO956" s="93"/>
      <c r="BP956" s="93"/>
      <c r="BQ956" s="93"/>
      <c r="BR956" s="93"/>
      <c r="BS956" s="93"/>
      <c r="BT956" s="93"/>
      <c r="BU956" s="93"/>
      <c r="BV956" s="93"/>
      <c r="BW956" s="93"/>
      <c r="BX956" s="93"/>
      <c r="BY956" s="93"/>
      <c r="BZ956" s="93"/>
      <c r="CA956" s="93"/>
      <c r="CB956" s="93"/>
      <c r="CC956" s="93"/>
      <c r="CD956" s="93"/>
      <c r="CE956" s="93"/>
      <c r="CF956" s="93"/>
      <c r="CG956" s="93"/>
      <c r="CH956" s="93"/>
      <c r="CI956" s="93"/>
      <c r="CJ956" s="93"/>
      <c r="CK956" s="93"/>
      <c r="CL956" s="93"/>
      <c r="CM956" s="93"/>
      <c r="CN956" s="93"/>
      <c r="CO956" s="93"/>
      <c r="CP956" s="93"/>
      <c r="CQ956" s="93"/>
      <c r="CR956" s="93"/>
      <c r="CS956" s="93"/>
      <c r="CT956" s="93"/>
      <c r="CU956" s="93"/>
      <c r="CV956" s="93"/>
      <c r="CW956" s="93"/>
      <c r="CX956" s="93"/>
      <c r="CY956" s="93"/>
      <c r="CZ956" s="93"/>
      <c r="DA956" s="93"/>
      <c r="DB956" s="93"/>
      <c r="DC956" s="93"/>
      <c r="DD956" s="93"/>
    </row>
    <row r="957" spans="30:108" ht="6.95" customHeight="1" x14ac:dyDescent="0.15"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  <c r="AX957" s="93"/>
      <c r="AY957" s="93"/>
      <c r="AZ957" s="93"/>
      <c r="BA957" s="93"/>
      <c r="BB957" s="93"/>
      <c r="BC957" s="93"/>
      <c r="BD957" s="93"/>
      <c r="BE957" s="93"/>
      <c r="BF957" s="93"/>
      <c r="BG957" s="93"/>
      <c r="BH957" s="93"/>
      <c r="BI957" s="93"/>
      <c r="BJ957" s="93"/>
      <c r="BK957" s="93"/>
      <c r="BL957" s="93"/>
      <c r="BM957" s="93"/>
      <c r="BN957" s="93"/>
      <c r="BO957" s="93"/>
      <c r="BP957" s="93"/>
      <c r="BQ957" s="93"/>
      <c r="BR957" s="93"/>
      <c r="BS957" s="93"/>
      <c r="BT957" s="93"/>
      <c r="BU957" s="93"/>
      <c r="BV957" s="93"/>
      <c r="BW957" s="93"/>
      <c r="BX957" s="93"/>
      <c r="BY957" s="93"/>
      <c r="BZ957" s="93"/>
      <c r="CA957" s="93"/>
      <c r="CB957" s="93"/>
      <c r="CC957" s="93"/>
      <c r="CD957" s="93"/>
      <c r="CE957" s="93"/>
      <c r="CF957" s="93"/>
      <c r="CG957" s="93"/>
      <c r="CH957" s="93"/>
      <c r="CI957" s="93"/>
      <c r="CJ957" s="93"/>
      <c r="CK957" s="93"/>
      <c r="CL957" s="93"/>
      <c r="CM957" s="93"/>
      <c r="CN957" s="93"/>
      <c r="CO957" s="93"/>
      <c r="CP957" s="93"/>
      <c r="CQ957" s="93"/>
      <c r="CR957" s="93"/>
      <c r="CS957" s="93"/>
      <c r="CT957" s="93"/>
      <c r="CU957" s="93"/>
      <c r="CV957" s="93"/>
      <c r="CW957" s="93"/>
      <c r="CX957" s="93"/>
      <c r="CY957" s="93"/>
      <c r="CZ957" s="93"/>
      <c r="DA957" s="93"/>
      <c r="DB957" s="93"/>
      <c r="DC957" s="93"/>
      <c r="DD957" s="93"/>
    </row>
    <row r="958" spans="30:108" ht="6.95" customHeight="1" x14ac:dyDescent="0.15"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  <c r="AX958" s="93"/>
      <c r="AY958" s="93"/>
      <c r="AZ958" s="93"/>
      <c r="BA958" s="93"/>
      <c r="BB958" s="93"/>
      <c r="BC958" s="93"/>
      <c r="BD958" s="93"/>
      <c r="BE958" s="93"/>
      <c r="BF958" s="93"/>
      <c r="BG958" s="93"/>
      <c r="BH958" s="93"/>
      <c r="BI958" s="93"/>
      <c r="BJ958" s="93"/>
      <c r="BK958" s="93"/>
      <c r="BL958" s="93"/>
      <c r="BM958" s="93"/>
      <c r="BN958" s="93"/>
      <c r="BO958" s="93"/>
      <c r="BP958" s="93"/>
      <c r="BQ958" s="93"/>
      <c r="BR958" s="93"/>
      <c r="BS958" s="93"/>
      <c r="BT958" s="93"/>
      <c r="BU958" s="93"/>
      <c r="BV958" s="93"/>
      <c r="BW958" s="93"/>
      <c r="BX958" s="93"/>
      <c r="BY958" s="93"/>
      <c r="BZ958" s="93"/>
      <c r="CA958" s="93"/>
      <c r="CB958" s="93"/>
      <c r="CC958" s="93"/>
      <c r="CD958" s="93"/>
      <c r="CE958" s="93"/>
      <c r="CF958" s="93"/>
      <c r="CG958" s="93"/>
      <c r="CH958" s="93"/>
      <c r="CI958" s="93"/>
      <c r="CJ958" s="93"/>
      <c r="CK958" s="93"/>
      <c r="CL958" s="93"/>
      <c r="CM958" s="93"/>
      <c r="CN958" s="93"/>
      <c r="CO958" s="93"/>
      <c r="CP958" s="93"/>
      <c r="CQ958" s="93"/>
      <c r="CR958" s="93"/>
      <c r="CS958" s="93"/>
      <c r="CT958" s="93"/>
      <c r="CU958" s="93"/>
      <c r="CV958" s="93"/>
      <c r="CW958" s="93"/>
      <c r="CX958" s="93"/>
      <c r="CY958" s="93"/>
      <c r="CZ958" s="93"/>
      <c r="DA958" s="93"/>
      <c r="DB958" s="93"/>
      <c r="DC958" s="93"/>
      <c r="DD958" s="93"/>
    </row>
    <row r="959" spans="30:108" ht="6.95" customHeight="1" x14ac:dyDescent="0.15"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3"/>
      <c r="BF959" s="93"/>
      <c r="BG959" s="93"/>
      <c r="BH959" s="93"/>
      <c r="BI959" s="93"/>
      <c r="BJ959" s="93"/>
      <c r="BK959" s="93"/>
      <c r="BL959" s="93"/>
      <c r="BM959" s="93"/>
      <c r="BN959" s="93"/>
      <c r="BO959" s="93"/>
      <c r="BP959" s="93"/>
      <c r="BQ959" s="93"/>
      <c r="BR959" s="93"/>
      <c r="BS959" s="93"/>
      <c r="BT959" s="93"/>
      <c r="BU959" s="93"/>
      <c r="BV959" s="93"/>
      <c r="BW959" s="93"/>
      <c r="BX959" s="93"/>
      <c r="BY959" s="93"/>
      <c r="BZ959" s="93"/>
      <c r="CA959" s="93"/>
      <c r="CB959" s="93"/>
      <c r="CC959" s="93"/>
      <c r="CD959" s="93"/>
      <c r="CE959" s="93"/>
      <c r="CF959" s="93"/>
      <c r="CG959" s="93"/>
      <c r="CH959" s="93"/>
      <c r="CI959" s="93"/>
      <c r="CJ959" s="93"/>
      <c r="CK959" s="93"/>
      <c r="CL959" s="93"/>
      <c r="CM959" s="93"/>
      <c r="CN959" s="93"/>
      <c r="CO959" s="93"/>
      <c r="CP959" s="93"/>
      <c r="CQ959" s="93"/>
      <c r="CR959" s="93"/>
      <c r="CS959" s="93"/>
      <c r="CT959" s="93"/>
      <c r="CU959" s="93"/>
      <c r="CV959" s="93"/>
      <c r="CW959" s="93"/>
      <c r="CX959" s="93"/>
      <c r="CY959" s="93"/>
      <c r="CZ959" s="93"/>
      <c r="DA959" s="93"/>
      <c r="DB959" s="93"/>
      <c r="DC959" s="93"/>
      <c r="DD959" s="93"/>
    </row>
    <row r="960" spans="30:108" ht="6.95" customHeight="1" x14ac:dyDescent="0.15"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  <c r="AX960" s="93"/>
      <c r="AY960" s="93"/>
      <c r="AZ960" s="93"/>
      <c r="BA960" s="93"/>
      <c r="BB960" s="93"/>
      <c r="BC960" s="93"/>
      <c r="BD960" s="93"/>
      <c r="BE960" s="93"/>
      <c r="BF960" s="93"/>
      <c r="BG960" s="93"/>
      <c r="BH960" s="93"/>
      <c r="BI960" s="93"/>
      <c r="BJ960" s="93"/>
      <c r="BK960" s="93"/>
      <c r="BL960" s="93"/>
      <c r="BM960" s="93"/>
      <c r="BN960" s="93"/>
      <c r="BO960" s="93"/>
      <c r="BP960" s="93"/>
      <c r="BQ960" s="93"/>
      <c r="BR960" s="93"/>
      <c r="BS960" s="93"/>
      <c r="BT960" s="93"/>
      <c r="BU960" s="93"/>
      <c r="BV960" s="93"/>
      <c r="BW960" s="93"/>
      <c r="BX960" s="93"/>
      <c r="BY960" s="93"/>
      <c r="BZ960" s="93"/>
      <c r="CA960" s="93"/>
      <c r="CB960" s="93"/>
      <c r="CC960" s="93"/>
      <c r="CD960" s="93"/>
      <c r="CE960" s="93"/>
      <c r="CF960" s="93"/>
      <c r="CG960" s="93"/>
      <c r="CH960" s="93"/>
      <c r="CI960" s="93"/>
      <c r="CJ960" s="93"/>
      <c r="CK960" s="93"/>
      <c r="CL960" s="93"/>
      <c r="CM960" s="93"/>
      <c r="CN960" s="93"/>
      <c r="CO960" s="93"/>
      <c r="CP960" s="93"/>
      <c r="CQ960" s="93"/>
      <c r="CR960" s="93"/>
      <c r="CS960" s="93"/>
      <c r="CT960" s="93"/>
      <c r="CU960" s="93"/>
      <c r="CV960" s="93"/>
      <c r="CW960" s="93"/>
      <c r="CX960" s="93"/>
      <c r="CY960" s="93"/>
      <c r="CZ960" s="93"/>
      <c r="DA960" s="93"/>
      <c r="DB960" s="93"/>
      <c r="DC960" s="93"/>
      <c r="DD960" s="93"/>
    </row>
    <row r="961" spans="30:108" ht="6.95" customHeight="1" x14ac:dyDescent="0.15"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  <c r="AX961" s="93"/>
      <c r="AY961" s="93"/>
      <c r="AZ961" s="93"/>
      <c r="BA961" s="93"/>
      <c r="BB961" s="93"/>
      <c r="BC961" s="93"/>
      <c r="BD961" s="93"/>
      <c r="BE961" s="93"/>
      <c r="BF961" s="93"/>
      <c r="BG961" s="93"/>
      <c r="BH961" s="93"/>
      <c r="BI961" s="93"/>
      <c r="BJ961" s="93"/>
      <c r="BK961" s="93"/>
      <c r="BL961" s="93"/>
      <c r="BM961" s="93"/>
      <c r="BN961" s="93"/>
      <c r="BO961" s="93"/>
      <c r="BP961" s="93"/>
      <c r="BQ961" s="93"/>
      <c r="BR961" s="93"/>
      <c r="BS961" s="93"/>
      <c r="BT961" s="93"/>
      <c r="BU961" s="93"/>
      <c r="BV961" s="93"/>
      <c r="BW961" s="93"/>
      <c r="BX961" s="93"/>
      <c r="BY961" s="93"/>
      <c r="BZ961" s="93"/>
      <c r="CA961" s="93"/>
      <c r="CB961" s="93"/>
      <c r="CC961" s="93"/>
      <c r="CD961" s="93"/>
      <c r="CE961" s="93"/>
      <c r="CF961" s="93"/>
      <c r="CG961" s="93"/>
      <c r="CH961" s="93"/>
      <c r="CI961" s="93"/>
      <c r="CJ961" s="93"/>
      <c r="CK961" s="93"/>
      <c r="CL961" s="93"/>
      <c r="CM961" s="93"/>
      <c r="CN961" s="93"/>
      <c r="CO961" s="93"/>
      <c r="CP961" s="93"/>
      <c r="CQ961" s="93"/>
      <c r="CR961" s="93"/>
      <c r="CS961" s="93"/>
      <c r="CT961" s="93"/>
      <c r="CU961" s="93"/>
      <c r="CV961" s="93"/>
      <c r="CW961" s="93"/>
      <c r="CX961" s="93"/>
      <c r="CY961" s="93"/>
      <c r="CZ961" s="93"/>
      <c r="DA961" s="93"/>
      <c r="DB961" s="93"/>
      <c r="DC961" s="93"/>
      <c r="DD961" s="93"/>
    </row>
    <row r="962" spans="30:108" ht="6.95" customHeight="1" x14ac:dyDescent="0.15"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3"/>
      <c r="BF962" s="93"/>
      <c r="BG962" s="93"/>
      <c r="BH962" s="93"/>
      <c r="BI962" s="93"/>
      <c r="BJ962" s="93"/>
      <c r="BK962" s="93"/>
      <c r="BL962" s="93"/>
      <c r="BM962" s="93"/>
      <c r="BN962" s="93"/>
      <c r="BO962" s="93"/>
      <c r="BP962" s="93"/>
      <c r="BQ962" s="93"/>
      <c r="BR962" s="93"/>
      <c r="BS962" s="93"/>
      <c r="BT962" s="93"/>
      <c r="BU962" s="93"/>
      <c r="BV962" s="93"/>
      <c r="BW962" s="93"/>
      <c r="BX962" s="93"/>
      <c r="BY962" s="93"/>
      <c r="BZ962" s="93"/>
      <c r="CA962" s="93"/>
      <c r="CB962" s="93"/>
      <c r="CC962" s="93"/>
      <c r="CD962" s="93"/>
      <c r="CE962" s="93"/>
      <c r="CF962" s="93"/>
      <c r="CG962" s="93"/>
      <c r="CH962" s="93"/>
      <c r="CI962" s="93"/>
      <c r="CJ962" s="93"/>
      <c r="CK962" s="93"/>
      <c r="CL962" s="93"/>
      <c r="CM962" s="93"/>
      <c r="CN962" s="93"/>
      <c r="CO962" s="93"/>
      <c r="CP962" s="93"/>
      <c r="CQ962" s="93"/>
      <c r="CR962" s="93"/>
      <c r="CS962" s="93"/>
      <c r="CT962" s="93"/>
      <c r="CU962" s="93"/>
      <c r="CV962" s="93"/>
      <c r="CW962" s="93"/>
      <c r="CX962" s="93"/>
      <c r="CY962" s="93"/>
      <c r="CZ962" s="93"/>
      <c r="DA962" s="93"/>
      <c r="DB962" s="93"/>
      <c r="DC962" s="93"/>
      <c r="DD962" s="93"/>
    </row>
    <row r="963" spans="30:108" ht="6.95" customHeight="1" x14ac:dyDescent="0.15"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  <c r="AX963" s="93"/>
      <c r="AY963" s="93"/>
      <c r="AZ963" s="93"/>
      <c r="BA963" s="93"/>
      <c r="BB963" s="93"/>
      <c r="BC963" s="93"/>
      <c r="BD963" s="93"/>
      <c r="BE963" s="93"/>
      <c r="BF963" s="93"/>
      <c r="BG963" s="93"/>
      <c r="BH963" s="93"/>
      <c r="BI963" s="93"/>
      <c r="BJ963" s="93"/>
      <c r="BK963" s="93"/>
      <c r="BL963" s="93"/>
      <c r="BM963" s="93"/>
      <c r="BN963" s="93"/>
      <c r="BO963" s="93"/>
      <c r="BP963" s="93"/>
      <c r="BQ963" s="93"/>
      <c r="BR963" s="93"/>
      <c r="BS963" s="93"/>
      <c r="BT963" s="93"/>
      <c r="BU963" s="93"/>
      <c r="BV963" s="93"/>
      <c r="BW963" s="93"/>
      <c r="BX963" s="93"/>
      <c r="BY963" s="93"/>
      <c r="BZ963" s="93"/>
      <c r="CA963" s="93"/>
      <c r="CB963" s="93"/>
      <c r="CC963" s="93"/>
      <c r="CD963" s="93"/>
      <c r="CE963" s="93"/>
      <c r="CF963" s="93"/>
      <c r="CG963" s="93"/>
      <c r="CH963" s="93"/>
      <c r="CI963" s="93"/>
      <c r="CJ963" s="93"/>
      <c r="CK963" s="93"/>
      <c r="CL963" s="93"/>
      <c r="CM963" s="93"/>
      <c r="CN963" s="93"/>
      <c r="CO963" s="93"/>
      <c r="CP963" s="93"/>
      <c r="CQ963" s="93"/>
      <c r="CR963" s="93"/>
      <c r="CS963" s="93"/>
      <c r="CT963" s="93"/>
      <c r="CU963" s="93"/>
      <c r="CV963" s="93"/>
      <c r="CW963" s="93"/>
      <c r="CX963" s="93"/>
      <c r="CY963" s="93"/>
      <c r="CZ963" s="93"/>
      <c r="DA963" s="93"/>
      <c r="DB963" s="93"/>
      <c r="DC963" s="93"/>
      <c r="DD963" s="93"/>
    </row>
    <row r="964" spans="30:108" ht="6.95" customHeight="1" x14ac:dyDescent="0.15"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  <c r="AX964" s="93"/>
      <c r="AY964" s="93"/>
      <c r="AZ964" s="93"/>
      <c r="BA964" s="93"/>
      <c r="BB964" s="93"/>
      <c r="BC964" s="93"/>
      <c r="BD964" s="93"/>
      <c r="BE964" s="93"/>
      <c r="BF964" s="93"/>
      <c r="BG964" s="93"/>
      <c r="BH964" s="93"/>
      <c r="BI964" s="93"/>
      <c r="BJ964" s="93"/>
      <c r="BK964" s="93"/>
      <c r="BL964" s="93"/>
      <c r="BM964" s="93"/>
      <c r="BN964" s="93"/>
      <c r="BO964" s="93"/>
      <c r="BP964" s="93"/>
      <c r="BQ964" s="93"/>
      <c r="BR964" s="93"/>
      <c r="BS964" s="93"/>
      <c r="BT964" s="93"/>
      <c r="BU964" s="93"/>
      <c r="BV964" s="93"/>
      <c r="BW964" s="93"/>
      <c r="BX964" s="93"/>
      <c r="BY964" s="93"/>
      <c r="BZ964" s="93"/>
      <c r="CA964" s="93"/>
      <c r="CB964" s="93"/>
      <c r="CC964" s="93"/>
      <c r="CD964" s="93"/>
      <c r="CE964" s="93"/>
      <c r="CF964" s="93"/>
      <c r="CG964" s="93"/>
      <c r="CH964" s="93"/>
      <c r="CI964" s="93"/>
      <c r="CJ964" s="93"/>
      <c r="CK964" s="93"/>
      <c r="CL964" s="93"/>
      <c r="CM964" s="93"/>
      <c r="CN964" s="93"/>
      <c r="CO964" s="93"/>
      <c r="CP964" s="93"/>
      <c r="CQ964" s="93"/>
      <c r="CR964" s="93"/>
      <c r="CS964" s="93"/>
      <c r="CT964" s="93"/>
      <c r="CU964" s="93"/>
      <c r="CV964" s="93"/>
      <c r="CW964" s="93"/>
      <c r="CX964" s="93"/>
      <c r="CY964" s="93"/>
      <c r="CZ964" s="93"/>
      <c r="DA964" s="93"/>
      <c r="DB964" s="93"/>
      <c r="DC964" s="93"/>
      <c r="DD964" s="93"/>
    </row>
    <row r="965" spans="30:108" ht="6.95" customHeight="1" x14ac:dyDescent="0.15"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3"/>
      <c r="BF965" s="93"/>
      <c r="BG965" s="93"/>
      <c r="BH965" s="93"/>
      <c r="BI965" s="93"/>
      <c r="BJ965" s="93"/>
      <c r="BK965" s="93"/>
      <c r="BL965" s="93"/>
      <c r="BM965" s="93"/>
      <c r="BN965" s="93"/>
      <c r="BO965" s="93"/>
      <c r="BP965" s="93"/>
      <c r="BQ965" s="93"/>
      <c r="BR965" s="93"/>
      <c r="BS965" s="93"/>
      <c r="BT965" s="93"/>
      <c r="BU965" s="93"/>
      <c r="BV965" s="93"/>
      <c r="BW965" s="93"/>
      <c r="BX965" s="93"/>
      <c r="BY965" s="93"/>
      <c r="BZ965" s="93"/>
      <c r="CA965" s="93"/>
      <c r="CB965" s="93"/>
      <c r="CC965" s="93"/>
      <c r="CD965" s="93"/>
      <c r="CE965" s="93"/>
      <c r="CF965" s="93"/>
      <c r="CG965" s="93"/>
      <c r="CH965" s="93"/>
      <c r="CI965" s="93"/>
      <c r="CJ965" s="93"/>
      <c r="CK965" s="93"/>
      <c r="CL965" s="93"/>
      <c r="CM965" s="93"/>
      <c r="CN965" s="93"/>
      <c r="CO965" s="93"/>
      <c r="CP965" s="93"/>
      <c r="CQ965" s="93"/>
      <c r="CR965" s="93"/>
      <c r="CS965" s="93"/>
      <c r="CT965" s="93"/>
      <c r="CU965" s="93"/>
      <c r="CV965" s="93"/>
      <c r="CW965" s="93"/>
      <c r="CX965" s="93"/>
      <c r="CY965" s="93"/>
      <c r="CZ965" s="93"/>
      <c r="DA965" s="93"/>
      <c r="DB965" s="93"/>
      <c r="DC965" s="93"/>
      <c r="DD965" s="93"/>
    </row>
    <row r="966" spans="30:108" ht="6.95" customHeight="1" x14ac:dyDescent="0.15"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  <c r="AX966" s="93"/>
      <c r="AY966" s="93"/>
      <c r="AZ966" s="93"/>
      <c r="BA966" s="93"/>
      <c r="BB966" s="93"/>
      <c r="BC966" s="93"/>
      <c r="BD966" s="93"/>
      <c r="BE966" s="93"/>
      <c r="BF966" s="93"/>
      <c r="BG966" s="93"/>
      <c r="BH966" s="93"/>
      <c r="BI966" s="93"/>
      <c r="BJ966" s="93"/>
      <c r="BK966" s="93"/>
      <c r="BL966" s="93"/>
      <c r="BM966" s="93"/>
      <c r="BN966" s="93"/>
      <c r="BO966" s="93"/>
      <c r="BP966" s="93"/>
      <c r="BQ966" s="93"/>
      <c r="BR966" s="93"/>
      <c r="BS966" s="93"/>
      <c r="BT966" s="93"/>
      <c r="BU966" s="93"/>
      <c r="BV966" s="93"/>
      <c r="BW966" s="93"/>
      <c r="BX966" s="93"/>
      <c r="BY966" s="93"/>
      <c r="BZ966" s="93"/>
      <c r="CA966" s="93"/>
      <c r="CB966" s="93"/>
      <c r="CC966" s="93"/>
      <c r="CD966" s="93"/>
      <c r="CE966" s="93"/>
      <c r="CF966" s="93"/>
      <c r="CG966" s="93"/>
      <c r="CH966" s="93"/>
      <c r="CI966" s="93"/>
      <c r="CJ966" s="93"/>
      <c r="CK966" s="93"/>
      <c r="CL966" s="93"/>
      <c r="CM966" s="93"/>
      <c r="CN966" s="93"/>
      <c r="CO966" s="93"/>
      <c r="CP966" s="93"/>
      <c r="CQ966" s="93"/>
      <c r="CR966" s="93"/>
      <c r="CS966" s="93"/>
      <c r="CT966" s="93"/>
      <c r="CU966" s="93"/>
      <c r="CV966" s="93"/>
      <c r="CW966" s="93"/>
      <c r="CX966" s="93"/>
      <c r="CY966" s="93"/>
      <c r="CZ966" s="93"/>
      <c r="DA966" s="93"/>
      <c r="DB966" s="93"/>
      <c r="DC966" s="93"/>
      <c r="DD966" s="93"/>
    </row>
    <row r="967" spans="30:108" ht="6.95" customHeight="1" x14ac:dyDescent="0.15"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  <c r="AX967" s="93"/>
      <c r="AY967" s="93"/>
      <c r="AZ967" s="93"/>
      <c r="BA967" s="93"/>
      <c r="BB967" s="93"/>
      <c r="BC967" s="93"/>
      <c r="BD967" s="93"/>
      <c r="BE967" s="93"/>
      <c r="BF967" s="93"/>
      <c r="BG967" s="93"/>
      <c r="BH967" s="93"/>
      <c r="BI967" s="93"/>
      <c r="BJ967" s="93"/>
      <c r="BK967" s="93"/>
      <c r="BL967" s="93"/>
      <c r="BM967" s="93"/>
      <c r="BN967" s="93"/>
      <c r="BO967" s="93"/>
      <c r="BP967" s="93"/>
      <c r="BQ967" s="93"/>
      <c r="BR967" s="93"/>
      <c r="BS967" s="93"/>
      <c r="BT967" s="93"/>
      <c r="BU967" s="93"/>
      <c r="BV967" s="93"/>
      <c r="BW967" s="93"/>
      <c r="BX967" s="93"/>
      <c r="BY967" s="93"/>
      <c r="BZ967" s="93"/>
      <c r="CA967" s="93"/>
      <c r="CB967" s="93"/>
      <c r="CC967" s="93"/>
      <c r="CD967" s="93"/>
      <c r="CE967" s="93"/>
      <c r="CF967" s="93"/>
      <c r="CG967" s="93"/>
      <c r="CH967" s="93"/>
      <c r="CI967" s="93"/>
      <c r="CJ967" s="93"/>
      <c r="CK967" s="93"/>
      <c r="CL967" s="93"/>
      <c r="CM967" s="93"/>
      <c r="CN967" s="93"/>
      <c r="CO967" s="93"/>
      <c r="CP967" s="93"/>
      <c r="CQ967" s="93"/>
      <c r="CR967" s="93"/>
      <c r="CS967" s="93"/>
      <c r="CT967" s="93"/>
      <c r="CU967" s="93"/>
      <c r="CV967" s="93"/>
      <c r="CW967" s="93"/>
      <c r="CX967" s="93"/>
      <c r="CY967" s="93"/>
      <c r="CZ967" s="93"/>
      <c r="DA967" s="93"/>
      <c r="DB967" s="93"/>
      <c r="DC967" s="93"/>
      <c r="DD967" s="93"/>
    </row>
    <row r="968" spans="30:108" ht="6.95" customHeight="1" x14ac:dyDescent="0.15"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3"/>
      <c r="BF968" s="93"/>
      <c r="BG968" s="93"/>
      <c r="BH968" s="93"/>
      <c r="BI968" s="93"/>
      <c r="BJ968" s="93"/>
      <c r="BK968" s="93"/>
      <c r="BL968" s="93"/>
      <c r="BM968" s="93"/>
      <c r="BN968" s="93"/>
      <c r="BO968" s="93"/>
      <c r="BP968" s="93"/>
      <c r="BQ968" s="93"/>
      <c r="BR968" s="93"/>
      <c r="BS968" s="93"/>
      <c r="BT968" s="93"/>
      <c r="BU968" s="93"/>
      <c r="BV968" s="93"/>
      <c r="BW968" s="93"/>
      <c r="BX968" s="93"/>
      <c r="BY968" s="93"/>
      <c r="BZ968" s="93"/>
      <c r="CA968" s="93"/>
      <c r="CB968" s="93"/>
      <c r="CC968" s="93"/>
      <c r="CD968" s="93"/>
      <c r="CE968" s="93"/>
      <c r="CF968" s="93"/>
      <c r="CG968" s="93"/>
      <c r="CH968" s="93"/>
      <c r="CI968" s="93"/>
      <c r="CJ968" s="93"/>
      <c r="CK968" s="93"/>
      <c r="CL968" s="93"/>
      <c r="CM968" s="93"/>
      <c r="CN968" s="93"/>
      <c r="CO968" s="93"/>
      <c r="CP968" s="93"/>
      <c r="CQ968" s="93"/>
      <c r="CR968" s="93"/>
      <c r="CS968" s="93"/>
      <c r="CT968" s="93"/>
      <c r="CU968" s="93"/>
      <c r="CV968" s="93"/>
      <c r="CW968" s="93"/>
      <c r="CX968" s="93"/>
      <c r="CY968" s="93"/>
      <c r="CZ968" s="93"/>
      <c r="DA968" s="93"/>
      <c r="DB968" s="93"/>
      <c r="DC968" s="93"/>
      <c r="DD968" s="93"/>
    </row>
    <row r="969" spans="30:108" ht="6.95" customHeight="1" x14ac:dyDescent="0.15"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  <c r="AX969" s="93"/>
      <c r="AY969" s="93"/>
      <c r="AZ969" s="93"/>
      <c r="BA969" s="93"/>
      <c r="BB969" s="93"/>
      <c r="BC969" s="93"/>
      <c r="BD969" s="93"/>
      <c r="BE969" s="93"/>
      <c r="BF969" s="93"/>
      <c r="BG969" s="93"/>
      <c r="BH969" s="93"/>
      <c r="BI969" s="93"/>
      <c r="BJ969" s="93"/>
      <c r="BK969" s="93"/>
      <c r="BL969" s="93"/>
      <c r="BM969" s="93"/>
      <c r="BN969" s="93"/>
      <c r="BO969" s="93"/>
      <c r="BP969" s="93"/>
      <c r="BQ969" s="93"/>
      <c r="BR969" s="93"/>
      <c r="BS969" s="93"/>
      <c r="BT969" s="93"/>
      <c r="BU969" s="93"/>
      <c r="BV969" s="93"/>
      <c r="BW969" s="93"/>
      <c r="BX969" s="93"/>
      <c r="BY969" s="93"/>
      <c r="BZ969" s="93"/>
      <c r="CA969" s="93"/>
      <c r="CB969" s="93"/>
      <c r="CC969" s="93"/>
      <c r="CD969" s="93"/>
      <c r="CE969" s="93"/>
      <c r="CF969" s="93"/>
      <c r="CG969" s="93"/>
      <c r="CH969" s="93"/>
      <c r="CI969" s="93"/>
      <c r="CJ969" s="93"/>
      <c r="CK969" s="93"/>
      <c r="CL969" s="93"/>
      <c r="CM969" s="93"/>
      <c r="CN969" s="93"/>
      <c r="CO969" s="93"/>
      <c r="CP969" s="93"/>
      <c r="CQ969" s="93"/>
      <c r="CR969" s="93"/>
      <c r="CS969" s="93"/>
      <c r="CT969" s="93"/>
      <c r="CU969" s="93"/>
      <c r="CV969" s="93"/>
      <c r="CW969" s="93"/>
      <c r="CX969" s="93"/>
      <c r="CY969" s="93"/>
      <c r="CZ969" s="93"/>
      <c r="DA969" s="93"/>
      <c r="DB969" s="93"/>
      <c r="DC969" s="93"/>
      <c r="DD969" s="93"/>
    </row>
    <row r="970" spans="30:108" ht="6.95" customHeight="1" x14ac:dyDescent="0.15"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  <c r="AX970" s="93"/>
      <c r="AY970" s="93"/>
      <c r="AZ970" s="93"/>
      <c r="BA970" s="93"/>
      <c r="BB970" s="93"/>
      <c r="BC970" s="93"/>
      <c r="BD970" s="93"/>
      <c r="BE970" s="93"/>
      <c r="BF970" s="93"/>
      <c r="BG970" s="93"/>
      <c r="BH970" s="93"/>
      <c r="BI970" s="93"/>
      <c r="BJ970" s="93"/>
      <c r="BK970" s="93"/>
      <c r="BL970" s="93"/>
      <c r="BM970" s="93"/>
      <c r="BN970" s="93"/>
      <c r="BO970" s="93"/>
      <c r="BP970" s="93"/>
      <c r="BQ970" s="93"/>
      <c r="BR970" s="93"/>
      <c r="BS970" s="93"/>
      <c r="BT970" s="93"/>
      <c r="BU970" s="93"/>
      <c r="BV970" s="93"/>
      <c r="BW970" s="93"/>
      <c r="BX970" s="93"/>
      <c r="BY970" s="93"/>
      <c r="BZ970" s="93"/>
      <c r="CA970" s="93"/>
      <c r="CB970" s="93"/>
      <c r="CC970" s="93"/>
      <c r="CD970" s="93"/>
      <c r="CE970" s="93"/>
      <c r="CF970" s="93"/>
      <c r="CG970" s="93"/>
      <c r="CH970" s="93"/>
      <c r="CI970" s="93"/>
      <c r="CJ970" s="93"/>
      <c r="CK970" s="93"/>
      <c r="CL970" s="93"/>
      <c r="CM970" s="93"/>
      <c r="CN970" s="93"/>
      <c r="CO970" s="93"/>
      <c r="CP970" s="93"/>
      <c r="CQ970" s="93"/>
      <c r="CR970" s="93"/>
      <c r="CS970" s="93"/>
      <c r="CT970" s="93"/>
      <c r="CU970" s="93"/>
      <c r="CV970" s="93"/>
      <c r="CW970" s="93"/>
      <c r="CX970" s="93"/>
      <c r="CY970" s="93"/>
      <c r="CZ970" s="93"/>
      <c r="DA970" s="93"/>
      <c r="DB970" s="93"/>
      <c r="DC970" s="93"/>
      <c r="DD970" s="93"/>
    </row>
    <row r="971" spans="30:108" ht="6.95" customHeight="1" x14ac:dyDescent="0.15"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3"/>
      <c r="BF971" s="93"/>
      <c r="BG971" s="93"/>
      <c r="BH971" s="93"/>
      <c r="BI971" s="93"/>
      <c r="BJ971" s="93"/>
      <c r="BK971" s="93"/>
      <c r="BL971" s="93"/>
      <c r="BM971" s="93"/>
      <c r="BN971" s="93"/>
      <c r="BO971" s="93"/>
      <c r="BP971" s="93"/>
      <c r="BQ971" s="93"/>
      <c r="BR971" s="93"/>
      <c r="BS971" s="93"/>
      <c r="BT971" s="93"/>
      <c r="BU971" s="93"/>
      <c r="BV971" s="93"/>
      <c r="BW971" s="93"/>
      <c r="BX971" s="93"/>
      <c r="BY971" s="93"/>
      <c r="BZ971" s="93"/>
      <c r="CA971" s="93"/>
      <c r="CB971" s="93"/>
      <c r="CC971" s="93"/>
      <c r="CD971" s="93"/>
      <c r="CE971" s="93"/>
      <c r="CF971" s="93"/>
      <c r="CG971" s="93"/>
      <c r="CH971" s="93"/>
      <c r="CI971" s="93"/>
      <c r="CJ971" s="93"/>
      <c r="CK971" s="93"/>
      <c r="CL971" s="93"/>
      <c r="CM971" s="93"/>
      <c r="CN971" s="93"/>
      <c r="CO971" s="93"/>
      <c r="CP971" s="93"/>
      <c r="CQ971" s="93"/>
      <c r="CR971" s="93"/>
      <c r="CS971" s="93"/>
      <c r="CT971" s="93"/>
      <c r="CU971" s="93"/>
      <c r="CV971" s="93"/>
      <c r="CW971" s="93"/>
      <c r="CX971" s="93"/>
      <c r="CY971" s="93"/>
      <c r="CZ971" s="93"/>
      <c r="DA971" s="93"/>
      <c r="DB971" s="93"/>
      <c r="DC971" s="93"/>
      <c r="DD971" s="93"/>
    </row>
    <row r="972" spans="30:108" ht="6.95" customHeight="1" x14ac:dyDescent="0.15"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3"/>
      <c r="BD972" s="93"/>
      <c r="BE972" s="93"/>
      <c r="BF972" s="93"/>
      <c r="BG972" s="93"/>
      <c r="BH972" s="93"/>
      <c r="BI972" s="93"/>
      <c r="BJ972" s="93"/>
      <c r="BK972" s="93"/>
      <c r="BL972" s="93"/>
      <c r="BM972" s="93"/>
      <c r="BN972" s="93"/>
      <c r="BO972" s="93"/>
      <c r="BP972" s="93"/>
      <c r="BQ972" s="93"/>
      <c r="BR972" s="93"/>
      <c r="BS972" s="93"/>
      <c r="BT972" s="93"/>
      <c r="BU972" s="93"/>
      <c r="BV972" s="93"/>
      <c r="BW972" s="93"/>
      <c r="BX972" s="93"/>
      <c r="BY972" s="93"/>
      <c r="BZ972" s="93"/>
      <c r="CA972" s="93"/>
      <c r="CB972" s="93"/>
      <c r="CC972" s="93"/>
      <c r="CD972" s="93"/>
      <c r="CE972" s="93"/>
      <c r="CF972" s="93"/>
      <c r="CG972" s="93"/>
      <c r="CH972" s="93"/>
      <c r="CI972" s="93"/>
      <c r="CJ972" s="93"/>
      <c r="CK972" s="93"/>
      <c r="CL972" s="93"/>
      <c r="CM972" s="93"/>
      <c r="CN972" s="93"/>
      <c r="CO972" s="93"/>
      <c r="CP972" s="93"/>
      <c r="CQ972" s="93"/>
      <c r="CR972" s="93"/>
      <c r="CS972" s="93"/>
      <c r="CT972" s="93"/>
      <c r="CU972" s="93"/>
      <c r="CV972" s="93"/>
      <c r="CW972" s="93"/>
      <c r="CX972" s="93"/>
      <c r="CY972" s="93"/>
      <c r="CZ972" s="93"/>
      <c r="DA972" s="93"/>
      <c r="DB972" s="93"/>
      <c r="DC972" s="93"/>
      <c r="DD972" s="93"/>
    </row>
    <row r="973" spans="30:108" ht="6.95" customHeight="1" x14ac:dyDescent="0.15"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  <c r="AX973" s="93"/>
      <c r="AY973" s="93"/>
      <c r="AZ973" s="93"/>
      <c r="BA973" s="93"/>
      <c r="BB973" s="93"/>
      <c r="BC973" s="93"/>
      <c r="BD973" s="93"/>
      <c r="BE973" s="93"/>
      <c r="BF973" s="93"/>
      <c r="BG973" s="93"/>
      <c r="BH973" s="93"/>
      <c r="BI973" s="93"/>
      <c r="BJ973" s="93"/>
      <c r="BK973" s="93"/>
      <c r="BL973" s="93"/>
      <c r="BM973" s="93"/>
      <c r="BN973" s="93"/>
      <c r="BO973" s="93"/>
      <c r="BP973" s="93"/>
      <c r="BQ973" s="93"/>
      <c r="BR973" s="93"/>
      <c r="BS973" s="93"/>
      <c r="BT973" s="93"/>
      <c r="BU973" s="93"/>
      <c r="BV973" s="93"/>
      <c r="BW973" s="93"/>
      <c r="BX973" s="93"/>
      <c r="BY973" s="93"/>
      <c r="BZ973" s="93"/>
      <c r="CA973" s="93"/>
      <c r="CB973" s="93"/>
      <c r="CC973" s="93"/>
      <c r="CD973" s="93"/>
      <c r="CE973" s="93"/>
      <c r="CF973" s="93"/>
      <c r="CG973" s="93"/>
      <c r="CH973" s="93"/>
      <c r="CI973" s="93"/>
      <c r="CJ973" s="93"/>
      <c r="CK973" s="93"/>
      <c r="CL973" s="93"/>
      <c r="CM973" s="93"/>
      <c r="CN973" s="93"/>
      <c r="CO973" s="93"/>
      <c r="CP973" s="93"/>
      <c r="CQ973" s="93"/>
      <c r="CR973" s="93"/>
      <c r="CS973" s="93"/>
      <c r="CT973" s="93"/>
      <c r="CU973" s="93"/>
      <c r="CV973" s="93"/>
      <c r="CW973" s="93"/>
      <c r="CX973" s="93"/>
      <c r="CY973" s="93"/>
      <c r="CZ973" s="93"/>
      <c r="DA973" s="93"/>
      <c r="DB973" s="93"/>
      <c r="DC973" s="93"/>
      <c r="DD973" s="93"/>
    </row>
    <row r="974" spans="30:108" ht="6.95" customHeight="1" x14ac:dyDescent="0.15"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  <c r="AX974" s="93"/>
      <c r="AY974" s="93"/>
      <c r="AZ974" s="93"/>
      <c r="BA974" s="93"/>
      <c r="BB974" s="93"/>
      <c r="BC974" s="93"/>
      <c r="BD974" s="93"/>
      <c r="BE974" s="93"/>
      <c r="BF974" s="93"/>
      <c r="BG974" s="93"/>
      <c r="BH974" s="93"/>
      <c r="BI974" s="93"/>
      <c r="BJ974" s="93"/>
      <c r="BK974" s="93"/>
      <c r="BL974" s="93"/>
      <c r="BM974" s="93"/>
      <c r="BN974" s="93"/>
      <c r="BO974" s="93"/>
      <c r="BP974" s="93"/>
      <c r="BQ974" s="93"/>
      <c r="BR974" s="93"/>
      <c r="BS974" s="93"/>
      <c r="BT974" s="93"/>
      <c r="BU974" s="93"/>
      <c r="BV974" s="93"/>
      <c r="BW974" s="93"/>
      <c r="BX974" s="93"/>
      <c r="BY974" s="93"/>
      <c r="BZ974" s="93"/>
      <c r="CA974" s="93"/>
      <c r="CB974" s="93"/>
      <c r="CC974" s="93"/>
      <c r="CD974" s="93"/>
      <c r="CE974" s="93"/>
      <c r="CF974" s="93"/>
      <c r="CG974" s="93"/>
      <c r="CH974" s="93"/>
      <c r="CI974" s="93"/>
      <c r="CJ974" s="93"/>
      <c r="CK974" s="93"/>
      <c r="CL974" s="93"/>
      <c r="CM974" s="93"/>
      <c r="CN974" s="93"/>
      <c r="CO974" s="93"/>
      <c r="CP974" s="93"/>
      <c r="CQ974" s="93"/>
      <c r="CR974" s="93"/>
      <c r="CS974" s="93"/>
      <c r="CT974" s="93"/>
      <c r="CU974" s="93"/>
      <c r="CV974" s="93"/>
      <c r="CW974" s="93"/>
      <c r="CX974" s="93"/>
      <c r="CY974" s="93"/>
      <c r="CZ974" s="93"/>
      <c r="DA974" s="93"/>
      <c r="DB974" s="93"/>
      <c r="DC974" s="93"/>
      <c r="DD974" s="93"/>
    </row>
    <row r="975" spans="30:108" ht="6.95" customHeight="1" x14ac:dyDescent="0.15"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  <c r="AX975" s="93"/>
      <c r="AY975" s="93"/>
      <c r="AZ975" s="93"/>
      <c r="BA975" s="93"/>
      <c r="BB975" s="93"/>
      <c r="BC975" s="93"/>
      <c r="BD975" s="93"/>
      <c r="BE975" s="93"/>
      <c r="BF975" s="93"/>
      <c r="BG975" s="93"/>
      <c r="BH975" s="93"/>
      <c r="BI975" s="93"/>
      <c r="BJ975" s="93"/>
      <c r="BK975" s="93"/>
      <c r="BL975" s="93"/>
      <c r="BM975" s="93"/>
      <c r="BN975" s="93"/>
      <c r="BO975" s="93"/>
      <c r="BP975" s="93"/>
      <c r="BQ975" s="93"/>
      <c r="BR975" s="93"/>
      <c r="BS975" s="93"/>
      <c r="BT975" s="93"/>
      <c r="BU975" s="93"/>
      <c r="BV975" s="93"/>
      <c r="BW975" s="93"/>
      <c r="BX975" s="93"/>
      <c r="BY975" s="93"/>
      <c r="BZ975" s="93"/>
      <c r="CA975" s="93"/>
      <c r="CB975" s="93"/>
      <c r="CC975" s="93"/>
      <c r="CD975" s="93"/>
      <c r="CE975" s="93"/>
      <c r="CF975" s="93"/>
      <c r="CG975" s="93"/>
      <c r="CH975" s="93"/>
      <c r="CI975" s="93"/>
      <c r="CJ975" s="93"/>
      <c r="CK975" s="93"/>
      <c r="CL975" s="93"/>
      <c r="CM975" s="93"/>
      <c r="CN975" s="93"/>
      <c r="CO975" s="93"/>
      <c r="CP975" s="93"/>
      <c r="CQ975" s="93"/>
      <c r="CR975" s="93"/>
      <c r="CS975" s="93"/>
      <c r="CT975" s="93"/>
      <c r="CU975" s="93"/>
      <c r="CV975" s="93"/>
      <c r="CW975" s="93"/>
      <c r="CX975" s="93"/>
      <c r="CY975" s="93"/>
      <c r="CZ975" s="93"/>
      <c r="DA975" s="93"/>
      <c r="DB975" s="93"/>
      <c r="DC975" s="93"/>
      <c r="DD975" s="93"/>
    </row>
    <row r="976" spans="30:108" ht="6.95" customHeight="1" x14ac:dyDescent="0.15"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  <c r="AX976" s="93"/>
      <c r="AY976" s="93"/>
      <c r="AZ976" s="93"/>
      <c r="BA976" s="93"/>
      <c r="BB976" s="93"/>
      <c r="BC976" s="93"/>
      <c r="BD976" s="93"/>
      <c r="BE976" s="93"/>
      <c r="BF976" s="93"/>
      <c r="BG976" s="93"/>
      <c r="BH976" s="93"/>
      <c r="BI976" s="93"/>
      <c r="BJ976" s="93"/>
      <c r="BK976" s="93"/>
      <c r="BL976" s="93"/>
      <c r="BM976" s="93"/>
      <c r="BN976" s="93"/>
      <c r="BO976" s="93"/>
      <c r="BP976" s="93"/>
      <c r="BQ976" s="93"/>
      <c r="BR976" s="93"/>
      <c r="BS976" s="93"/>
      <c r="BT976" s="93"/>
      <c r="BU976" s="93"/>
      <c r="BV976" s="93"/>
      <c r="BW976" s="93"/>
      <c r="BX976" s="93"/>
      <c r="BY976" s="93"/>
      <c r="BZ976" s="93"/>
      <c r="CA976" s="93"/>
      <c r="CB976" s="93"/>
      <c r="CC976" s="93"/>
      <c r="CD976" s="93"/>
      <c r="CE976" s="93"/>
      <c r="CF976" s="93"/>
      <c r="CG976" s="93"/>
      <c r="CH976" s="93"/>
      <c r="CI976" s="93"/>
      <c r="CJ976" s="93"/>
      <c r="CK976" s="93"/>
      <c r="CL976" s="93"/>
      <c r="CM976" s="93"/>
      <c r="CN976" s="93"/>
      <c r="CO976" s="93"/>
      <c r="CP976" s="93"/>
      <c r="CQ976" s="93"/>
      <c r="CR976" s="93"/>
      <c r="CS976" s="93"/>
      <c r="CT976" s="93"/>
      <c r="CU976" s="93"/>
      <c r="CV976" s="93"/>
      <c r="CW976" s="93"/>
      <c r="CX976" s="93"/>
      <c r="CY976" s="93"/>
      <c r="CZ976" s="93"/>
      <c r="DA976" s="93"/>
      <c r="DB976" s="93"/>
      <c r="DC976" s="93"/>
      <c r="DD976" s="93"/>
    </row>
    <row r="977" spans="30:108" ht="6.95" customHeight="1" x14ac:dyDescent="0.15"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  <c r="AX977" s="93"/>
      <c r="AY977" s="93"/>
      <c r="AZ977" s="93"/>
      <c r="BA977" s="93"/>
      <c r="BB977" s="93"/>
      <c r="BC977" s="93"/>
      <c r="BD977" s="93"/>
      <c r="BE977" s="93"/>
      <c r="BF977" s="93"/>
      <c r="BG977" s="93"/>
      <c r="BH977" s="93"/>
      <c r="BI977" s="93"/>
      <c r="BJ977" s="93"/>
      <c r="BK977" s="93"/>
      <c r="BL977" s="93"/>
      <c r="BM977" s="93"/>
      <c r="BN977" s="93"/>
      <c r="BO977" s="93"/>
      <c r="BP977" s="93"/>
      <c r="BQ977" s="93"/>
      <c r="BR977" s="93"/>
      <c r="BS977" s="93"/>
      <c r="BT977" s="93"/>
      <c r="BU977" s="93"/>
      <c r="BV977" s="93"/>
      <c r="BW977" s="93"/>
      <c r="BX977" s="93"/>
      <c r="BY977" s="93"/>
      <c r="BZ977" s="93"/>
      <c r="CA977" s="93"/>
      <c r="CB977" s="93"/>
      <c r="CC977" s="93"/>
      <c r="CD977" s="93"/>
      <c r="CE977" s="93"/>
      <c r="CF977" s="93"/>
      <c r="CG977" s="93"/>
      <c r="CH977" s="93"/>
      <c r="CI977" s="93"/>
      <c r="CJ977" s="93"/>
      <c r="CK977" s="93"/>
      <c r="CL977" s="93"/>
      <c r="CM977" s="93"/>
      <c r="CN977" s="93"/>
      <c r="CO977" s="93"/>
      <c r="CP977" s="93"/>
      <c r="CQ977" s="93"/>
      <c r="CR977" s="93"/>
      <c r="CS977" s="93"/>
      <c r="CT977" s="93"/>
      <c r="CU977" s="93"/>
      <c r="CV977" s="93"/>
      <c r="CW977" s="93"/>
      <c r="CX977" s="93"/>
      <c r="CY977" s="93"/>
      <c r="CZ977" s="93"/>
      <c r="DA977" s="93"/>
      <c r="DB977" s="93"/>
      <c r="DC977" s="93"/>
      <c r="DD977" s="93"/>
    </row>
    <row r="978" spans="30:108" ht="6.95" customHeight="1" x14ac:dyDescent="0.15"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  <c r="AX978" s="93"/>
      <c r="AY978" s="93"/>
      <c r="AZ978" s="93"/>
      <c r="BA978" s="93"/>
      <c r="BB978" s="93"/>
      <c r="BC978" s="93"/>
      <c r="BD978" s="93"/>
      <c r="BE978" s="93"/>
      <c r="BF978" s="93"/>
      <c r="BG978" s="93"/>
      <c r="BH978" s="93"/>
      <c r="BI978" s="93"/>
      <c r="BJ978" s="93"/>
      <c r="BK978" s="93"/>
      <c r="BL978" s="93"/>
      <c r="BM978" s="93"/>
      <c r="BN978" s="93"/>
      <c r="BO978" s="93"/>
      <c r="BP978" s="93"/>
      <c r="BQ978" s="93"/>
      <c r="BR978" s="93"/>
      <c r="BS978" s="93"/>
      <c r="BT978" s="93"/>
      <c r="BU978" s="93"/>
      <c r="BV978" s="93"/>
      <c r="BW978" s="93"/>
      <c r="BX978" s="93"/>
      <c r="BY978" s="93"/>
      <c r="BZ978" s="93"/>
      <c r="CA978" s="93"/>
      <c r="CB978" s="93"/>
      <c r="CC978" s="93"/>
      <c r="CD978" s="93"/>
      <c r="CE978" s="93"/>
      <c r="CF978" s="93"/>
      <c r="CG978" s="93"/>
      <c r="CH978" s="93"/>
      <c r="CI978" s="93"/>
      <c r="CJ978" s="93"/>
      <c r="CK978" s="93"/>
      <c r="CL978" s="93"/>
      <c r="CM978" s="93"/>
      <c r="CN978" s="93"/>
      <c r="CO978" s="93"/>
      <c r="CP978" s="93"/>
      <c r="CQ978" s="93"/>
      <c r="CR978" s="93"/>
      <c r="CS978" s="93"/>
      <c r="CT978" s="93"/>
      <c r="CU978" s="93"/>
      <c r="CV978" s="93"/>
      <c r="CW978" s="93"/>
      <c r="CX978" s="93"/>
      <c r="CY978" s="93"/>
      <c r="CZ978" s="93"/>
      <c r="DA978" s="93"/>
      <c r="DB978" s="93"/>
      <c r="DC978" s="93"/>
      <c r="DD978" s="93"/>
    </row>
    <row r="979" spans="30:108" ht="6.95" customHeight="1" x14ac:dyDescent="0.15"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  <c r="AX979" s="93"/>
      <c r="AY979" s="93"/>
      <c r="AZ979" s="93"/>
      <c r="BA979" s="93"/>
      <c r="BB979" s="93"/>
      <c r="BC979" s="93"/>
      <c r="BD979" s="93"/>
      <c r="BE979" s="93"/>
      <c r="BF979" s="93"/>
      <c r="BG979" s="93"/>
      <c r="BH979" s="93"/>
      <c r="BI979" s="93"/>
      <c r="BJ979" s="93"/>
      <c r="BK979" s="93"/>
      <c r="BL979" s="93"/>
      <c r="BM979" s="93"/>
      <c r="BN979" s="93"/>
      <c r="BO979" s="93"/>
      <c r="BP979" s="93"/>
      <c r="BQ979" s="93"/>
      <c r="BR979" s="93"/>
      <c r="BS979" s="93"/>
      <c r="BT979" s="93"/>
      <c r="BU979" s="93"/>
      <c r="BV979" s="93"/>
      <c r="BW979" s="93"/>
      <c r="BX979" s="93"/>
      <c r="BY979" s="93"/>
      <c r="BZ979" s="93"/>
      <c r="CA979" s="93"/>
      <c r="CB979" s="93"/>
      <c r="CC979" s="93"/>
      <c r="CD979" s="93"/>
      <c r="CE979" s="93"/>
      <c r="CF979" s="93"/>
      <c r="CG979" s="93"/>
      <c r="CH979" s="93"/>
      <c r="CI979" s="93"/>
      <c r="CJ979" s="93"/>
      <c r="CK979" s="93"/>
      <c r="CL979" s="93"/>
      <c r="CM979" s="93"/>
      <c r="CN979" s="93"/>
      <c r="CO979" s="93"/>
      <c r="CP979" s="93"/>
      <c r="CQ979" s="93"/>
      <c r="CR979" s="93"/>
      <c r="CS979" s="93"/>
      <c r="CT979" s="93"/>
      <c r="CU979" s="93"/>
      <c r="CV979" s="93"/>
      <c r="CW979" s="93"/>
      <c r="CX979" s="93"/>
      <c r="CY979" s="93"/>
      <c r="CZ979" s="93"/>
      <c r="DA979" s="93"/>
      <c r="DB979" s="93"/>
      <c r="DC979" s="93"/>
      <c r="DD979" s="93"/>
    </row>
    <row r="980" spans="30:108" ht="6.95" customHeight="1" x14ac:dyDescent="0.15"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3"/>
      <c r="BF980" s="93"/>
      <c r="BG980" s="93"/>
      <c r="BH980" s="93"/>
      <c r="BI980" s="93"/>
      <c r="BJ980" s="93"/>
      <c r="BK980" s="93"/>
      <c r="BL980" s="93"/>
      <c r="BM980" s="93"/>
      <c r="BN980" s="93"/>
      <c r="BO980" s="93"/>
      <c r="BP980" s="93"/>
      <c r="BQ980" s="93"/>
      <c r="BR980" s="93"/>
      <c r="BS980" s="93"/>
      <c r="BT980" s="93"/>
      <c r="BU980" s="93"/>
      <c r="BV980" s="93"/>
      <c r="BW980" s="93"/>
      <c r="BX980" s="93"/>
      <c r="BY980" s="93"/>
      <c r="BZ980" s="93"/>
      <c r="CA980" s="93"/>
      <c r="CB980" s="93"/>
      <c r="CC980" s="93"/>
      <c r="CD980" s="93"/>
      <c r="CE980" s="93"/>
      <c r="CF980" s="93"/>
      <c r="CG980" s="93"/>
      <c r="CH980" s="93"/>
      <c r="CI980" s="93"/>
      <c r="CJ980" s="93"/>
      <c r="CK980" s="93"/>
      <c r="CL980" s="93"/>
      <c r="CM980" s="93"/>
      <c r="CN980" s="93"/>
      <c r="CO980" s="93"/>
      <c r="CP980" s="93"/>
      <c r="CQ980" s="93"/>
      <c r="CR980" s="93"/>
      <c r="CS980" s="93"/>
      <c r="CT980" s="93"/>
      <c r="CU980" s="93"/>
      <c r="CV980" s="93"/>
      <c r="CW980" s="93"/>
      <c r="CX980" s="93"/>
      <c r="CY980" s="93"/>
      <c r="CZ980" s="93"/>
      <c r="DA980" s="93"/>
      <c r="DB980" s="93"/>
      <c r="DC980" s="93"/>
      <c r="DD980" s="93"/>
    </row>
    <row r="981" spans="30:108" ht="6.95" customHeight="1" x14ac:dyDescent="0.15"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  <c r="AX981" s="93"/>
      <c r="AY981" s="93"/>
      <c r="AZ981" s="93"/>
      <c r="BA981" s="93"/>
      <c r="BB981" s="93"/>
      <c r="BC981" s="93"/>
      <c r="BD981" s="93"/>
      <c r="BE981" s="93"/>
      <c r="BF981" s="93"/>
      <c r="BG981" s="93"/>
      <c r="BH981" s="93"/>
      <c r="BI981" s="93"/>
      <c r="BJ981" s="93"/>
      <c r="BK981" s="93"/>
      <c r="BL981" s="93"/>
      <c r="BM981" s="93"/>
      <c r="BN981" s="93"/>
      <c r="BO981" s="93"/>
      <c r="BP981" s="93"/>
      <c r="BQ981" s="93"/>
      <c r="BR981" s="93"/>
      <c r="BS981" s="93"/>
      <c r="BT981" s="93"/>
      <c r="BU981" s="93"/>
      <c r="BV981" s="93"/>
      <c r="BW981" s="93"/>
      <c r="BX981" s="93"/>
      <c r="BY981" s="93"/>
      <c r="BZ981" s="93"/>
      <c r="CA981" s="93"/>
      <c r="CB981" s="93"/>
      <c r="CC981" s="93"/>
      <c r="CD981" s="93"/>
      <c r="CE981" s="93"/>
      <c r="CF981" s="93"/>
      <c r="CG981" s="93"/>
      <c r="CH981" s="93"/>
      <c r="CI981" s="93"/>
      <c r="CJ981" s="93"/>
      <c r="CK981" s="93"/>
      <c r="CL981" s="93"/>
      <c r="CM981" s="93"/>
      <c r="CN981" s="93"/>
      <c r="CO981" s="93"/>
      <c r="CP981" s="93"/>
      <c r="CQ981" s="93"/>
      <c r="CR981" s="93"/>
      <c r="CS981" s="93"/>
      <c r="CT981" s="93"/>
      <c r="CU981" s="93"/>
      <c r="CV981" s="93"/>
      <c r="CW981" s="93"/>
      <c r="CX981" s="93"/>
      <c r="CY981" s="93"/>
      <c r="CZ981" s="93"/>
      <c r="DA981" s="93"/>
      <c r="DB981" s="93"/>
      <c r="DC981" s="93"/>
      <c r="DD981" s="93"/>
    </row>
    <row r="982" spans="30:108" ht="6.95" customHeight="1" x14ac:dyDescent="0.15"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  <c r="AX982" s="93"/>
      <c r="AY982" s="93"/>
      <c r="AZ982" s="93"/>
      <c r="BA982" s="93"/>
      <c r="BB982" s="93"/>
      <c r="BC982" s="93"/>
      <c r="BD982" s="93"/>
      <c r="BE982" s="93"/>
      <c r="BF982" s="93"/>
      <c r="BG982" s="93"/>
      <c r="BH982" s="93"/>
      <c r="BI982" s="93"/>
      <c r="BJ982" s="93"/>
      <c r="BK982" s="93"/>
      <c r="BL982" s="93"/>
      <c r="BM982" s="93"/>
      <c r="BN982" s="93"/>
      <c r="BO982" s="93"/>
      <c r="BP982" s="93"/>
      <c r="BQ982" s="93"/>
      <c r="BR982" s="93"/>
      <c r="BS982" s="93"/>
      <c r="BT982" s="93"/>
      <c r="BU982" s="93"/>
      <c r="BV982" s="93"/>
      <c r="BW982" s="93"/>
      <c r="BX982" s="93"/>
      <c r="BY982" s="93"/>
      <c r="BZ982" s="93"/>
      <c r="CA982" s="93"/>
      <c r="CB982" s="93"/>
      <c r="CC982" s="93"/>
      <c r="CD982" s="93"/>
      <c r="CE982" s="93"/>
      <c r="CF982" s="93"/>
      <c r="CG982" s="93"/>
      <c r="CH982" s="93"/>
      <c r="CI982" s="93"/>
      <c r="CJ982" s="93"/>
      <c r="CK982" s="93"/>
      <c r="CL982" s="93"/>
      <c r="CM982" s="93"/>
      <c r="CN982" s="93"/>
      <c r="CO982" s="93"/>
      <c r="CP982" s="93"/>
      <c r="CQ982" s="93"/>
      <c r="CR982" s="93"/>
      <c r="CS982" s="93"/>
      <c r="CT982" s="93"/>
      <c r="CU982" s="93"/>
      <c r="CV982" s="93"/>
      <c r="CW982" s="93"/>
      <c r="CX982" s="93"/>
      <c r="CY982" s="93"/>
      <c r="CZ982" s="93"/>
      <c r="DA982" s="93"/>
      <c r="DB982" s="93"/>
      <c r="DC982" s="93"/>
      <c r="DD982" s="93"/>
    </row>
    <row r="983" spans="30:108" ht="6.95" customHeight="1" x14ac:dyDescent="0.15"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3"/>
      <c r="BF983" s="93"/>
      <c r="BG983" s="93"/>
      <c r="BH983" s="93"/>
      <c r="BI983" s="93"/>
      <c r="BJ983" s="93"/>
      <c r="BK983" s="93"/>
      <c r="BL983" s="93"/>
      <c r="BM983" s="93"/>
      <c r="BN983" s="93"/>
      <c r="BO983" s="93"/>
      <c r="BP983" s="93"/>
      <c r="BQ983" s="93"/>
      <c r="BR983" s="93"/>
      <c r="BS983" s="93"/>
      <c r="BT983" s="93"/>
      <c r="BU983" s="93"/>
      <c r="BV983" s="93"/>
      <c r="BW983" s="93"/>
      <c r="BX983" s="93"/>
      <c r="BY983" s="93"/>
      <c r="BZ983" s="93"/>
      <c r="CA983" s="93"/>
      <c r="CB983" s="93"/>
      <c r="CC983" s="93"/>
      <c r="CD983" s="93"/>
      <c r="CE983" s="93"/>
      <c r="CF983" s="93"/>
      <c r="CG983" s="93"/>
      <c r="CH983" s="93"/>
      <c r="CI983" s="93"/>
      <c r="CJ983" s="93"/>
      <c r="CK983" s="93"/>
      <c r="CL983" s="93"/>
      <c r="CM983" s="93"/>
      <c r="CN983" s="93"/>
      <c r="CO983" s="93"/>
      <c r="CP983" s="93"/>
      <c r="CQ983" s="93"/>
      <c r="CR983" s="93"/>
      <c r="CS983" s="93"/>
      <c r="CT983" s="93"/>
      <c r="CU983" s="93"/>
      <c r="CV983" s="93"/>
      <c r="CW983" s="93"/>
      <c r="CX983" s="93"/>
      <c r="CY983" s="93"/>
      <c r="CZ983" s="93"/>
      <c r="DA983" s="93"/>
      <c r="DB983" s="93"/>
      <c r="DC983" s="93"/>
      <c r="DD983" s="93"/>
    </row>
    <row r="984" spans="30:108" ht="6.95" customHeight="1" x14ac:dyDescent="0.15"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  <c r="AX984" s="93"/>
      <c r="AY984" s="93"/>
      <c r="AZ984" s="93"/>
      <c r="BA984" s="93"/>
      <c r="BB984" s="93"/>
      <c r="BC984" s="93"/>
      <c r="BD984" s="93"/>
      <c r="BE984" s="93"/>
      <c r="BF984" s="93"/>
      <c r="BG984" s="93"/>
      <c r="BH984" s="93"/>
      <c r="BI984" s="93"/>
      <c r="BJ984" s="93"/>
      <c r="BK984" s="93"/>
      <c r="BL984" s="93"/>
      <c r="BM984" s="93"/>
      <c r="BN984" s="93"/>
      <c r="BO984" s="93"/>
      <c r="BP984" s="93"/>
      <c r="BQ984" s="93"/>
      <c r="BR984" s="93"/>
      <c r="BS984" s="93"/>
      <c r="BT984" s="93"/>
      <c r="BU984" s="93"/>
      <c r="BV984" s="93"/>
      <c r="BW984" s="93"/>
      <c r="BX984" s="93"/>
      <c r="BY984" s="93"/>
      <c r="BZ984" s="93"/>
      <c r="CA984" s="93"/>
      <c r="CB984" s="93"/>
      <c r="CC984" s="93"/>
      <c r="CD984" s="93"/>
      <c r="CE984" s="93"/>
      <c r="CF984" s="93"/>
      <c r="CG984" s="93"/>
      <c r="CH984" s="93"/>
      <c r="CI984" s="93"/>
      <c r="CJ984" s="93"/>
      <c r="CK984" s="93"/>
      <c r="CL984" s="93"/>
      <c r="CM984" s="93"/>
      <c r="CN984" s="93"/>
      <c r="CO984" s="93"/>
      <c r="CP984" s="93"/>
      <c r="CQ984" s="93"/>
      <c r="CR984" s="93"/>
      <c r="CS984" s="93"/>
      <c r="CT984" s="93"/>
      <c r="CU984" s="93"/>
      <c r="CV984" s="93"/>
      <c r="CW984" s="93"/>
      <c r="CX984" s="93"/>
      <c r="CY984" s="93"/>
      <c r="CZ984" s="93"/>
      <c r="DA984" s="93"/>
      <c r="DB984" s="93"/>
      <c r="DC984" s="93"/>
      <c r="DD984" s="93"/>
    </row>
    <row r="985" spans="30:108" ht="6.95" customHeight="1" x14ac:dyDescent="0.15"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  <c r="AX985" s="93"/>
      <c r="AY985" s="93"/>
      <c r="AZ985" s="93"/>
      <c r="BA985" s="93"/>
      <c r="BB985" s="93"/>
      <c r="BC985" s="93"/>
      <c r="BD985" s="93"/>
      <c r="BE985" s="93"/>
      <c r="BF985" s="93"/>
      <c r="BG985" s="93"/>
      <c r="BH985" s="93"/>
      <c r="BI985" s="93"/>
      <c r="BJ985" s="93"/>
      <c r="BK985" s="93"/>
      <c r="BL985" s="93"/>
      <c r="BM985" s="93"/>
      <c r="BN985" s="93"/>
      <c r="BO985" s="93"/>
      <c r="BP985" s="93"/>
      <c r="BQ985" s="93"/>
      <c r="BR985" s="93"/>
      <c r="BS985" s="93"/>
      <c r="BT985" s="93"/>
      <c r="BU985" s="93"/>
      <c r="BV985" s="93"/>
      <c r="BW985" s="93"/>
      <c r="BX985" s="93"/>
      <c r="BY985" s="93"/>
      <c r="BZ985" s="93"/>
      <c r="CA985" s="93"/>
      <c r="CB985" s="93"/>
      <c r="CC985" s="93"/>
      <c r="CD985" s="93"/>
      <c r="CE985" s="93"/>
      <c r="CF985" s="93"/>
      <c r="CG985" s="93"/>
      <c r="CH985" s="93"/>
      <c r="CI985" s="93"/>
      <c r="CJ985" s="93"/>
      <c r="CK985" s="93"/>
      <c r="CL985" s="93"/>
      <c r="CM985" s="93"/>
      <c r="CN985" s="93"/>
      <c r="CO985" s="93"/>
      <c r="CP985" s="93"/>
      <c r="CQ985" s="93"/>
      <c r="CR985" s="93"/>
      <c r="CS985" s="93"/>
      <c r="CT985" s="93"/>
      <c r="CU985" s="93"/>
      <c r="CV985" s="93"/>
      <c r="CW985" s="93"/>
      <c r="CX985" s="93"/>
      <c r="CY985" s="93"/>
      <c r="CZ985" s="93"/>
      <c r="DA985" s="93"/>
      <c r="DB985" s="93"/>
      <c r="DC985" s="93"/>
      <c r="DD985" s="93"/>
    </row>
    <row r="986" spans="30:108" ht="6.95" customHeight="1" x14ac:dyDescent="0.15"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  <c r="AX986" s="93"/>
      <c r="AY986" s="93"/>
      <c r="AZ986" s="93"/>
      <c r="BA986" s="93"/>
      <c r="BB986" s="93"/>
      <c r="BC986" s="93"/>
      <c r="BD986" s="93"/>
      <c r="BE986" s="93"/>
      <c r="BF986" s="93"/>
      <c r="BG986" s="93"/>
      <c r="BH986" s="93"/>
      <c r="BI986" s="93"/>
      <c r="BJ986" s="93"/>
      <c r="BK986" s="93"/>
      <c r="BL986" s="93"/>
      <c r="BM986" s="93"/>
      <c r="BN986" s="93"/>
      <c r="BO986" s="93"/>
      <c r="BP986" s="93"/>
      <c r="BQ986" s="93"/>
      <c r="BR986" s="93"/>
      <c r="BS986" s="93"/>
      <c r="BT986" s="93"/>
      <c r="BU986" s="93"/>
      <c r="BV986" s="93"/>
      <c r="BW986" s="93"/>
      <c r="BX986" s="93"/>
      <c r="BY986" s="93"/>
      <c r="BZ986" s="93"/>
      <c r="CA986" s="93"/>
      <c r="CB986" s="93"/>
      <c r="CC986" s="93"/>
      <c r="CD986" s="93"/>
      <c r="CE986" s="93"/>
      <c r="CF986" s="93"/>
      <c r="CG986" s="93"/>
      <c r="CH986" s="93"/>
      <c r="CI986" s="93"/>
      <c r="CJ986" s="93"/>
      <c r="CK986" s="93"/>
      <c r="CL986" s="93"/>
      <c r="CM986" s="93"/>
      <c r="CN986" s="93"/>
      <c r="CO986" s="93"/>
      <c r="CP986" s="93"/>
      <c r="CQ986" s="93"/>
      <c r="CR986" s="93"/>
      <c r="CS986" s="93"/>
      <c r="CT986" s="93"/>
      <c r="CU986" s="93"/>
      <c r="CV986" s="93"/>
      <c r="CW986" s="93"/>
      <c r="CX986" s="93"/>
      <c r="CY986" s="93"/>
      <c r="CZ986" s="93"/>
      <c r="DA986" s="93"/>
      <c r="DB986" s="93"/>
      <c r="DC986" s="93"/>
      <c r="DD986" s="93"/>
    </row>
    <row r="987" spans="30:108" ht="6.95" customHeight="1" x14ac:dyDescent="0.15"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  <c r="AX987" s="93"/>
      <c r="AY987" s="93"/>
      <c r="AZ987" s="93"/>
      <c r="BA987" s="93"/>
      <c r="BB987" s="93"/>
      <c r="BC987" s="93"/>
      <c r="BD987" s="93"/>
      <c r="BE987" s="93"/>
      <c r="BF987" s="93"/>
      <c r="BG987" s="93"/>
      <c r="BH987" s="93"/>
      <c r="BI987" s="93"/>
      <c r="BJ987" s="93"/>
      <c r="BK987" s="93"/>
      <c r="BL987" s="93"/>
      <c r="BM987" s="93"/>
      <c r="BN987" s="93"/>
      <c r="BO987" s="93"/>
      <c r="BP987" s="93"/>
      <c r="BQ987" s="93"/>
      <c r="BR987" s="93"/>
      <c r="BS987" s="93"/>
      <c r="BT987" s="93"/>
      <c r="BU987" s="93"/>
      <c r="BV987" s="93"/>
      <c r="BW987" s="93"/>
      <c r="BX987" s="93"/>
      <c r="BY987" s="93"/>
      <c r="BZ987" s="93"/>
      <c r="CA987" s="93"/>
      <c r="CB987" s="93"/>
      <c r="CC987" s="93"/>
      <c r="CD987" s="93"/>
      <c r="CE987" s="93"/>
      <c r="CF987" s="93"/>
      <c r="CG987" s="93"/>
      <c r="CH987" s="93"/>
      <c r="CI987" s="93"/>
      <c r="CJ987" s="93"/>
      <c r="CK987" s="93"/>
      <c r="CL987" s="93"/>
      <c r="CM987" s="93"/>
      <c r="CN987" s="93"/>
      <c r="CO987" s="93"/>
      <c r="CP987" s="93"/>
      <c r="CQ987" s="93"/>
      <c r="CR987" s="93"/>
      <c r="CS987" s="93"/>
      <c r="CT987" s="93"/>
      <c r="CU987" s="93"/>
      <c r="CV987" s="93"/>
      <c r="CW987" s="93"/>
      <c r="CX987" s="93"/>
      <c r="CY987" s="93"/>
      <c r="CZ987" s="93"/>
      <c r="DA987" s="93"/>
      <c r="DB987" s="93"/>
      <c r="DC987" s="93"/>
      <c r="DD987" s="93"/>
    </row>
    <row r="988" spans="30:108" ht="6.95" customHeight="1" x14ac:dyDescent="0.15"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  <c r="AX988" s="93"/>
      <c r="AY988" s="93"/>
      <c r="AZ988" s="93"/>
      <c r="BA988" s="93"/>
      <c r="BB988" s="93"/>
      <c r="BC988" s="93"/>
      <c r="BD988" s="93"/>
      <c r="BE988" s="93"/>
      <c r="BF988" s="93"/>
      <c r="BG988" s="93"/>
      <c r="BH988" s="93"/>
      <c r="BI988" s="93"/>
      <c r="BJ988" s="93"/>
      <c r="BK988" s="93"/>
      <c r="BL988" s="93"/>
      <c r="BM988" s="93"/>
      <c r="BN988" s="93"/>
      <c r="BO988" s="93"/>
      <c r="BP988" s="93"/>
      <c r="BQ988" s="93"/>
      <c r="BR988" s="93"/>
      <c r="BS988" s="93"/>
      <c r="BT988" s="93"/>
      <c r="BU988" s="93"/>
      <c r="BV988" s="93"/>
      <c r="BW988" s="93"/>
      <c r="BX988" s="93"/>
      <c r="BY988" s="93"/>
      <c r="BZ988" s="93"/>
      <c r="CA988" s="93"/>
      <c r="CB988" s="93"/>
      <c r="CC988" s="93"/>
      <c r="CD988" s="93"/>
      <c r="CE988" s="93"/>
      <c r="CF988" s="93"/>
      <c r="CG988" s="93"/>
      <c r="CH988" s="93"/>
      <c r="CI988" s="93"/>
      <c r="CJ988" s="93"/>
      <c r="CK988" s="93"/>
      <c r="CL988" s="93"/>
      <c r="CM988" s="93"/>
      <c r="CN988" s="93"/>
      <c r="CO988" s="93"/>
      <c r="CP988" s="93"/>
      <c r="CQ988" s="93"/>
      <c r="CR988" s="93"/>
      <c r="CS988" s="93"/>
      <c r="CT988" s="93"/>
      <c r="CU988" s="93"/>
      <c r="CV988" s="93"/>
      <c r="CW988" s="93"/>
      <c r="CX988" s="93"/>
      <c r="CY988" s="93"/>
      <c r="CZ988" s="93"/>
      <c r="DA988" s="93"/>
      <c r="DB988" s="93"/>
      <c r="DC988" s="93"/>
      <c r="DD988" s="93"/>
    </row>
    <row r="989" spans="30:108" ht="6.95" customHeight="1" x14ac:dyDescent="0.15"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  <c r="AX989" s="93"/>
      <c r="AY989" s="93"/>
      <c r="AZ989" s="93"/>
      <c r="BA989" s="93"/>
      <c r="BB989" s="93"/>
      <c r="BC989" s="93"/>
      <c r="BD989" s="93"/>
      <c r="BE989" s="93"/>
      <c r="BF989" s="93"/>
      <c r="BG989" s="93"/>
      <c r="BH989" s="93"/>
      <c r="BI989" s="93"/>
      <c r="BJ989" s="93"/>
      <c r="BK989" s="93"/>
      <c r="BL989" s="93"/>
      <c r="BM989" s="93"/>
      <c r="BN989" s="93"/>
      <c r="BO989" s="93"/>
      <c r="BP989" s="93"/>
      <c r="BQ989" s="93"/>
      <c r="BR989" s="93"/>
      <c r="BS989" s="93"/>
      <c r="BT989" s="93"/>
      <c r="BU989" s="93"/>
      <c r="BV989" s="93"/>
      <c r="BW989" s="93"/>
      <c r="BX989" s="93"/>
      <c r="BY989" s="93"/>
      <c r="BZ989" s="93"/>
      <c r="CA989" s="93"/>
      <c r="CB989" s="93"/>
      <c r="CC989" s="93"/>
      <c r="CD989" s="93"/>
      <c r="CE989" s="93"/>
      <c r="CF989" s="93"/>
      <c r="CG989" s="93"/>
      <c r="CH989" s="93"/>
      <c r="CI989" s="93"/>
      <c r="CJ989" s="93"/>
      <c r="CK989" s="93"/>
      <c r="CL989" s="93"/>
      <c r="CM989" s="93"/>
      <c r="CN989" s="93"/>
      <c r="CO989" s="93"/>
      <c r="CP989" s="93"/>
      <c r="CQ989" s="93"/>
      <c r="CR989" s="93"/>
      <c r="CS989" s="93"/>
      <c r="CT989" s="93"/>
      <c r="CU989" s="93"/>
      <c r="CV989" s="93"/>
      <c r="CW989" s="93"/>
      <c r="CX989" s="93"/>
      <c r="CY989" s="93"/>
      <c r="CZ989" s="93"/>
      <c r="DA989" s="93"/>
      <c r="DB989" s="93"/>
      <c r="DC989" s="93"/>
      <c r="DD989" s="93"/>
    </row>
    <row r="990" spans="30:108" ht="6.95" customHeight="1" x14ac:dyDescent="0.15"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  <c r="AX990" s="93"/>
      <c r="AY990" s="93"/>
      <c r="AZ990" s="93"/>
      <c r="BA990" s="93"/>
      <c r="BB990" s="93"/>
      <c r="BC990" s="93"/>
      <c r="BD990" s="93"/>
      <c r="BE990" s="93"/>
      <c r="BF990" s="93"/>
      <c r="BG990" s="93"/>
      <c r="BH990" s="93"/>
      <c r="BI990" s="93"/>
      <c r="BJ990" s="93"/>
      <c r="BK990" s="93"/>
      <c r="BL990" s="93"/>
      <c r="BM990" s="93"/>
      <c r="BN990" s="93"/>
      <c r="BO990" s="93"/>
      <c r="BP990" s="93"/>
      <c r="BQ990" s="93"/>
      <c r="BR990" s="93"/>
      <c r="BS990" s="93"/>
      <c r="BT990" s="93"/>
      <c r="BU990" s="93"/>
      <c r="BV990" s="93"/>
      <c r="BW990" s="93"/>
      <c r="BX990" s="93"/>
      <c r="BY990" s="93"/>
      <c r="BZ990" s="93"/>
      <c r="CA990" s="93"/>
      <c r="CB990" s="93"/>
      <c r="CC990" s="93"/>
      <c r="CD990" s="93"/>
      <c r="CE990" s="93"/>
      <c r="CF990" s="93"/>
      <c r="CG990" s="93"/>
      <c r="CH990" s="93"/>
      <c r="CI990" s="93"/>
      <c r="CJ990" s="93"/>
      <c r="CK990" s="93"/>
      <c r="CL990" s="93"/>
      <c r="CM990" s="93"/>
      <c r="CN990" s="93"/>
      <c r="CO990" s="93"/>
      <c r="CP990" s="93"/>
      <c r="CQ990" s="93"/>
      <c r="CR990" s="93"/>
      <c r="CS990" s="93"/>
      <c r="CT990" s="93"/>
      <c r="CU990" s="93"/>
      <c r="CV990" s="93"/>
      <c r="CW990" s="93"/>
      <c r="CX990" s="93"/>
      <c r="CY990" s="93"/>
      <c r="CZ990" s="93"/>
      <c r="DA990" s="93"/>
      <c r="DB990" s="93"/>
      <c r="DC990" s="93"/>
      <c r="DD990" s="93"/>
    </row>
    <row r="991" spans="30:108" ht="6.95" customHeight="1" x14ac:dyDescent="0.15"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  <c r="AX991" s="93"/>
      <c r="AY991" s="93"/>
      <c r="AZ991" s="93"/>
      <c r="BA991" s="93"/>
      <c r="BB991" s="93"/>
      <c r="BC991" s="93"/>
      <c r="BD991" s="93"/>
      <c r="BE991" s="93"/>
      <c r="BF991" s="93"/>
      <c r="BG991" s="93"/>
      <c r="BH991" s="93"/>
      <c r="BI991" s="93"/>
      <c r="BJ991" s="93"/>
      <c r="BK991" s="93"/>
      <c r="BL991" s="93"/>
      <c r="BM991" s="93"/>
      <c r="BN991" s="93"/>
      <c r="BO991" s="93"/>
      <c r="BP991" s="93"/>
      <c r="BQ991" s="93"/>
      <c r="BR991" s="93"/>
      <c r="BS991" s="93"/>
      <c r="BT991" s="93"/>
      <c r="BU991" s="93"/>
      <c r="BV991" s="93"/>
      <c r="BW991" s="93"/>
      <c r="BX991" s="93"/>
      <c r="BY991" s="93"/>
      <c r="BZ991" s="93"/>
      <c r="CA991" s="93"/>
      <c r="CB991" s="93"/>
      <c r="CC991" s="93"/>
      <c r="CD991" s="93"/>
      <c r="CE991" s="93"/>
      <c r="CF991" s="93"/>
      <c r="CG991" s="93"/>
      <c r="CH991" s="93"/>
      <c r="CI991" s="93"/>
      <c r="CJ991" s="93"/>
      <c r="CK991" s="93"/>
      <c r="CL991" s="93"/>
      <c r="CM991" s="93"/>
      <c r="CN991" s="93"/>
      <c r="CO991" s="93"/>
      <c r="CP991" s="93"/>
      <c r="CQ991" s="93"/>
      <c r="CR991" s="93"/>
      <c r="CS991" s="93"/>
      <c r="CT991" s="93"/>
      <c r="CU991" s="93"/>
      <c r="CV991" s="93"/>
      <c r="CW991" s="93"/>
      <c r="CX991" s="93"/>
      <c r="CY991" s="93"/>
      <c r="CZ991" s="93"/>
      <c r="DA991" s="93"/>
      <c r="DB991" s="93"/>
      <c r="DC991" s="93"/>
      <c r="DD991" s="93"/>
    </row>
    <row r="992" spans="30:108" ht="6.95" customHeight="1" x14ac:dyDescent="0.15"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  <c r="AX992" s="93"/>
      <c r="AY992" s="93"/>
      <c r="AZ992" s="93"/>
      <c r="BA992" s="93"/>
      <c r="BB992" s="93"/>
      <c r="BC992" s="93"/>
      <c r="BD992" s="93"/>
      <c r="BE992" s="93"/>
      <c r="BF992" s="93"/>
      <c r="BG992" s="93"/>
      <c r="BH992" s="93"/>
      <c r="BI992" s="93"/>
      <c r="BJ992" s="93"/>
      <c r="BK992" s="93"/>
      <c r="BL992" s="93"/>
      <c r="BM992" s="93"/>
      <c r="BN992" s="93"/>
      <c r="BO992" s="93"/>
      <c r="BP992" s="93"/>
      <c r="BQ992" s="93"/>
      <c r="BR992" s="93"/>
      <c r="BS992" s="93"/>
      <c r="BT992" s="93"/>
      <c r="BU992" s="93"/>
      <c r="BV992" s="93"/>
      <c r="BW992" s="93"/>
      <c r="BX992" s="93"/>
      <c r="BY992" s="93"/>
      <c r="BZ992" s="93"/>
      <c r="CA992" s="93"/>
      <c r="CB992" s="93"/>
      <c r="CC992" s="93"/>
      <c r="CD992" s="93"/>
      <c r="CE992" s="93"/>
      <c r="CF992" s="93"/>
      <c r="CG992" s="93"/>
      <c r="CH992" s="93"/>
      <c r="CI992" s="93"/>
      <c r="CJ992" s="93"/>
      <c r="CK992" s="93"/>
      <c r="CL992" s="93"/>
      <c r="CM992" s="93"/>
      <c r="CN992" s="93"/>
      <c r="CO992" s="93"/>
      <c r="CP992" s="93"/>
      <c r="CQ992" s="93"/>
      <c r="CR992" s="93"/>
      <c r="CS992" s="93"/>
      <c r="CT992" s="93"/>
      <c r="CU992" s="93"/>
      <c r="CV992" s="93"/>
      <c r="CW992" s="93"/>
      <c r="CX992" s="93"/>
      <c r="CY992" s="93"/>
      <c r="CZ992" s="93"/>
      <c r="DA992" s="93"/>
      <c r="DB992" s="93"/>
      <c r="DC992" s="93"/>
      <c r="DD992" s="93"/>
    </row>
    <row r="993" spans="30:113" ht="6.95" customHeight="1" x14ac:dyDescent="0.15"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  <c r="AX993" s="93"/>
      <c r="AY993" s="93"/>
      <c r="AZ993" s="93"/>
      <c r="BA993" s="93"/>
      <c r="BB993" s="93"/>
      <c r="BC993" s="93"/>
      <c r="BD993" s="93"/>
      <c r="BE993" s="93"/>
      <c r="BF993" s="93"/>
      <c r="BG993" s="93"/>
      <c r="BH993" s="93"/>
      <c r="BI993" s="93"/>
      <c r="BJ993" s="93"/>
      <c r="BK993" s="93"/>
      <c r="BL993" s="93"/>
      <c r="BM993" s="93"/>
      <c r="BN993" s="93"/>
      <c r="BO993" s="93"/>
      <c r="BP993" s="93"/>
      <c r="BQ993" s="93"/>
      <c r="BR993" s="93"/>
      <c r="BS993" s="93"/>
      <c r="BT993" s="93"/>
      <c r="BU993" s="93"/>
      <c r="BV993" s="93"/>
      <c r="BW993" s="93"/>
      <c r="BX993" s="93"/>
      <c r="BY993" s="93"/>
      <c r="BZ993" s="93"/>
      <c r="CA993" s="93"/>
      <c r="CB993" s="93"/>
      <c r="CC993" s="93"/>
      <c r="CD993" s="93"/>
      <c r="CE993" s="93"/>
      <c r="CF993" s="93"/>
      <c r="CG993" s="93"/>
      <c r="CH993" s="93"/>
      <c r="CI993" s="93"/>
      <c r="CJ993" s="93"/>
      <c r="CK993" s="93"/>
      <c r="CL993" s="93"/>
      <c r="CM993" s="93"/>
      <c r="CN993" s="93"/>
      <c r="CO993" s="93"/>
      <c r="CP993" s="93"/>
      <c r="CQ993" s="93"/>
      <c r="CR993" s="93"/>
      <c r="CS993" s="93"/>
      <c r="CT993" s="93"/>
      <c r="CU993" s="93"/>
      <c r="CV993" s="93"/>
      <c r="CW993" s="93"/>
      <c r="CX993" s="93"/>
      <c r="CY993" s="93"/>
      <c r="CZ993" s="93"/>
      <c r="DA993" s="93"/>
      <c r="DB993" s="93"/>
      <c r="DC993" s="93"/>
      <c r="DD993" s="93"/>
    </row>
    <row r="994" spans="30:113" ht="6.95" customHeight="1" x14ac:dyDescent="0.15"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  <c r="AX994" s="93"/>
      <c r="AY994" s="93"/>
      <c r="AZ994" s="93"/>
      <c r="BA994" s="93"/>
      <c r="BB994" s="93"/>
      <c r="BC994" s="93"/>
      <c r="BD994" s="93"/>
      <c r="BE994" s="93"/>
      <c r="BF994" s="93"/>
      <c r="BG994" s="93"/>
      <c r="BH994" s="93"/>
      <c r="BI994" s="93"/>
      <c r="BJ994" s="93"/>
      <c r="BK994" s="93"/>
      <c r="BL994" s="93"/>
      <c r="BM994" s="93"/>
      <c r="BN994" s="93"/>
      <c r="BO994" s="93"/>
      <c r="BP994" s="93"/>
      <c r="BQ994" s="93"/>
      <c r="BR994" s="93"/>
      <c r="BS994" s="93"/>
      <c r="BT994" s="93"/>
      <c r="BU994" s="93"/>
      <c r="BV994" s="93"/>
      <c r="BW994" s="93"/>
      <c r="BX994" s="93"/>
      <c r="BY994" s="93"/>
      <c r="BZ994" s="93"/>
      <c r="CA994" s="93"/>
      <c r="CB994" s="93"/>
      <c r="CC994" s="93"/>
      <c r="CD994" s="93"/>
      <c r="CE994" s="93"/>
      <c r="CF994" s="93"/>
      <c r="CG994" s="93"/>
      <c r="CH994" s="93"/>
      <c r="CI994" s="93"/>
      <c r="CJ994" s="93"/>
      <c r="CK994" s="93"/>
      <c r="CL994" s="93"/>
      <c r="CM994" s="93"/>
      <c r="CN994" s="93"/>
      <c r="CO994" s="93"/>
      <c r="CP994" s="93"/>
      <c r="CQ994" s="93"/>
      <c r="CR994" s="93"/>
      <c r="CS994" s="93"/>
      <c r="CT994" s="93"/>
      <c r="CU994" s="93"/>
      <c r="CV994" s="93"/>
      <c r="CW994" s="93"/>
      <c r="CX994" s="93"/>
      <c r="CY994" s="93"/>
      <c r="CZ994" s="93"/>
      <c r="DA994" s="93"/>
      <c r="DB994" s="93"/>
      <c r="DC994" s="93"/>
      <c r="DD994" s="93"/>
    </row>
    <row r="995" spans="30:113" ht="6.95" customHeight="1" x14ac:dyDescent="0.15"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  <c r="AX995" s="93"/>
      <c r="AY995" s="93"/>
      <c r="AZ995" s="93"/>
      <c r="BA995" s="93"/>
      <c r="BB995" s="93"/>
      <c r="BC995" s="93"/>
      <c r="BD995" s="93"/>
      <c r="BE995" s="93"/>
      <c r="BF995" s="93"/>
      <c r="BG995" s="93"/>
      <c r="BH995" s="93"/>
      <c r="BI995" s="93"/>
      <c r="BJ995" s="93"/>
      <c r="BK995" s="93"/>
      <c r="BL995" s="93"/>
      <c r="BM995" s="93"/>
      <c r="BN995" s="93"/>
      <c r="BO995" s="93"/>
      <c r="BP995" s="93"/>
      <c r="BQ995" s="93"/>
      <c r="BR995" s="93"/>
      <c r="BS995" s="93"/>
      <c r="BT995" s="93"/>
      <c r="BU995" s="93"/>
      <c r="BV995" s="93"/>
      <c r="BW995" s="93"/>
      <c r="BX995" s="93"/>
      <c r="BY995" s="93"/>
      <c r="BZ995" s="93"/>
      <c r="CA995" s="93"/>
      <c r="CB995" s="93"/>
      <c r="CC995" s="93"/>
      <c r="CD995" s="93"/>
      <c r="CE995" s="93"/>
      <c r="CF995" s="93"/>
      <c r="CG995" s="93"/>
      <c r="CH995" s="93"/>
      <c r="CI995" s="93"/>
      <c r="CJ995" s="93"/>
      <c r="CK995" s="93"/>
      <c r="CL995" s="93"/>
      <c r="CM995" s="93"/>
      <c r="CN995" s="93"/>
      <c r="CO995" s="93"/>
      <c r="CP995" s="93"/>
      <c r="CQ995" s="93"/>
      <c r="CR995" s="93"/>
      <c r="CS995" s="93"/>
      <c r="CT995" s="93"/>
      <c r="CU995" s="93"/>
      <c r="CV995" s="93"/>
      <c r="CW995" s="93"/>
      <c r="CX995" s="93"/>
      <c r="CY995" s="93"/>
      <c r="CZ995" s="93"/>
      <c r="DA995" s="93"/>
      <c r="DB995" s="93"/>
      <c r="DC995" s="93"/>
      <c r="DD995" s="93"/>
    </row>
    <row r="996" spans="30:113" ht="6.95" customHeight="1" x14ac:dyDescent="0.15"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  <c r="AX996" s="93"/>
      <c r="AY996" s="93"/>
      <c r="AZ996" s="93"/>
      <c r="BA996" s="93"/>
      <c r="BB996" s="93"/>
      <c r="BC996" s="93"/>
      <c r="BD996" s="93"/>
      <c r="BE996" s="93"/>
      <c r="BF996" s="93"/>
      <c r="BG996" s="93"/>
      <c r="BH996" s="93"/>
      <c r="BI996" s="93"/>
      <c r="BJ996" s="93"/>
      <c r="BK996" s="93"/>
      <c r="BL996" s="93"/>
      <c r="BM996" s="93"/>
      <c r="BN996" s="93"/>
      <c r="BO996" s="93"/>
      <c r="BP996" s="93"/>
      <c r="BQ996" s="93"/>
      <c r="BR996" s="93"/>
      <c r="BS996" s="93"/>
      <c r="BT996" s="93"/>
      <c r="BU996" s="93"/>
      <c r="BV996" s="93"/>
      <c r="BW996" s="93"/>
      <c r="BX996" s="93"/>
      <c r="BY996" s="93"/>
      <c r="BZ996" s="93"/>
      <c r="CA996" s="93"/>
      <c r="CB996" s="93"/>
      <c r="CC996" s="93"/>
      <c r="CD996" s="93"/>
      <c r="CE996" s="93"/>
      <c r="CF996" s="93"/>
      <c r="CG996" s="93"/>
      <c r="CH996" s="93"/>
      <c r="CI996" s="93"/>
      <c r="CJ996" s="93"/>
      <c r="CK996" s="93"/>
      <c r="CL996" s="93"/>
      <c r="CM996" s="93"/>
      <c r="CN996" s="93"/>
      <c r="CO996" s="93"/>
      <c r="CP996" s="93"/>
      <c r="CQ996" s="93"/>
      <c r="CR996" s="93"/>
      <c r="CS996" s="93"/>
      <c r="CT996" s="93"/>
      <c r="CU996" s="93"/>
      <c r="CV996" s="93"/>
      <c r="CW996" s="93"/>
      <c r="CX996" s="93"/>
      <c r="CY996" s="93"/>
      <c r="CZ996" s="93"/>
      <c r="DA996" s="93"/>
      <c r="DB996" s="93"/>
      <c r="DC996" s="93"/>
      <c r="DD996" s="93"/>
    </row>
    <row r="997" spans="30:113" ht="6.95" customHeight="1" x14ac:dyDescent="0.15"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  <c r="AX997" s="93"/>
      <c r="AY997" s="93"/>
      <c r="AZ997" s="93"/>
      <c r="BA997" s="93"/>
      <c r="BB997" s="93"/>
      <c r="BC997" s="93"/>
      <c r="BD997" s="93"/>
      <c r="BE997" s="93"/>
      <c r="BF997" s="93"/>
      <c r="BG997" s="93"/>
      <c r="BH997" s="93"/>
      <c r="BI997" s="93"/>
      <c r="BJ997" s="93"/>
      <c r="BK997" s="93"/>
      <c r="BL997" s="93"/>
      <c r="BM997" s="93"/>
      <c r="BN997" s="93"/>
      <c r="BO997" s="93"/>
      <c r="BP997" s="93"/>
      <c r="BQ997" s="93"/>
      <c r="BR997" s="93"/>
      <c r="BS997" s="93"/>
      <c r="BT997" s="93"/>
      <c r="BU997" s="93"/>
      <c r="BV997" s="93"/>
      <c r="BW997" s="93"/>
      <c r="BX997" s="93"/>
      <c r="BY997" s="93"/>
      <c r="BZ997" s="93"/>
      <c r="CA997" s="93"/>
      <c r="CB997" s="93"/>
      <c r="CC997" s="93"/>
      <c r="CD997" s="93"/>
      <c r="CE997" s="93"/>
      <c r="CF997" s="93"/>
      <c r="CG997" s="93"/>
      <c r="CH997" s="93"/>
      <c r="CI997" s="93"/>
      <c r="CJ997" s="93"/>
      <c r="CK997" s="93"/>
      <c r="CL997" s="93"/>
      <c r="CM997" s="93"/>
      <c r="CN997" s="93"/>
      <c r="CO997" s="93"/>
      <c r="CP997" s="93"/>
      <c r="CQ997" s="93"/>
      <c r="CR997" s="93"/>
      <c r="CS997" s="93"/>
      <c r="CT997" s="93"/>
      <c r="CU997" s="93"/>
      <c r="CV997" s="93"/>
      <c r="CW997" s="93"/>
      <c r="CX997" s="93"/>
      <c r="CY997" s="93"/>
      <c r="CZ997" s="93"/>
      <c r="DA997" s="93"/>
      <c r="DB997" s="93"/>
      <c r="DC997" s="93"/>
      <c r="DD997" s="93"/>
      <c r="DE997" s="93"/>
      <c r="DF997" s="93"/>
      <c r="DG997" s="93"/>
      <c r="DH997" s="93"/>
      <c r="DI997" s="93"/>
    </row>
    <row r="998" spans="30:113" ht="6.95" customHeight="1" x14ac:dyDescent="0.15"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3"/>
      <c r="BF998" s="93"/>
      <c r="BG998" s="93"/>
      <c r="BH998" s="93"/>
      <c r="BI998" s="93"/>
      <c r="BJ998" s="93"/>
      <c r="BK998" s="93"/>
      <c r="BL998" s="93"/>
      <c r="BM998" s="93"/>
      <c r="BN998" s="93"/>
      <c r="BO998" s="93"/>
      <c r="BP998" s="93"/>
      <c r="BQ998" s="93"/>
      <c r="BR998" s="93"/>
      <c r="BS998" s="93"/>
      <c r="BT998" s="93"/>
      <c r="BU998" s="93"/>
      <c r="BV998" s="93"/>
      <c r="BW998" s="93"/>
      <c r="BX998" s="93"/>
      <c r="BY998" s="93"/>
      <c r="BZ998" s="93"/>
      <c r="CA998" s="93"/>
      <c r="CB998" s="93"/>
      <c r="CC998" s="93"/>
      <c r="CD998" s="93"/>
      <c r="CE998" s="93"/>
      <c r="CF998" s="93"/>
      <c r="CG998" s="93"/>
      <c r="CH998" s="93"/>
      <c r="CI998" s="93"/>
      <c r="CJ998" s="93"/>
      <c r="CK998" s="93"/>
      <c r="CL998" s="93"/>
      <c r="CM998" s="93"/>
      <c r="CN998" s="93"/>
      <c r="CO998" s="93"/>
      <c r="CP998" s="93"/>
      <c r="CQ998" s="93"/>
      <c r="CR998" s="93"/>
      <c r="CS998" s="93"/>
      <c r="CT998" s="93"/>
      <c r="CU998" s="93"/>
      <c r="CV998" s="93"/>
      <c r="CW998" s="93"/>
      <c r="CX998" s="93"/>
      <c r="CY998" s="93"/>
      <c r="CZ998" s="93"/>
      <c r="DA998" s="93"/>
      <c r="DB998" s="93"/>
      <c r="DC998" s="93"/>
      <c r="DD998" s="93"/>
      <c r="DE998" s="93"/>
      <c r="DF998" s="93"/>
      <c r="DG998" s="93"/>
      <c r="DH998" s="93"/>
      <c r="DI998" s="93"/>
    </row>
    <row r="999" spans="30:113" ht="6.95" customHeight="1" x14ac:dyDescent="0.15">
      <c r="AD999" s="93">
        <v>750</v>
      </c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  <c r="AX999" s="93"/>
      <c r="AY999" s="93"/>
      <c r="AZ999" s="93"/>
      <c r="BA999" s="93"/>
      <c r="BB999" s="93"/>
      <c r="BC999" s="93"/>
      <c r="BD999" s="93"/>
      <c r="BE999" s="93"/>
      <c r="BF999" s="93"/>
      <c r="BG999" s="93"/>
      <c r="BH999" s="93"/>
      <c r="BI999" s="93"/>
      <c r="BJ999" s="93"/>
      <c r="BK999" s="93"/>
      <c r="BL999" s="93"/>
      <c r="BM999" s="93"/>
      <c r="BN999" s="93"/>
      <c r="BO999" s="93"/>
      <c r="BP999" s="93"/>
      <c r="BQ999" s="93"/>
      <c r="BR999" s="93"/>
      <c r="BS999" s="93"/>
      <c r="BT999" s="93"/>
      <c r="BU999" s="93"/>
      <c r="BV999" s="93"/>
      <c r="BW999" s="93"/>
      <c r="BX999" s="93"/>
      <c r="BY999" s="93"/>
      <c r="BZ999" s="93"/>
      <c r="CA999" s="93"/>
      <c r="CB999" s="93"/>
      <c r="CC999" s="93"/>
      <c r="CD999" s="93"/>
      <c r="CE999" s="93"/>
      <c r="CF999" s="93"/>
      <c r="CG999" s="93"/>
      <c r="CH999" s="93"/>
      <c r="CI999" s="93"/>
      <c r="CJ999" s="93"/>
      <c r="CK999" s="93"/>
      <c r="CL999" s="93"/>
      <c r="CM999" s="93"/>
      <c r="CN999" s="93"/>
      <c r="CO999" s="93"/>
      <c r="CP999" s="93"/>
      <c r="CQ999" s="93"/>
      <c r="CR999" s="93"/>
      <c r="CS999" s="93"/>
      <c r="CT999" s="93"/>
      <c r="CU999" s="93"/>
      <c r="CV999" s="93"/>
      <c r="CW999" s="93"/>
      <c r="CX999" s="93"/>
      <c r="CY999" s="93"/>
      <c r="CZ999" s="93"/>
      <c r="DA999" s="93"/>
      <c r="DB999" s="93"/>
      <c r="DC999" s="93"/>
      <c r="DD999" s="93"/>
      <c r="DE999" s="93"/>
      <c r="DF999" s="93"/>
      <c r="DG999" s="93"/>
      <c r="DH999" s="93"/>
      <c r="DI999" s="93"/>
    </row>
    <row r="1000" spans="30:113" ht="6.95" customHeight="1" x14ac:dyDescent="0.15"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  <c r="AR1000" s="93"/>
      <c r="AS1000" s="93"/>
      <c r="AT1000" s="93"/>
      <c r="AU1000" s="93"/>
      <c r="AV1000" s="93"/>
      <c r="AW1000" s="93"/>
      <c r="AX1000" s="93"/>
      <c r="AY1000" s="93"/>
      <c r="AZ1000" s="93"/>
      <c r="BA1000" s="93"/>
      <c r="BB1000" s="93"/>
      <c r="BC1000" s="93"/>
      <c r="BD1000" s="93"/>
      <c r="BE1000" s="93"/>
      <c r="BF1000" s="93"/>
      <c r="BG1000" s="93"/>
      <c r="BH1000" s="93"/>
      <c r="BI1000" s="93"/>
      <c r="BJ1000" s="93"/>
      <c r="BK1000" s="93"/>
      <c r="BL1000" s="93"/>
      <c r="BM1000" s="93"/>
      <c r="BN1000" s="93"/>
      <c r="BO1000" s="93"/>
      <c r="BP1000" s="93"/>
      <c r="BQ1000" s="93"/>
      <c r="BR1000" s="93"/>
      <c r="BS1000" s="93"/>
      <c r="BT1000" s="93"/>
      <c r="BU1000" s="93"/>
      <c r="BV1000" s="93"/>
      <c r="BW1000" s="93"/>
      <c r="BX1000" s="93"/>
      <c r="BY1000" s="93"/>
      <c r="BZ1000" s="93"/>
      <c r="CA1000" s="93"/>
      <c r="CB1000" s="93"/>
      <c r="CC1000" s="93"/>
      <c r="CD1000" s="93"/>
      <c r="CE1000" s="93"/>
      <c r="CF1000" s="93"/>
      <c r="CG1000" s="93"/>
      <c r="CH1000" s="93"/>
      <c r="CI1000" s="93"/>
      <c r="CJ1000" s="93"/>
      <c r="CK1000" s="93"/>
      <c r="CL1000" s="93"/>
      <c r="CM1000" s="93"/>
      <c r="CN1000" s="93"/>
      <c r="CO1000" s="93"/>
      <c r="CP1000" s="93"/>
      <c r="CQ1000" s="93"/>
      <c r="CR1000" s="93"/>
      <c r="CS1000" s="93"/>
      <c r="CT1000" s="93"/>
      <c r="CU1000" s="93"/>
      <c r="CV1000" s="93"/>
      <c r="CW1000" s="93"/>
      <c r="CX1000" s="93"/>
      <c r="CY1000" s="93"/>
      <c r="CZ1000" s="93"/>
      <c r="DA1000" s="93"/>
      <c r="DB1000" s="93"/>
      <c r="DC1000" s="93"/>
      <c r="DD1000" s="93"/>
      <c r="DE1000" s="93"/>
      <c r="DF1000" s="93"/>
      <c r="DG1000" s="93"/>
      <c r="DH1000" s="93"/>
      <c r="DI1000" s="93"/>
    </row>
    <row r="1001" spans="30:113" ht="6.95" customHeight="1" x14ac:dyDescent="0.15"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  <c r="AP1001" s="93"/>
      <c r="AQ1001" s="93"/>
      <c r="AR1001" s="93"/>
      <c r="AS1001" s="93"/>
      <c r="AT1001" s="93"/>
      <c r="AU1001" s="93"/>
      <c r="AV1001" s="93"/>
      <c r="AW1001" s="93"/>
      <c r="AX1001" s="93"/>
      <c r="AY1001" s="93"/>
      <c r="AZ1001" s="93"/>
      <c r="BA1001" s="93"/>
      <c r="BB1001" s="93"/>
      <c r="BC1001" s="93"/>
      <c r="BD1001" s="93"/>
      <c r="BE1001" s="93"/>
      <c r="BF1001" s="93"/>
      <c r="BG1001" s="93"/>
      <c r="BH1001" s="93"/>
      <c r="BI1001" s="93"/>
      <c r="BJ1001" s="93"/>
      <c r="BK1001" s="93"/>
      <c r="BL1001" s="93"/>
      <c r="BM1001" s="93"/>
      <c r="BN1001" s="93"/>
      <c r="BO1001" s="93"/>
      <c r="BP1001" s="93"/>
      <c r="BQ1001" s="93"/>
      <c r="BR1001" s="93"/>
      <c r="BS1001" s="93"/>
      <c r="BT1001" s="93"/>
      <c r="BU1001" s="93"/>
      <c r="BV1001" s="93"/>
      <c r="BW1001" s="93"/>
      <c r="BX1001" s="93"/>
      <c r="BY1001" s="93"/>
      <c r="BZ1001" s="93"/>
      <c r="CA1001" s="93"/>
      <c r="CB1001" s="93"/>
      <c r="CC1001" s="93"/>
      <c r="CD1001" s="93"/>
      <c r="CE1001" s="93"/>
      <c r="CF1001" s="93"/>
      <c r="CG1001" s="93"/>
      <c r="CH1001" s="93"/>
      <c r="CI1001" s="93"/>
      <c r="CJ1001" s="93"/>
      <c r="CK1001" s="93"/>
      <c r="CL1001" s="93"/>
      <c r="CM1001" s="93"/>
      <c r="CN1001" s="93"/>
      <c r="CO1001" s="93"/>
      <c r="CP1001" s="93"/>
      <c r="CQ1001" s="93"/>
      <c r="CR1001" s="93"/>
      <c r="CS1001" s="93"/>
      <c r="CT1001" s="93"/>
      <c r="CU1001" s="93"/>
      <c r="CV1001" s="93"/>
      <c r="CW1001" s="93"/>
      <c r="CX1001" s="93"/>
      <c r="CY1001" s="93"/>
      <c r="CZ1001" s="93"/>
      <c r="DA1001" s="93"/>
      <c r="DB1001" s="93"/>
      <c r="DC1001" s="93"/>
      <c r="DD1001" s="93"/>
      <c r="DE1001" s="93"/>
      <c r="DF1001" s="93"/>
      <c r="DG1001" s="93"/>
      <c r="DH1001" s="93"/>
      <c r="DI1001" s="93"/>
    </row>
    <row r="1002" spans="30:113" ht="6.95" customHeight="1" x14ac:dyDescent="0.15"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  <c r="AP1002" s="93"/>
      <c r="AQ1002" s="93"/>
      <c r="AR1002" s="93"/>
      <c r="AS1002" s="93"/>
      <c r="AT1002" s="93"/>
      <c r="AU1002" s="93"/>
      <c r="AV1002" s="93"/>
      <c r="AW1002" s="93"/>
      <c r="AX1002" s="93"/>
      <c r="AY1002" s="93"/>
      <c r="AZ1002" s="93"/>
      <c r="BA1002" s="93"/>
      <c r="BB1002" s="93"/>
      <c r="BC1002" s="93"/>
      <c r="BD1002" s="93"/>
      <c r="BE1002" s="93"/>
      <c r="BF1002" s="93"/>
      <c r="BG1002" s="93"/>
      <c r="BH1002" s="93"/>
      <c r="BI1002" s="93"/>
      <c r="BJ1002" s="93"/>
      <c r="BK1002" s="93"/>
      <c r="BL1002" s="93"/>
      <c r="BM1002" s="93"/>
      <c r="BN1002" s="93"/>
      <c r="BO1002" s="93"/>
      <c r="BP1002" s="93"/>
      <c r="BQ1002" s="93"/>
      <c r="BR1002" s="93"/>
      <c r="BS1002" s="93"/>
      <c r="BT1002" s="93"/>
      <c r="BU1002" s="93"/>
      <c r="BV1002" s="93"/>
      <c r="BW1002" s="93"/>
      <c r="BX1002" s="93"/>
      <c r="BY1002" s="93"/>
      <c r="BZ1002" s="93"/>
      <c r="CA1002" s="93"/>
      <c r="CB1002" s="93"/>
      <c r="CC1002" s="93"/>
      <c r="CD1002" s="93"/>
      <c r="CE1002" s="93"/>
      <c r="CF1002" s="93"/>
      <c r="CG1002" s="93"/>
      <c r="CH1002" s="93"/>
      <c r="CI1002" s="93"/>
      <c r="CJ1002" s="93"/>
      <c r="CK1002" s="93"/>
      <c r="CL1002" s="93"/>
      <c r="CM1002" s="93"/>
      <c r="CN1002" s="93"/>
      <c r="CO1002" s="93"/>
      <c r="CP1002" s="93"/>
      <c r="CQ1002" s="93"/>
      <c r="CR1002" s="93"/>
      <c r="CS1002" s="93"/>
      <c r="CT1002" s="93"/>
      <c r="CU1002" s="93"/>
      <c r="CV1002" s="93"/>
      <c r="CW1002" s="93"/>
      <c r="CX1002" s="93"/>
      <c r="CY1002" s="93"/>
      <c r="CZ1002" s="93"/>
      <c r="DA1002" s="93"/>
      <c r="DB1002" s="93"/>
      <c r="DC1002" s="93"/>
      <c r="DD1002" s="93"/>
      <c r="DE1002" s="93"/>
      <c r="DF1002" s="93"/>
      <c r="DG1002" s="93"/>
      <c r="DH1002" s="93"/>
      <c r="DI1002" s="93"/>
    </row>
    <row r="1003" spans="30:113" ht="6.95" customHeight="1" x14ac:dyDescent="0.15"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  <c r="AP1003" s="93"/>
      <c r="AQ1003" s="93"/>
      <c r="AR1003" s="93"/>
      <c r="AS1003" s="93"/>
      <c r="AT1003" s="93"/>
      <c r="AU1003" s="93"/>
      <c r="AV1003" s="93"/>
      <c r="AW1003" s="93"/>
      <c r="AX1003" s="93"/>
      <c r="AY1003" s="93"/>
      <c r="AZ1003" s="93"/>
      <c r="BA1003" s="93"/>
      <c r="BB1003" s="93"/>
      <c r="BC1003" s="93"/>
      <c r="BD1003" s="93"/>
      <c r="BE1003" s="93"/>
      <c r="BF1003" s="93"/>
      <c r="BG1003" s="93"/>
      <c r="BH1003" s="93"/>
      <c r="BI1003" s="93"/>
      <c r="BJ1003" s="93"/>
      <c r="BK1003" s="93"/>
      <c r="BL1003" s="93"/>
      <c r="BM1003" s="93"/>
      <c r="BN1003" s="93"/>
      <c r="BO1003" s="93"/>
      <c r="BP1003" s="93"/>
      <c r="BQ1003" s="93"/>
      <c r="BR1003" s="93"/>
      <c r="BS1003" s="93"/>
      <c r="BT1003" s="93"/>
      <c r="BU1003" s="93"/>
      <c r="BV1003" s="93"/>
      <c r="BW1003" s="93"/>
      <c r="BX1003" s="93"/>
      <c r="BY1003" s="93"/>
      <c r="BZ1003" s="93"/>
      <c r="CA1003" s="93"/>
      <c r="CB1003" s="93"/>
      <c r="CC1003" s="93"/>
      <c r="CD1003" s="93"/>
      <c r="CE1003" s="93"/>
      <c r="CF1003" s="93"/>
      <c r="CG1003" s="93"/>
      <c r="CH1003" s="93"/>
      <c r="CI1003" s="93"/>
      <c r="CJ1003" s="93"/>
      <c r="CK1003" s="93"/>
      <c r="CL1003" s="93"/>
      <c r="CM1003" s="93"/>
      <c r="CN1003" s="93"/>
      <c r="CO1003" s="93"/>
      <c r="CP1003" s="93"/>
      <c r="CQ1003" s="93"/>
      <c r="CR1003" s="93"/>
      <c r="CS1003" s="93"/>
      <c r="CT1003" s="93"/>
      <c r="CU1003" s="93"/>
      <c r="CV1003" s="93"/>
      <c r="CW1003" s="93"/>
      <c r="CX1003" s="93"/>
      <c r="CY1003" s="93"/>
      <c r="CZ1003" s="93"/>
      <c r="DA1003" s="93"/>
      <c r="DB1003" s="93"/>
      <c r="DC1003" s="93"/>
      <c r="DD1003" s="93"/>
      <c r="DE1003" s="93"/>
      <c r="DF1003" s="93"/>
      <c r="DG1003" s="93"/>
      <c r="DH1003" s="93"/>
      <c r="DI1003" s="93"/>
    </row>
    <row r="1004" spans="30:113" ht="6.95" customHeight="1" x14ac:dyDescent="0.15"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  <c r="AP1004" s="93"/>
      <c r="AQ1004" s="93"/>
      <c r="AR1004" s="93"/>
      <c r="AS1004" s="93"/>
      <c r="AT1004" s="93"/>
      <c r="AU1004" s="93"/>
      <c r="AV1004" s="93"/>
      <c r="AW1004" s="93"/>
      <c r="AX1004" s="93"/>
      <c r="AY1004" s="93"/>
      <c r="AZ1004" s="93"/>
      <c r="BA1004" s="93"/>
      <c r="BB1004" s="93"/>
      <c r="BC1004" s="93"/>
      <c r="BD1004" s="93"/>
      <c r="BE1004" s="93"/>
      <c r="BF1004" s="93"/>
      <c r="BG1004" s="93"/>
      <c r="BH1004" s="93"/>
      <c r="BI1004" s="93"/>
      <c r="BJ1004" s="93"/>
      <c r="BK1004" s="93"/>
      <c r="BL1004" s="93"/>
      <c r="BM1004" s="93"/>
      <c r="BN1004" s="93"/>
      <c r="BO1004" s="93"/>
      <c r="BP1004" s="93"/>
      <c r="BQ1004" s="93"/>
      <c r="BR1004" s="93"/>
      <c r="BS1004" s="93"/>
      <c r="BT1004" s="93"/>
      <c r="BU1004" s="93"/>
      <c r="BV1004" s="93"/>
      <c r="BW1004" s="93"/>
      <c r="BX1004" s="93"/>
      <c r="BY1004" s="93"/>
      <c r="BZ1004" s="93"/>
      <c r="CA1004" s="93"/>
      <c r="CB1004" s="93"/>
      <c r="CC1004" s="93"/>
      <c r="CD1004" s="93"/>
      <c r="CE1004" s="93"/>
      <c r="CF1004" s="93"/>
      <c r="CG1004" s="93"/>
      <c r="CH1004" s="93"/>
      <c r="CI1004" s="93"/>
      <c r="CJ1004" s="93"/>
      <c r="CK1004" s="93"/>
      <c r="CL1004" s="93"/>
      <c r="CM1004" s="93"/>
      <c r="CN1004" s="93"/>
      <c r="CO1004" s="93"/>
      <c r="CP1004" s="93"/>
      <c r="CQ1004" s="93"/>
      <c r="CR1004" s="93"/>
      <c r="CS1004" s="93"/>
      <c r="CT1004" s="93"/>
      <c r="CU1004" s="93"/>
      <c r="CV1004" s="93"/>
      <c r="CW1004" s="93"/>
      <c r="CX1004" s="93"/>
      <c r="CY1004" s="93"/>
      <c r="CZ1004" s="93"/>
      <c r="DA1004" s="93"/>
      <c r="DB1004" s="93"/>
      <c r="DC1004" s="93"/>
      <c r="DD1004" s="93"/>
      <c r="DE1004" s="93"/>
      <c r="DF1004" s="93"/>
      <c r="DG1004" s="93"/>
      <c r="DH1004" s="93"/>
      <c r="DI1004" s="93"/>
    </row>
    <row r="1005" spans="30:113" ht="6.95" customHeight="1" x14ac:dyDescent="0.15"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  <c r="AP1005" s="93"/>
      <c r="AQ1005" s="93"/>
      <c r="AR1005" s="93"/>
      <c r="AS1005" s="93"/>
      <c r="AT1005" s="93"/>
      <c r="AU1005" s="93"/>
      <c r="AV1005" s="93"/>
      <c r="AW1005" s="93"/>
      <c r="AX1005" s="93"/>
      <c r="AY1005" s="93"/>
      <c r="AZ1005" s="93"/>
      <c r="BA1005" s="93"/>
      <c r="BB1005" s="93"/>
      <c r="BC1005" s="93"/>
      <c r="BD1005" s="93"/>
      <c r="BE1005" s="93"/>
      <c r="BF1005" s="93"/>
      <c r="BG1005" s="93"/>
      <c r="BH1005" s="93"/>
      <c r="BI1005" s="93"/>
      <c r="BJ1005" s="93"/>
      <c r="BK1005" s="93"/>
      <c r="BL1005" s="93"/>
      <c r="BM1005" s="93"/>
      <c r="BN1005" s="93"/>
      <c r="BO1005" s="93"/>
      <c r="BP1005" s="93"/>
      <c r="BQ1005" s="93"/>
      <c r="BR1005" s="93"/>
      <c r="BS1005" s="93"/>
      <c r="BT1005" s="93"/>
      <c r="BU1005" s="93"/>
      <c r="BV1005" s="93"/>
      <c r="BW1005" s="93"/>
      <c r="BX1005" s="93"/>
      <c r="BY1005" s="93"/>
      <c r="BZ1005" s="93"/>
      <c r="CA1005" s="93"/>
      <c r="CB1005" s="93"/>
      <c r="CC1005" s="93"/>
      <c r="CD1005" s="93"/>
      <c r="CE1005" s="93"/>
      <c r="CF1005" s="93"/>
      <c r="CG1005" s="93"/>
      <c r="CH1005" s="93"/>
      <c r="CI1005" s="93"/>
      <c r="CJ1005" s="93"/>
      <c r="CK1005" s="93"/>
      <c r="CL1005" s="93"/>
      <c r="CM1005" s="93"/>
      <c r="CN1005" s="93"/>
      <c r="CO1005" s="93"/>
      <c r="CP1005" s="93"/>
      <c r="CQ1005" s="93"/>
      <c r="CR1005" s="93"/>
      <c r="CS1005" s="93"/>
      <c r="CT1005" s="93"/>
      <c r="CU1005" s="93"/>
      <c r="CV1005" s="93"/>
      <c r="CW1005" s="93"/>
      <c r="CX1005" s="93"/>
      <c r="CY1005" s="93"/>
      <c r="CZ1005" s="93"/>
      <c r="DA1005" s="93"/>
      <c r="DB1005" s="93"/>
      <c r="DC1005" s="93"/>
      <c r="DD1005" s="93"/>
      <c r="DE1005" s="93"/>
      <c r="DF1005" s="93"/>
      <c r="DG1005" s="93"/>
      <c r="DH1005" s="93"/>
      <c r="DI1005" s="93"/>
    </row>
    <row r="1006" spans="30:113" ht="6.95" customHeight="1" x14ac:dyDescent="0.15"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  <c r="AP1006" s="93"/>
      <c r="AQ1006" s="93"/>
      <c r="AR1006" s="93"/>
      <c r="AS1006" s="93"/>
      <c r="AT1006" s="93"/>
      <c r="AU1006" s="93"/>
      <c r="AV1006" s="93"/>
      <c r="AW1006" s="93"/>
      <c r="AX1006" s="93"/>
      <c r="AY1006" s="93"/>
      <c r="AZ1006" s="93"/>
      <c r="BA1006" s="93"/>
      <c r="BB1006" s="93"/>
      <c r="BC1006" s="93"/>
      <c r="BD1006" s="93"/>
      <c r="BE1006" s="93"/>
      <c r="BF1006" s="93"/>
      <c r="BG1006" s="93"/>
      <c r="BH1006" s="93"/>
      <c r="BI1006" s="93"/>
      <c r="BJ1006" s="93"/>
      <c r="BK1006" s="93"/>
      <c r="BL1006" s="93"/>
      <c r="BM1006" s="93"/>
      <c r="BN1006" s="93"/>
      <c r="BO1006" s="93"/>
      <c r="BP1006" s="93"/>
      <c r="BQ1006" s="93"/>
      <c r="BR1006" s="93"/>
      <c r="BS1006" s="93"/>
      <c r="BT1006" s="93"/>
      <c r="BU1006" s="93"/>
      <c r="BV1006" s="93"/>
      <c r="BW1006" s="93"/>
      <c r="BX1006" s="93"/>
      <c r="BY1006" s="93"/>
      <c r="BZ1006" s="93"/>
      <c r="CA1006" s="93"/>
      <c r="CB1006" s="93"/>
      <c r="CC1006" s="93"/>
      <c r="CD1006" s="93"/>
      <c r="CE1006" s="93"/>
      <c r="CF1006" s="93"/>
      <c r="CG1006" s="93"/>
      <c r="CH1006" s="93"/>
      <c r="CI1006" s="93"/>
      <c r="CJ1006" s="93"/>
      <c r="CK1006" s="93"/>
      <c r="CL1006" s="93"/>
      <c r="CM1006" s="93"/>
      <c r="CN1006" s="93"/>
      <c r="CO1006" s="93"/>
      <c r="CP1006" s="93"/>
      <c r="CQ1006" s="93"/>
      <c r="CR1006" s="93"/>
      <c r="CS1006" s="93"/>
      <c r="CT1006" s="93"/>
      <c r="CU1006" s="93"/>
      <c r="CV1006" s="93"/>
      <c r="CW1006" s="93"/>
      <c r="CX1006" s="93"/>
      <c r="CY1006" s="93"/>
      <c r="CZ1006" s="93"/>
      <c r="DA1006" s="93"/>
      <c r="DB1006" s="93"/>
      <c r="DC1006" s="93"/>
      <c r="DD1006" s="93"/>
      <c r="DE1006" s="93"/>
      <c r="DF1006" s="93"/>
      <c r="DG1006" s="93"/>
      <c r="DH1006" s="93"/>
      <c r="DI1006" s="93"/>
    </row>
    <row r="1007" spans="30:113" ht="6.95" customHeight="1" x14ac:dyDescent="0.15">
      <c r="AD1007" s="93"/>
      <c r="AE1007" s="93"/>
      <c r="AF1007" s="93"/>
      <c r="AG1007" s="93"/>
      <c r="AH1007" s="93"/>
      <c r="AI1007" s="93"/>
      <c r="AJ1007" s="93"/>
      <c r="AK1007" s="93"/>
      <c r="AL1007" s="93"/>
      <c r="AM1007" s="93"/>
      <c r="AN1007" s="93"/>
      <c r="AO1007" s="93"/>
      <c r="AP1007" s="93"/>
      <c r="AQ1007" s="93"/>
      <c r="AR1007" s="93"/>
      <c r="AS1007" s="93"/>
      <c r="AT1007" s="93"/>
      <c r="AU1007" s="93"/>
      <c r="AV1007" s="93"/>
      <c r="AW1007" s="93"/>
      <c r="AX1007" s="93"/>
      <c r="AY1007" s="93"/>
      <c r="AZ1007" s="93"/>
      <c r="BA1007" s="93"/>
      <c r="BB1007" s="93"/>
      <c r="BC1007" s="93"/>
      <c r="BD1007" s="93"/>
      <c r="BE1007" s="93"/>
      <c r="BF1007" s="93"/>
      <c r="BG1007" s="93"/>
      <c r="BH1007" s="93"/>
      <c r="BI1007" s="93"/>
      <c r="BJ1007" s="93"/>
      <c r="BK1007" s="93"/>
      <c r="BL1007" s="93"/>
      <c r="BM1007" s="93"/>
      <c r="BN1007" s="93"/>
      <c r="BO1007" s="93"/>
      <c r="BP1007" s="93"/>
      <c r="BQ1007" s="93"/>
      <c r="BR1007" s="93"/>
      <c r="BS1007" s="93"/>
      <c r="BT1007" s="93"/>
      <c r="BU1007" s="93"/>
      <c r="BV1007" s="93"/>
      <c r="BW1007" s="93"/>
      <c r="BX1007" s="93"/>
      <c r="BY1007" s="93"/>
      <c r="BZ1007" s="93"/>
      <c r="CA1007" s="93"/>
      <c r="CB1007" s="93"/>
      <c r="CC1007" s="93"/>
      <c r="CD1007" s="93"/>
      <c r="CE1007" s="93"/>
      <c r="CF1007" s="93"/>
      <c r="CG1007" s="93"/>
      <c r="CH1007" s="93"/>
      <c r="CI1007" s="93"/>
      <c r="CJ1007" s="93"/>
      <c r="CK1007" s="93"/>
      <c r="CL1007" s="93"/>
      <c r="CM1007" s="93"/>
      <c r="CN1007" s="93"/>
      <c r="CO1007" s="93"/>
      <c r="CP1007" s="93"/>
      <c r="CQ1007" s="93"/>
      <c r="CR1007" s="93"/>
      <c r="CS1007" s="93"/>
      <c r="CT1007" s="93"/>
      <c r="CU1007" s="93"/>
      <c r="CV1007" s="93"/>
      <c r="CW1007" s="93"/>
      <c r="CX1007" s="93"/>
      <c r="CY1007" s="93"/>
      <c r="CZ1007" s="93"/>
      <c r="DA1007" s="93"/>
      <c r="DB1007" s="93"/>
      <c r="DC1007" s="93"/>
      <c r="DD1007" s="93"/>
      <c r="DE1007" s="93"/>
      <c r="DF1007" s="93"/>
      <c r="DG1007" s="93"/>
      <c r="DH1007" s="93"/>
      <c r="DI1007" s="93"/>
    </row>
    <row r="1008" spans="30:113" ht="6.95" customHeight="1" x14ac:dyDescent="0.15">
      <c r="AD1008" s="93"/>
      <c r="AE1008" s="93"/>
      <c r="AF1008" s="93"/>
      <c r="AG1008" s="93"/>
      <c r="AH1008" s="93"/>
      <c r="AI1008" s="93"/>
      <c r="AJ1008" s="93"/>
      <c r="AK1008" s="93"/>
      <c r="AL1008" s="93"/>
      <c r="AM1008" s="93"/>
      <c r="AN1008" s="93"/>
      <c r="AO1008" s="93"/>
      <c r="AP1008" s="93"/>
      <c r="AQ1008" s="93"/>
      <c r="AR1008" s="93"/>
      <c r="AS1008" s="93"/>
      <c r="AT1008" s="93"/>
      <c r="AU1008" s="93"/>
      <c r="AV1008" s="93"/>
      <c r="AW1008" s="93"/>
      <c r="AX1008" s="93"/>
      <c r="AY1008" s="93"/>
      <c r="AZ1008" s="93"/>
      <c r="BA1008" s="93"/>
      <c r="BB1008" s="93"/>
      <c r="BC1008" s="93"/>
      <c r="BD1008" s="93"/>
      <c r="BE1008" s="93"/>
      <c r="BF1008" s="93"/>
      <c r="BG1008" s="93"/>
      <c r="BH1008" s="93"/>
      <c r="BI1008" s="93"/>
      <c r="BJ1008" s="93"/>
      <c r="BK1008" s="93"/>
      <c r="BL1008" s="93"/>
      <c r="BM1008" s="93"/>
      <c r="BN1008" s="93"/>
      <c r="BO1008" s="93"/>
      <c r="BP1008" s="93"/>
      <c r="BQ1008" s="93"/>
      <c r="BR1008" s="93"/>
      <c r="BS1008" s="93"/>
      <c r="BT1008" s="93"/>
      <c r="BU1008" s="93"/>
      <c r="BV1008" s="93"/>
      <c r="BW1008" s="93"/>
      <c r="BX1008" s="93"/>
      <c r="BY1008" s="93"/>
      <c r="BZ1008" s="93"/>
      <c r="CA1008" s="93"/>
      <c r="CB1008" s="93"/>
      <c r="CC1008" s="93"/>
      <c r="CD1008" s="93"/>
      <c r="CE1008" s="93"/>
      <c r="CF1008" s="93"/>
      <c r="CG1008" s="93"/>
      <c r="CH1008" s="93"/>
      <c r="CI1008" s="93"/>
      <c r="CJ1008" s="93"/>
      <c r="CK1008" s="93"/>
      <c r="CL1008" s="93"/>
      <c r="CM1008" s="93"/>
      <c r="CN1008" s="93"/>
      <c r="CO1008" s="93"/>
      <c r="CP1008" s="93"/>
      <c r="CQ1008" s="93"/>
      <c r="CR1008" s="93"/>
      <c r="CS1008" s="93"/>
      <c r="CT1008" s="93"/>
      <c r="CU1008" s="93"/>
      <c r="CV1008" s="93"/>
      <c r="CW1008" s="93"/>
      <c r="CX1008" s="93"/>
      <c r="CY1008" s="93"/>
      <c r="CZ1008" s="93"/>
      <c r="DA1008" s="93"/>
      <c r="DB1008" s="93"/>
      <c r="DC1008" s="93"/>
      <c r="DD1008" s="93"/>
      <c r="DE1008" s="93"/>
      <c r="DF1008" s="93"/>
      <c r="DG1008" s="93"/>
      <c r="DH1008" s="93"/>
      <c r="DI1008" s="93"/>
    </row>
    <row r="1009" spans="30:113" ht="6.95" customHeight="1" x14ac:dyDescent="0.15">
      <c r="AD1009" s="93"/>
      <c r="AE1009" s="93"/>
      <c r="AF1009" s="93"/>
      <c r="AG1009" s="93"/>
      <c r="AH1009" s="93"/>
      <c r="AI1009" s="93"/>
      <c r="AJ1009" s="93"/>
      <c r="AK1009" s="93"/>
      <c r="AL1009" s="93"/>
      <c r="AM1009" s="93"/>
      <c r="AN1009" s="93"/>
      <c r="AO1009" s="93"/>
      <c r="AP1009" s="93"/>
      <c r="AQ1009" s="93"/>
      <c r="AR1009" s="93"/>
      <c r="AS1009" s="93"/>
      <c r="AT1009" s="93"/>
      <c r="AU1009" s="93"/>
      <c r="AV1009" s="93"/>
      <c r="AW1009" s="93"/>
      <c r="AX1009" s="93"/>
      <c r="AY1009" s="93"/>
      <c r="AZ1009" s="93"/>
      <c r="BA1009" s="93"/>
      <c r="BB1009" s="93"/>
      <c r="BC1009" s="93"/>
      <c r="BD1009" s="93"/>
      <c r="BE1009" s="93"/>
      <c r="BF1009" s="93"/>
      <c r="BG1009" s="93"/>
      <c r="BH1009" s="93"/>
      <c r="BI1009" s="93"/>
      <c r="BJ1009" s="93"/>
      <c r="BK1009" s="93"/>
      <c r="BL1009" s="93"/>
      <c r="BM1009" s="93"/>
      <c r="BN1009" s="93"/>
      <c r="BO1009" s="93"/>
      <c r="BP1009" s="93"/>
      <c r="BQ1009" s="93"/>
      <c r="BR1009" s="93"/>
      <c r="BS1009" s="93"/>
      <c r="BT1009" s="93"/>
      <c r="BU1009" s="93"/>
      <c r="BV1009" s="93"/>
      <c r="BW1009" s="93"/>
      <c r="BX1009" s="93"/>
      <c r="BY1009" s="93"/>
      <c r="BZ1009" s="93"/>
      <c r="CA1009" s="93"/>
      <c r="CB1009" s="93"/>
      <c r="CC1009" s="93"/>
      <c r="CD1009" s="93"/>
      <c r="CE1009" s="93"/>
      <c r="CF1009" s="93"/>
      <c r="CG1009" s="93"/>
      <c r="CH1009" s="93"/>
      <c r="CI1009" s="93"/>
      <c r="CJ1009" s="93"/>
      <c r="CK1009" s="93"/>
      <c r="CL1009" s="93"/>
      <c r="CM1009" s="93"/>
      <c r="CN1009" s="93"/>
      <c r="CO1009" s="93"/>
      <c r="CP1009" s="93"/>
      <c r="CQ1009" s="93"/>
      <c r="CR1009" s="93"/>
      <c r="CS1009" s="93"/>
      <c r="CT1009" s="93"/>
      <c r="CU1009" s="93"/>
      <c r="CV1009" s="93"/>
      <c r="CW1009" s="93"/>
      <c r="CX1009" s="93"/>
      <c r="CY1009" s="93"/>
      <c r="CZ1009" s="93"/>
      <c r="DA1009" s="93"/>
      <c r="DB1009" s="93"/>
      <c r="DC1009" s="93"/>
      <c r="DD1009" s="93"/>
      <c r="DE1009" s="93"/>
      <c r="DF1009" s="93"/>
      <c r="DG1009" s="93"/>
      <c r="DH1009" s="93"/>
      <c r="DI1009" s="93"/>
    </row>
    <row r="1010" spans="30:113" ht="6.95" customHeight="1" x14ac:dyDescent="0.15">
      <c r="AD1010" s="93"/>
      <c r="AE1010" s="93"/>
      <c r="AF1010" s="93"/>
      <c r="AG1010" s="93"/>
      <c r="AH1010" s="93"/>
      <c r="AI1010" s="93"/>
      <c r="AJ1010" s="93"/>
      <c r="AK1010" s="93"/>
      <c r="AL1010" s="93"/>
      <c r="AM1010" s="93"/>
      <c r="AN1010" s="93"/>
      <c r="AO1010" s="93"/>
      <c r="AP1010" s="93"/>
      <c r="AQ1010" s="93"/>
      <c r="AR1010" s="93"/>
      <c r="AS1010" s="93"/>
      <c r="AT1010" s="93"/>
      <c r="AU1010" s="93"/>
      <c r="AV1010" s="93"/>
      <c r="AW1010" s="93"/>
      <c r="AX1010" s="93"/>
      <c r="AY1010" s="93"/>
      <c r="AZ1010" s="93"/>
      <c r="BA1010" s="93"/>
      <c r="BB1010" s="93"/>
      <c r="BC1010" s="93"/>
      <c r="BD1010" s="93"/>
      <c r="BE1010" s="93"/>
      <c r="BF1010" s="93"/>
      <c r="BG1010" s="93"/>
      <c r="BH1010" s="93"/>
      <c r="BI1010" s="93"/>
      <c r="BJ1010" s="93"/>
      <c r="BK1010" s="93"/>
      <c r="BL1010" s="93"/>
      <c r="BM1010" s="93"/>
      <c r="BN1010" s="93"/>
      <c r="BO1010" s="93"/>
      <c r="BP1010" s="93"/>
      <c r="BQ1010" s="93"/>
      <c r="BR1010" s="93"/>
      <c r="BS1010" s="93"/>
      <c r="BT1010" s="93"/>
      <c r="BU1010" s="93"/>
      <c r="BV1010" s="93"/>
      <c r="BW1010" s="93"/>
      <c r="BX1010" s="93"/>
      <c r="BY1010" s="93"/>
      <c r="BZ1010" s="93"/>
      <c r="CA1010" s="93"/>
      <c r="CB1010" s="93"/>
      <c r="CC1010" s="93"/>
      <c r="CD1010" s="93"/>
      <c r="CE1010" s="93"/>
      <c r="CF1010" s="93"/>
      <c r="CG1010" s="93"/>
      <c r="CH1010" s="93"/>
      <c r="CI1010" s="93"/>
      <c r="CJ1010" s="93"/>
      <c r="CK1010" s="93"/>
      <c r="CL1010" s="93"/>
      <c r="CM1010" s="93"/>
      <c r="CN1010" s="93"/>
      <c r="CO1010" s="93"/>
      <c r="CP1010" s="93"/>
      <c r="CQ1010" s="93"/>
      <c r="CR1010" s="93"/>
      <c r="CS1010" s="93"/>
      <c r="CT1010" s="93"/>
      <c r="CU1010" s="93"/>
      <c r="CV1010" s="93"/>
      <c r="CW1010" s="93"/>
      <c r="CX1010" s="93"/>
      <c r="CY1010" s="93"/>
      <c r="CZ1010" s="93"/>
      <c r="DA1010" s="93"/>
      <c r="DB1010" s="93"/>
      <c r="DC1010" s="93"/>
      <c r="DD1010" s="93"/>
      <c r="DE1010" s="93"/>
      <c r="DF1010" s="93"/>
      <c r="DG1010" s="93"/>
      <c r="DH1010" s="93"/>
      <c r="DI1010" s="93"/>
    </row>
    <row r="1011" spans="30:113" ht="6.95" customHeight="1" x14ac:dyDescent="0.15">
      <c r="AD1011" s="93"/>
      <c r="AE1011" s="93"/>
      <c r="AF1011" s="93"/>
      <c r="AG1011" s="93"/>
      <c r="AH1011" s="93"/>
      <c r="AI1011" s="93"/>
      <c r="AJ1011" s="93"/>
      <c r="AK1011" s="93"/>
      <c r="AL1011" s="93"/>
      <c r="AM1011" s="93"/>
      <c r="AN1011" s="93"/>
      <c r="AO1011" s="93"/>
      <c r="AP1011" s="93"/>
      <c r="AQ1011" s="93"/>
      <c r="AR1011" s="93"/>
      <c r="AS1011" s="93"/>
      <c r="AT1011" s="93"/>
      <c r="AU1011" s="93"/>
      <c r="AV1011" s="93"/>
      <c r="AW1011" s="93"/>
      <c r="AX1011" s="93"/>
      <c r="AY1011" s="93"/>
      <c r="AZ1011" s="93"/>
      <c r="BA1011" s="93"/>
      <c r="BB1011" s="93"/>
      <c r="BC1011" s="93"/>
      <c r="BD1011" s="93"/>
      <c r="BE1011" s="93"/>
      <c r="BF1011" s="93"/>
      <c r="BG1011" s="93"/>
      <c r="BH1011" s="93"/>
      <c r="BI1011" s="93"/>
      <c r="BJ1011" s="93"/>
      <c r="BK1011" s="93"/>
      <c r="BL1011" s="93"/>
      <c r="BM1011" s="93"/>
      <c r="BN1011" s="93"/>
      <c r="BO1011" s="93"/>
      <c r="BP1011" s="93"/>
      <c r="BQ1011" s="93"/>
      <c r="BR1011" s="93"/>
      <c r="BS1011" s="93"/>
      <c r="BT1011" s="93"/>
      <c r="BU1011" s="93"/>
      <c r="BV1011" s="93"/>
      <c r="BW1011" s="93"/>
      <c r="BX1011" s="93"/>
      <c r="BY1011" s="93"/>
      <c r="BZ1011" s="93"/>
      <c r="CA1011" s="93"/>
      <c r="CB1011" s="93"/>
      <c r="CC1011" s="93"/>
      <c r="CD1011" s="93"/>
      <c r="CE1011" s="93"/>
      <c r="CF1011" s="93"/>
      <c r="CG1011" s="93"/>
      <c r="CH1011" s="93"/>
      <c r="CI1011" s="93"/>
      <c r="CJ1011" s="93"/>
      <c r="CK1011" s="93"/>
      <c r="CL1011" s="93"/>
      <c r="CM1011" s="93"/>
      <c r="CN1011" s="93"/>
      <c r="CO1011" s="93"/>
      <c r="CP1011" s="93"/>
      <c r="CQ1011" s="93"/>
      <c r="CR1011" s="93"/>
      <c r="CS1011" s="93"/>
      <c r="CT1011" s="93"/>
      <c r="CU1011" s="93"/>
      <c r="CV1011" s="93"/>
      <c r="CW1011" s="93"/>
      <c r="CX1011" s="93"/>
      <c r="CY1011" s="93"/>
      <c r="CZ1011" s="93"/>
      <c r="DA1011" s="93"/>
      <c r="DB1011" s="93"/>
      <c r="DC1011" s="93"/>
      <c r="DD1011" s="93"/>
      <c r="DE1011" s="93"/>
      <c r="DF1011" s="93"/>
      <c r="DG1011" s="93"/>
      <c r="DH1011" s="93"/>
      <c r="DI1011" s="93"/>
    </row>
    <row r="1012" spans="30:113" ht="6.95" customHeight="1" x14ac:dyDescent="0.15">
      <c r="AD1012" s="93"/>
      <c r="AE1012" s="93"/>
      <c r="AF1012" s="93"/>
      <c r="AG1012" s="93"/>
      <c r="AH1012" s="93"/>
      <c r="AI1012" s="93"/>
      <c r="AJ1012" s="93"/>
      <c r="AK1012" s="93"/>
      <c r="AL1012" s="93"/>
      <c r="AM1012" s="93"/>
      <c r="AN1012" s="93"/>
      <c r="AO1012" s="93"/>
      <c r="AP1012" s="93"/>
      <c r="AQ1012" s="93"/>
      <c r="AR1012" s="93"/>
      <c r="AS1012" s="93"/>
      <c r="AT1012" s="93"/>
      <c r="AU1012" s="93"/>
      <c r="AV1012" s="93"/>
      <c r="AW1012" s="93"/>
      <c r="AX1012" s="93"/>
      <c r="AY1012" s="93"/>
      <c r="AZ1012" s="93"/>
      <c r="BA1012" s="93"/>
      <c r="BB1012" s="93"/>
      <c r="BC1012" s="93"/>
      <c r="BD1012" s="93"/>
      <c r="BE1012" s="93"/>
      <c r="BF1012" s="93"/>
      <c r="BG1012" s="93"/>
      <c r="BH1012" s="93"/>
      <c r="BI1012" s="93"/>
      <c r="BJ1012" s="93"/>
      <c r="BK1012" s="93"/>
      <c r="BL1012" s="93"/>
      <c r="BM1012" s="93"/>
      <c r="BN1012" s="93"/>
      <c r="BO1012" s="93"/>
      <c r="BP1012" s="93"/>
      <c r="BQ1012" s="93"/>
      <c r="BR1012" s="93"/>
      <c r="BS1012" s="93"/>
      <c r="BT1012" s="93"/>
      <c r="BU1012" s="93"/>
      <c r="BV1012" s="93"/>
      <c r="BW1012" s="93"/>
      <c r="BX1012" s="93"/>
      <c r="BY1012" s="93"/>
      <c r="BZ1012" s="93"/>
      <c r="CA1012" s="93"/>
      <c r="CB1012" s="93"/>
      <c r="CC1012" s="93"/>
      <c r="CD1012" s="93"/>
      <c r="CE1012" s="93"/>
      <c r="CF1012" s="93"/>
      <c r="CG1012" s="93"/>
      <c r="CH1012" s="93"/>
      <c r="CI1012" s="93"/>
      <c r="CJ1012" s="93"/>
      <c r="CK1012" s="93"/>
      <c r="CL1012" s="93"/>
      <c r="CM1012" s="93"/>
      <c r="CN1012" s="93"/>
      <c r="CO1012" s="93"/>
      <c r="CP1012" s="93"/>
      <c r="CQ1012" s="93"/>
      <c r="CR1012" s="93"/>
      <c r="CS1012" s="93"/>
      <c r="CT1012" s="93"/>
      <c r="CU1012" s="93"/>
      <c r="CV1012" s="93"/>
      <c r="CW1012" s="93"/>
      <c r="CX1012" s="93"/>
      <c r="CY1012" s="93"/>
      <c r="CZ1012" s="93"/>
      <c r="DA1012" s="93"/>
      <c r="DB1012" s="93"/>
      <c r="DC1012" s="93"/>
      <c r="DD1012" s="93"/>
      <c r="DE1012" s="93"/>
      <c r="DF1012" s="93"/>
      <c r="DG1012" s="93"/>
      <c r="DH1012" s="93"/>
      <c r="DI1012" s="93"/>
    </row>
    <row r="1013" spans="30:113" ht="6.95" customHeight="1" x14ac:dyDescent="0.15">
      <c r="AD1013" s="93"/>
      <c r="AE1013" s="93"/>
      <c r="AF1013" s="93"/>
      <c r="AG1013" s="93"/>
      <c r="AH1013" s="93"/>
      <c r="AI1013" s="93"/>
      <c r="AJ1013" s="93"/>
      <c r="AK1013" s="93"/>
      <c r="AL1013" s="93"/>
      <c r="AM1013" s="93"/>
      <c r="AN1013" s="93"/>
      <c r="AO1013" s="93"/>
      <c r="AP1013" s="93"/>
      <c r="AQ1013" s="93"/>
      <c r="AR1013" s="93"/>
      <c r="AS1013" s="93"/>
      <c r="AT1013" s="93"/>
      <c r="AU1013" s="93"/>
      <c r="AV1013" s="93"/>
      <c r="AW1013" s="93"/>
      <c r="AX1013" s="93"/>
      <c r="AY1013" s="93"/>
      <c r="AZ1013" s="93"/>
      <c r="BA1013" s="93"/>
      <c r="BB1013" s="93"/>
      <c r="BC1013" s="93"/>
      <c r="BD1013" s="93"/>
      <c r="BE1013" s="93"/>
      <c r="BF1013" s="93"/>
      <c r="BG1013" s="93"/>
      <c r="BH1013" s="93"/>
      <c r="BI1013" s="93"/>
      <c r="BJ1013" s="93"/>
      <c r="BK1013" s="93"/>
      <c r="BL1013" s="93"/>
      <c r="BM1013" s="93"/>
      <c r="BN1013" s="93"/>
      <c r="BO1013" s="93"/>
      <c r="BP1013" s="93"/>
      <c r="BQ1013" s="93"/>
      <c r="BR1013" s="93"/>
      <c r="BS1013" s="93"/>
      <c r="BT1013" s="93"/>
      <c r="BU1013" s="93"/>
      <c r="BV1013" s="93"/>
      <c r="BW1013" s="93"/>
      <c r="BX1013" s="93"/>
      <c r="BY1013" s="93"/>
      <c r="BZ1013" s="93"/>
      <c r="CA1013" s="93"/>
      <c r="CB1013" s="93"/>
      <c r="CC1013" s="93"/>
      <c r="CD1013" s="93"/>
      <c r="CE1013" s="93"/>
      <c r="CF1013" s="93"/>
      <c r="CG1013" s="93"/>
      <c r="CH1013" s="93"/>
      <c r="CI1013" s="93"/>
      <c r="CJ1013" s="93"/>
      <c r="CK1013" s="93"/>
      <c r="CL1013" s="93"/>
      <c r="CM1013" s="93"/>
      <c r="CN1013" s="93"/>
      <c r="CO1013" s="93"/>
      <c r="CP1013" s="93"/>
      <c r="CQ1013" s="93"/>
      <c r="CR1013" s="93"/>
      <c r="CS1013" s="93"/>
      <c r="CT1013" s="93"/>
      <c r="CU1013" s="93"/>
      <c r="CV1013" s="93"/>
      <c r="CW1013" s="93"/>
      <c r="CX1013" s="93"/>
      <c r="CY1013" s="93"/>
      <c r="CZ1013" s="93"/>
      <c r="DA1013" s="93"/>
      <c r="DB1013" s="93"/>
      <c r="DC1013" s="93"/>
      <c r="DD1013" s="93"/>
      <c r="DE1013" s="93"/>
      <c r="DF1013" s="93"/>
      <c r="DG1013" s="93"/>
      <c r="DH1013" s="93"/>
      <c r="DI1013" s="93"/>
    </row>
    <row r="1014" spans="30:113" ht="6.95" customHeight="1" x14ac:dyDescent="0.15">
      <c r="AD1014" s="93"/>
      <c r="AE1014" s="93"/>
      <c r="AF1014" s="93"/>
      <c r="AG1014" s="93"/>
      <c r="AH1014" s="93"/>
      <c r="AI1014" s="93"/>
      <c r="AJ1014" s="93"/>
      <c r="AK1014" s="93"/>
      <c r="AL1014" s="93"/>
      <c r="AM1014" s="93"/>
      <c r="AN1014" s="93"/>
      <c r="AO1014" s="93"/>
      <c r="AP1014" s="93"/>
      <c r="AQ1014" s="93"/>
      <c r="AR1014" s="93"/>
      <c r="AS1014" s="93"/>
      <c r="AT1014" s="93"/>
      <c r="AU1014" s="93"/>
      <c r="AV1014" s="93"/>
      <c r="AW1014" s="93"/>
      <c r="AX1014" s="93"/>
      <c r="AY1014" s="93"/>
      <c r="AZ1014" s="93"/>
      <c r="BA1014" s="93"/>
      <c r="BB1014" s="93"/>
      <c r="BC1014" s="93"/>
      <c r="BD1014" s="93"/>
      <c r="BE1014" s="93"/>
      <c r="BF1014" s="93"/>
      <c r="BG1014" s="93"/>
      <c r="BH1014" s="93"/>
      <c r="BI1014" s="93"/>
      <c r="BJ1014" s="93"/>
      <c r="BK1014" s="93"/>
      <c r="BL1014" s="93"/>
      <c r="BM1014" s="93"/>
      <c r="BN1014" s="93"/>
      <c r="BO1014" s="93"/>
      <c r="BP1014" s="93"/>
      <c r="BQ1014" s="93"/>
      <c r="BR1014" s="93"/>
      <c r="BS1014" s="93"/>
      <c r="BT1014" s="93"/>
      <c r="BU1014" s="93"/>
      <c r="BV1014" s="93"/>
      <c r="BW1014" s="93"/>
      <c r="BX1014" s="93"/>
      <c r="BY1014" s="93"/>
      <c r="BZ1014" s="93"/>
      <c r="CA1014" s="93"/>
      <c r="CB1014" s="93"/>
      <c r="CC1014" s="93"/>
      <c r="CD1014" s="93"/>
      <c r="CE1014" s="93"/>
      <c r="CF1014" s="93"/>
      <c r="CG1014" s="93"/>
      <c r="CH1014" s="93"/>
      <c r="CI1014" s="93"/>
      <c r="CJ1014" s="93"/>
      <c r="CK1014" s="93"/>
      <c r="CL1014" s="93"/>
      <c r="CM1014" s="93"/>
      <c r="CN1014" s="93"/>
      <c r="CO1014" s="93"/>
      <c r="CP1014" s="93"/>
      <c r="CQ1014" s="93"/>
      <c r="CR1014" s="93"/>
      <c r="CS1014" s="93"/>
      <c r="CT1014" s="93"/>
      <c r="CU1014" s="93"/>
      <c r="CV1014" s="93"/>
      <c r="CW1014" s="93"/>
      <c r="CX1014" s="93"/>
      <c r="CY1014" s="93"/>
      <c r="CZ1014" s="93"/>
      <c r="DA1014" s="93"/>
      <c r="DB1014" s="93"/>
      <c r="DC1014" s="93"/>
      <c r="DD1014" s="93"/>
      <c r="DE1014" s="93"/>
      <c r="DF1014" s="93"/>
      <c r="DG1014" s="93"/>
      <c r="DH1014" s="93"/>
      <c r="DI1014" s="93"/>
    </row>
    <row r="1015" spans="30:113" ht="6.95" customHeight="1" x14ac:dyDescent="0.15">
      <c r="AD1015" s="93"/>
      <c r="AE1015" s="93"/>
      <c r="AF1015" s="93"/>
      <c r="AG1015" s="93"/>
      <c r="AH1015" s="93"/>
      <c r="AI1015" s="93"/>
      <c r="AJ1015" s="93"/>
      <c r="AK1015" s="93"/>
      <c r="AL1015" s="93"/>
      <c r="AM1015" s="93"/>
      <c r="AN1015" s="93"/>
      <c r="AO1015" s="93"/>
      <c r="AP1015" s="93"/>
      <c r="AQ1015" s="93"/>
      <c r="AR1015" s="93"/>
      <c r="AS1015" s="93"/>
      <c r="AT1015" s="93"/>
      <c r="AU1015" s="93"/>
      <c r="AV1015" s="93"/>
      <c r="AW1015" s="93"/>
      <c r="AX1015" s="93"/>
      <c r="AY1015" s="93"/>
      <c r="AZ1015" s="93"/>
      <c r="BA1015" s="93"/>
      <c r="BB1015" s="93"/>
      <c r="BC1015" s="93"/>
      <c r="BD1015" s="93"/>
      <c r="BE1015" s="93"/>
      <c r="BF1015" s="93"/>
      <c r="BG1015" s="93"/>
      <c r="BH1015" s="93"/>
      <c r="BI1015" s="93"/>
      <c r="BJ1015" s="93"/>
      <c r="BK1015" s="93"/>
      <c r="BL1015" s="93"/>
      <c r="BM1015" s="93"/>
      <c r="BN1015" s="93"/>
      <c r="BO1015" s="93"/>
      <c r="BP1015" s="93"/>
      <c r="BQ1015" s="93"/>
      <c r="BR1015" s="93"/>
      <c r="BS1015" s="93"/>
      <c r="BT1015" s="93"/>
      <c r="BU1015" s="93"/>
      <c r="BV1015" s="93"/>
      <c r="BW1015" s="93"/>
      <c r="BX1015" s="93"/>
      <c r="BY1015" s="93"/>
      <c r="BZ1015" s="93"/>
      <c r="CA1015" s="93"/>
      <c r="CB1015" s="93"/>
      <c r="CC1015" s="93"/>
      <c r="CD1015" s="93"/>
      <c r="CE1015" s="93"/>
      <c r="CF1015" s="93"/>
      <c r="CG1015" s="93"/>
      <c r="CH1015" s="93"/>
      <c r="CI1015" s="93"/>
      <c r="CJ1015" s="93"/>
      <c r="CK1015" s="93"/>
      <c r="CL1015" s="93"/>
      <c r="CM1015" s="93"/>
      <c r="CN1015" s="93"/>
      <c r="CO1015" s="93"/>
      <c r="CP1015" s="93"/>
      <c r="CQ1015" s="93"/>
      <c r="CR1015" s="93"/>
      <c r="CS1015" s="93"/>
      <c r="CT1015" s="93"/>
      <c r="CU1015" s="93"/>
      <c r="CV1015" s="93"/>
      <c r="CW1015" s="93"/>
      <c r="CX1015" s="93"/>
      <c r="CY1015" s="93"/>
      <c r="CZ1015" s="93"/>
      <c r="DA1015" s="93"/>
      <c r="DB1015" s="93"/>
      <c r="DC1015" s="93"/>
      <c r="DD1015" s="93"/>
      <c r="DE1015" s="93"/>
      <c r="DF1015" s="93"/>
      <c r="DG1015" s="93"/>
      <c r="DH1015" s="93"/>
      <c r="DI1015" s="93"/>
    </row>
    <row r="1016" spans="30:113" ht="6.95" customHeight="1" x14ac:dyDescent="0.15">
      <c r="AD1016" s="93"/>
      <c r="AE1016" s="93"/>
      <c r="AF1016" s="93"/>
      <c r="AG1016" s="93"/>
      <c r="AH1016" s="93"/>
      <c r="AI1016" s="93"/>
      <c r="AJ1016" s="93"/>
      <c r="AK1016" s="93"/>
      <c r="AL1016" s="93"/>
      <c r="AM1016" s="93"/>
      <c r="AN1016" s="93"/>
      <c r="AO1016" s="93"/>
      <c r="AP1016" s="93"/>
      <c r="AQ1016" s="93"/>
      <c r="AR1016" s="93"/>
      <c r="AS1016" s="93"/>
      <c r="AT1016" s="93"/>
      <c r="AU1016" s="93"/>
      <c r="AV1016" s="93"/>
      <c r="AW1016" s="93"/>
      <c r="AX1016" s="93"/>
      <c r="AY1016" s="93"/>
      <c r="AZ1016" s="93"/>
      <c r="BA1016" s="93"/>
      <c r="BB1016" s="93"/>
      <c r="BC1016" s="93"/>
      <c r="BD1016" s="93"/>
      <c r="BE1016" s="93"/>
      <c r="BF1016" s="93"/>
      <c r="BG1016" s="93"/>
      <c r="BH1016" s="93"/>
      <c r="BI1016" s="93"/>
      <c r="BJ1016" s="93"/>
      <c r="BK1016" s="93"/>
      <c r="BL1016" s="93"/>
      <c r="BM1016" s="93"/>
      <c r="BN1016" s="93"/>
      <c r="BO1016" s="93"/>
      <c r="BP1016" s="93"/>
      <c r="BQ1016" s="93"/>
      <c r="BR1016" s="93"/>
      <c r="BS1016" s="93"/>
      <c r="BT1016" s="93"/>
      <c r="BU1016" s="93"/>
      <c r="BV1016" s="93"/>
      <c r="BW1016" s="93"/>
      <c r="BX1016" s="93"/>
      <c r="BY1016" s="93"/>
      <c r="BZ1016" s="93"/>
      <c r="CA1016" s="93"/>
      <c r="CB1016" s="93"/>
      <c r="CC1016" s="93"/>
      <c r="CD1016" s="93"/>
      <c r="CE1016" s="93"/>
      <c r="CF1016" s="93"/>
      <c r="CG1016" s="93"/>
      <c r="CH1016" s="93"/>
      <c r="CI1016" s="93"/>
      <c r="CJ1016" s="93"/>
      <c r="CK1016" s="93"/>
      <c r="CL1016" s="93"/>
      <c r="CM1016" s="93"/>
      <c r="CN1016" s="93"/>
      <c r="CO1016" s="93"/>
      <c r="CP1016" s="93"/>
      <c r="CQ1016" s="93"/>
      <c r="CR1016" s="93"/>
      <c r="CS1016" s="93"/>
      <c r="CT1016" s="93"/>
      <c r="CU1016" s="93"/>
      <c r="CV1016" s="93"/>
      <c r="CW1016" s="93"/>
      <c r="CX1016" s="93"/>
      <c r="CY1016" s="93"/>
      <c r="CZ1016" s="93"/>
      <c r="DA1016" s="93"/>
      <c r="DB1016" s="93"/>
      <c r="DC1016" s="93"/>
      <c r="DD1016" s="93"/>
      <c r="DE1016" s="93"/>
      <c r="DF1016" s="93"/>
      <c r="DG1016" s="93"/>
      <c r="DH1016" s="93"/>
      <c r="DI1016" s="93"/>
    </row>
    <row r="1017" spans="30:113" ht="6.95" customHeight="1" x14ac:dyDescent="0.15">
      <c r="AD1017" s="93"/>
      <c r="AE1017" s="93"/>
      <c r="AF1017" s="93"/>
      <c r="AG1017" s="93"/>
      <c r="AH1017" s="93"/>
      <c r="AI1017" s="93"/>
      <c r="AJ1017" s="93"/>
      <c r="AK1017" s="93"/>
      <c r="AL1017" s="93"/>
      <c r="AM1017" s="93"/>
      <c r="AN1017" s="93"/>
      <c r="AO1017" s="93"/>
      <c r="AP1017" s="93"/>
      <c r="AQ1017" s="93"/>
      <c r="AR1017" s="93"/>
      <c r="AS1017" s="93"/>
      <c r="AT1017" s="93"/>
      <c r="AU1017" s="93"/>
      <c r="AV1017" s="93"/>
      <c r="AW1017" s="93"/>
      <c r="AX1017" s="93"/>
      <c r="AY1017" s="93"/>
      <c r="AZ1017" s="93"/>
      <c r="BA1017" s="93"/>
      <c r="BB1017" s="93"/>
      <c r="BC1017" s="93"/>
      <c r="BD1017" s="93"/>
      <c r="BE1017" s="93"/>
      <c r="BF1017" s="93"/>
      <c r="BG1017" s="93"/>
      <c r="BH1017" s="93"/>
      <c r="BI1017" s="93"/>
      <c r="BJ1017" s="93"/>
      <c r="BK1017" s="93"/>
      <c r="BL1017" s="93"/>
      <c r="BM1017" s="93"/>
      <c r="BN1017" s="93"/>
      <c r="BO1017" s="93"/>
      <c r="BP1017" s="93"/>
      <c r="BQ1017" s="93"/>
      <c r="BR1017" s="93"/>
      <c r="BS1017" s="93"/>
      <c r="BT1017" s="93"/>
      <c r="BU1017" s="93"/>
      <c r="BV1017" s="93"/>
      <c r="BW1017" s="93"/>
      <c r="BX1017" s="93"/>
      <c r="BY1017" s="93"/>
      <c r="BZ1017" s="93"/>
      <c r="CA1017" s="93"/>
      <c r="CB1017" s="93"/>
      <c r="CC1017" s="93"/>
      <c r="CD1017" s="93"/>
      <c r="CE1017" s="93"/>
      <c r="CF1017" s="93"/>
      <c r="CG1017" s="93"/>
      <c r="CH1017" s="93"/>
      <c r="CI1017" s="93"/>
      <c r="CJ1017" s="93"/>
      <c r="CK1017" s="93"/>
      <c r="CL1017" s="93"/>
      <c r="CM1017" s="93"/>
      <c r="CN1017" s="93"/>
      <c r="CO1017" s="93"/>
      <c r="CP1017" s="93"/>
      <c r="CQ1017" s="93"/>
      <c r="CR1017" s="93"/>
      <c r="CS1017" s="93"/>
      <c r="CT1017" s="93"/>
      <c r="CU1017" s="93"/>
      <c r="CV1017" s="93"/>
      <c r="CW1017" s="93"/>
      <c r="CX1017" s="93"/>
      <c r="CY1017" s="93"/>
      <c r="CZ1017" s="93"/>
      <c r="DA1017" s="93"/>
      <c r="DB1017" s="93"/>
      <c r="DC1017" s="93"/>
      <c r="DD1017" s="93"/>
      <c r="DE1017" s="93"/>
      <c r="DF1017" s="93"/>
      <c r="DG1017" s="93"/>
      <c r="DH1017" s="93"/>
      <c r="DI1017" s="93"/>
    </row>
    <row r="1018" spans="30:113" ht="6.95" customHeight="1" x14ac:dyDescent="0.15">
      <c r="AD1018" s="93"/>
      <c r="AE1018" s="93"/>
      <c r="AF1018" s="93"/>
      <c r="AG1018" s="93"/>
      <c r="AH1018" s="93"/>
      <c r="AI1018" s="93"/>
      <c r="AJ1018" s="93"/>
      <c r="AK1018" s="93"/>
      <c r="AL1018" s="93"/>
      <c r="AM1018" s="93"/>
      <c r="AN1018" s="93"/>
      <c r="AO1018" s="93"/>
      <c r="AP1018" s="93"/>
      <c r="AQ1018" s="93"/>
      <c r="AR1018" s="93"/>
      <c r="AS1018" s="93"/>
      <c r="AT1018" s="93"/>
      <c r="AU1018" s="93"/>
      <c r="AV1018" s="93"/>
      <c r="AW1018" s="93"/>
      <c r="AX1018" s="93"/>
      <c r="AY1018" s="93"/>
      <c r="AZ1018" s="93"/>
      <c r="BA1018" s="93"/>
      <c r="BB1018" s="93"/>
      <c r="BC1018" s="93"/>
      <c r="BD1018" s="93"/>
      <c r="BE1018" s="93"/>
      <c r="BF1018" s="93"/>
      <c r="BG1018" s="93"/>
      <c r="BH1018" s="93"/>
      <c r="BI1018" s="93"/>
      <c r="BJ1018" s="93"/>
      <c r="BK1018" s="93"/>
      <c r="BL1018" s="93"/>
      <c r="BM1018" s="93"/>
      <c r="BN1018" s="93"/>
      <c r="BO1018" s="93"/>
      <c r="BP1018" s="93"/>
      <c r="BQ1018" s="93"/>
      <c r="BR1018" s="93"/>
      <c r="BS1018" s="93"/>
      <c r="BT1018" s="93"/>
      <c r="BU1018" s="93"/>
      <c r="BV1018" s="93"/>
      <c r="BW1018" s="93"/>
      <c r="BX1018" s="93"/>
      <c r="BY1018" s="93"/>
      <c r="BZ1018" s="93"/>
      <c r="CA1018" s="93"/>
      <c r="CB1018" s="93"/>
      <c r="CC1018" s="93"/>
      <c r="CD1018" s="93"/>
      <c r="CE1018" s="93"/>
      <c r="CF1018" s="93"/>
      <c r="CG1018" s="93"/>
      <c r="CH1018" s="93"/>
      <c r="CI1018" s="93"/>
      <c r="CJ1018" s="93"/>
      <c r="CK1018" s="93"/>
      <c r="CL1018" s="93"/>
      <c r="CM1018" s="93"/>
      <c r="CN1018" s="93"/>
      <c r="CO1018" s="93"/>
      <c r="CP1018" s="93"/>
      <c r="CQ1018" s="93"/>
      <c r="CR1018" s="93"/>
      <c r="CS1018" s="93"/>
      <c r="CT1018" s="93"/>
      <c r="CU1018" s="93"/>
      <c r="CV1018" s="93"/>
      <c r="CW1018" s="93"/>
      <c r="CX1018" s="93"/>
      <c r="CY1018" s="93"/>
      <c r="CZ1018" s="93"/>
      <c r="DA1018" s="93"/>
      <c r="DB1018" s="93"/>
      <c r="DC1018" s="93"/>
      <c r="DD1018" s="93"/>
      <c r="DE1018" s="93"/>
      <c r="DF1018" s="93"/>
      <c r="DG1018" s="93"/>
      <c r="DH1018" s="93"/>
      <c r="DI1018" s="93"/>
    </row>
    <row r="1019" spans="30:113" ht="6.95" customHeight="1" x14ac:dyDescent="0.15">
      <c r="AD1019" s="93"/>
      <c r="AE1019" s="93"/>
      <c r="AF1019" s="93"/>
      <c r="AG1019" s="93"/>
      <c r="AH1019" s="93"/>
      <c r="AI1019" s="93"/>
      <c r="AJ1019" s="93"/>
      <c r="AK1019" s="93"/>
      <c r="AL1019" s="93"/>
      <c r="AM1019" s="93"/>
      <c r="AN1019" s="93"/>
      <c r="AO1019" s="93"/>
      <c r="AP1019" s="93"/>
      <c r="AQ1019" s="93"/>
      <c r="AR1019" s="93"/>
      <c r="AS1019" s="93"/>
      <c r="AT1019" s="93"/>
      <c r="AU1019" s="93"/>
      <c r="AV1019" s="93"/>
      <c r="AW1019" s="93"/>
      <c r="AX1019" s="93"/>
      <c r="AY1019" s="93"/>
      <c r="AZ1019" s="93"/>
      <c r="BA1019" s="93"/>
      <c r="BB1019" s="93"/>
      <c r="BC1019" s="93"/>
      <c r="BD1019" s="93"/>
      <c r="BE1019" s="93"/>
      <c r="BF1019" s="93"/>
      <c r="BG1019" s="93"/>
      <c r="BH1019" s="93"/>
      <c r="BI1019" s="93"/>
      <c r="BJ1019" s="93"/>
      <c r="BK1019" s="93"/>
      <c r="BL1019" s="93"/>
      <c r="BM1019" s="93"/>
      <c r="BN1019" s="93"/>
      <c r="BO1019" s="93"/>
      <c r="BP1019" s="93"/>
      <c r="BQ1019" s="93"/>
      <c r="BR1019" s="93"/>
      <c r="BS1019" s="93"/>
      <c r="BT1019" s="93"/>
      <c r="BU1019" s="93"/>
      <c r="BV1019" s="93"/>
      <c r="BW1019" s="93"/>
      <c r="BX1019" s="93"/>
      <c r="BY1019" s="93"/>
      <c r="BZ1019" s="93"/>
      <c r="CA1019" s="93"/>
      <c r="CB1019" s="93"/>
      <c r="CC1019" s="93"/>
      <c r="CD1019" s="93"/>
      <c r="CE1019" s="93"/>
      <c r="CF1019" s="93"/>
      <c r="CG1019" s="93"/>
      <c r="CH1019" s="93"/>
      <c r="CI1019" s="93"/>
      <c r="CJ1019" s="93"/>
      <c r="CK1019" s="93"/>
      <c r="CL1019" s="93"/>
      <c r="CM1019" s="93"/>
      <c r="CN1019" s="93"/>
      <c r="CO1019" s="93"/>
      <c r="CP1019" s="93"/>
      <c r="CQ1019" s="93"/>
      <c r="CR1019" s="93"/>
      <c r="CS1019" s="93"/>
      <c r="CT1019" s="93"/>
      <c r="CU1019" s="93"/>
      <c r="CV1019" s="93"/>
      <c r="CW1019" s="93"/>
      <c r="CX1019" s="93"/>
      <c r="CY1019" s="93"/>
      <c r="CZ1019" s="93"/>
      <c r="DA1019" s="93"/>
      <c r="DB1019" s="93"/>
      <c r="DC1019" s="93"/>
      <c r="DD1019" s="93"/>
      <c r="DE1019" s="93"/>
      <c r="DF1019" s="93"/>
      <c r="DG1019" s="93"/>
      <c r="DH1019" s="93"/>
      <c r="DI1019" s="93"/>
    </row>
    <row r="1020" spans="30:113" ht="6.95" customHeight="1" x14ac:dyDescent="0.15">
      <c r="AD1020" s="93"/>
      <c r="AE1020" s="93"/>
      <c r="AF1020" s="93"/>
      <c r="AG1020" s="93"/>
      <c r="AH1020" s="93"/>
      <c r="AI1020" s="93"/>
      <c r="AJ1020" s="93"/>
      <c r="AK1020" s="93"/>
      <c r="AL1020" s="93"/>
      <c r="AM1020" s="93"/>
      <c r="AN1020" s="93"/>
      <c r="AO1020" s="93"/>
      <c r="AP1020" s="93"/>
      <c r="AQ1020" s="93"/>
      <c r="AR1020" s="93"/>
      <c r="AS1020" s="93"/>
      <c r="AT1020" s="93"/>
      <c r="AU1020" s="93"/>
      <c r="AV1020" s="93"/>
      <c r="AW1020" s="93"/>
      <c r="AX1020" s="93"/>
      <c r="AY1020" s="93"/>
      <c r="AZ1020" s="93"/>
      <c r="BA1020" s="93"/>
      <c r="BB1020" s="93"/>
      <c r="BC1020" s="93"/>
      <c r="BD1020" s="93"/>
      <c r="BE1020" s="93"/>
      <c r="BF1020" s="93"/>
      <c r="BG1020" s="93"/>
      <c r="BH1020" s="93"/>
      <c r="BI1020" s="93"/>
      <c r="BJ1020" s="93"/>
      <c r="BK1020" s="93"/>
      <c r="BL1020" s="93"/>
      <c r="BM1020" s="93"/>
      <c r="BN1020" s="93"/>
      <c r="BO1020" s="93"/>
      <c r="BP1020" s="93"/>
      <c r="BQ1020" s="93"/>
      <c r="BR1020" s="93"/>
      <c r="BS1020" s="93"/>
      <c r="BT1020" s="93"/>
      <c r="BU1020" s="93"/>
      <c r="BV1020" s="93"/>
      <c r="BW1020" s="93"/>
      <c r="BX1020" s="93"/>
      <c r="BY1020" s="93"/>
      <c r="BZ1020" s="93"/>
      <c r="CA1020" s="93"/>
      <c r="CB1020" s="93"/>
      <c r="CC1020" s="93"/>
      <c r="CD1020" s="93"/>
      <c r="CE1020" s="93"/>
      <c r="CF1020" s="93"/>
      <c r="CG1020" s="93"/>
      <c r="CH1020" s="93"/>
      <c r="CI1020" s="93"/>
      <c r="CJ1020" s="93"/>
      <c r="CK1020" s="93"/>
      <c r="CL1020" s="93"/>
      <c r="CM1020" s="93"/>
      <c r="CN1020" s="93"/>
      <c r="CO1020" s="93"/>
      <c r="CP1020" s="93"/>
      <c r="CQ1020" s="93"/>
      <c r="CR1020" s="93"/>
      <c r="CS1020" s="93"/>
      <c r="CT1020" s="93"/>
      <c r="CU1020" s="93"/>
      <c r="CV1020" s="93"/>
      <c r="CW1020" s="93"/>
      <c r="CX1020" s="93"/>
      <c r="CY1020" s="93"/>
      <c r="CZ1020" s="93"/>
      <c r="DA1020" s="93"/>
      <c r="DB1020" s="93"/>
      <c r="DC1020" s="93"/>
      <c r="DD1020" s="93"/>
      <c r="DE1020" s="93"/>
      <c r="DF1020" s="93"/>
      <c r="DG1020" s="93"/>
      <c r="DH1020" s="93"/>
      <c r="DI1020" s="93"/>
    </row>
    <row r="1021" spans="30:113" ht="6.95" customHeight="1" x14ac:dyDescent="0.15">
      <c r="AD1021" s="93"/>
      <c r="AE1021" s="93"/>
      <c r="AF1021" s="93"/>
      <c r="AG1021" s="93"/>
      <c r="AH1021" s="93"/>
      <c r="AI1021" s="93"/>
      <c r="AJ1021" s="93"/>
      <c r="AK1021" s="93"/>
      <c r="AL1021" s="93"/>
      <c r="AM1021" s="93"/>
      <c r="AN1021" s="93"/>
      <c r="AO1021" s="93"/>
      <c r="AP1021" s="93"/>
      <c r="AQ1021" s="93"/>
      <c r="AR1021" s="93"/>
      <c r="AS1021" s="93"/>
      <c r="AT1021" s="93"/>
      <c r="AU1021" s="93"/>
      <c r="AV1021" s="93"/>
      <c r="AW1021" s="93"/>
      <c r="AX1021" s="93"/>
      <c r="AY1021" s="93"/>
      <c r="AZ1021" s="93"/>
      <c r="BA1021" s="93"/>
      <c r="BB1021" s="93"/>
      <c r="BC1021" s="93"/>
      <c r="BD1021" s="93"/>
      <c r="BE1021" s="93"/>
      <c r="BF1021" s="93"/>
      <c r="BG1021" s="93"/>
      <c r="BH1021" s="93"/>
      <c r="BI1021" s="93"/>
      <c r="BJ1021" s="93"/>
      <c r="BK1021" s="93"/>
      <c r="BL1021" s="93"/>
      <c r="BM1021" s="93"/>
      <c r="BN1021" s="93"/>
      <c r="BO1021" s="93"/>
      <c r="BP1021" s="93"/>
      <c r="BQ1021" s="93"/>
      <c r="BR1021" s="93"/>
      <c r="BS1021" s="93"/>
      <c r="BT1021" s="93"/>
      <c r="BU1021" s="93"/>
      <c r="BV1021" s="93"/>
      <c r="BW1021" s="93"/>
      <c r="BX1021" s="93"/>
      <c r="BY1021" s="93"/>
      <c r="BZ1021" s="93"/>
      <c r="CA1021" s="93"/>
      <c r="CB1021" s="93"/>
      <c r="CC1021" s="93"/>
      <c r="CD1021" s="93"/>
      <c r="CE1021" s="93"/>
      <c r="CF1021" s="93"/>
      <c r="CG1021" s="93"/>
      <c r="CH1021" s="93"/>
      <c r="CI1021" s="93"/>
      <c r="CJ1021" s="93"/>
      <c r="CK1021" s="93"/>
      <c r="CL1021" s="93"/>
      <c r="CM1021" s="93"/>
      <c r="CN1021" s="93"/>
      <c r="CO1021" s="93"/>
      <c r="CP1021" s="93"/>
      <c r="CQ1021" s="93"/>
      <c r="CR1021" s="93"/>
      <c r="CS1021" s="93"/>
      <c r="CT1021" s="93"/>
      <c r="CU1021" s="93"/>
      <c r="CV1021" s="93"/>
      <c r="CW1021" s="93"/>
      <c r="CX1021" s="93"/>
      <c r="CY1021" s="93"/>
      <c r="CZ1021" s="93"/>
      <c r="DA1021" s="93"/>
      <c r="DB1021" s="93"/>
      <c r="DC1021" s="93"/>
      <c r="DD1021" s="93"/>
      <c r="DE1021" s="93"/>
      <c r="DF1021" s="93"/>
      <c r="DG1021" s="93"/>
      <c r="DH1021" s="93"/>
      <c r="DI1021" s="93"/>
    </row>
    <row r="1022" spans="30:113" ht="6.95" customHeight="1" x14ac:dyDescent="0.15">
      <c r="AD1022" s="93"/>
      <c r="AE1022" s="93"/>
      <c r="AF1022" s="93"/>
      <c r="AG1022" s="93"/>
      <c r="AH1022" s="93"/>
      <c r="AI1022" s="93"/>
      <c r="AJ1022" s="93"/>
      <c r="AK1022" s="93"/>
      <c r="AL1022" s="93"/>
      <c r="AM1022" s="93"/>
      <c r="AN1022" s="93"/>
      <c r="AO1022" s="93"/>
      <c r="AP1022" s="93"/>
      <c r="AQ1022" s="93"/>
      <c r="AR1022" s="93"/>
      <c r="AS1022" s="93"/>
      <c r="AT1022" s="93"/>
      <c r="AU1022" s="93"/>
      <c r="AV1022" s="93"/>
      <c r="AW1022" s="93"/>
      <c r="AX1022" s="93"/>
      <c r="AY1022" s="93"/>
      <c r="AZ1022" s="93"/>
      <c r="BA1022" s="93"/>
      <c r="BB1022" s="93"/>
      <c r="BC1022" s="93"/>
      <c r="BD1022" s="93"/>
      <c r="BE1022" s="93"/>
      <c r="BF1022" s="93"/>
      <c r="BG1022" s="93"/>
      <c r="BH1022" s="93"/>
      <c r="BI1022" s="93"/>
      <c r="BJ1022" s="93"/>
      <c r="BK1022" s="93"/>
      <c r="BL1022" s="93"/>
      <c r="BM1022" s="93"/>
      <c r="BN1022" s="93"/>
      <c r="BO1022" s="93"/>
      <c r="BP1022" s="93"/>
      <c r="BQ1022" s="93"/>
      <c r="BR1022" s="93"/>
      <c r="BS1022" s="93"/>
      <c r="BT1022" s="93"/>
      <c r="BU1022" s="93"/>
      <c r="BV1022" s="93"/>
      <c r="BW1022" s="93"/>
      <c r="BX1022" s="93"/>
      <c r="BY1022" s="93"/>
      <c r="BZ1022" s="93"/>
      <c r="CA1022" s="93"/>
      <c r="CB1022" s="93"/>
      <c r="CC1022" s="93"/>
      <c r="CD1022" s="93"/>
      <c r="CE1022" s="93"/>
      <c r="CF1022" s="93"/>
      <c r="CG1022" s="93"/>
      <c r="CH1022" s="93"/>
      <c r="CI1022" s="93"/>
      <c r="CJ1022" s="93"/>
      <c r="CK1022" s="93"/>
      <c r="CL1022" s="93"/>
      <c r="CM1022" s="93"/>
      <c r="CN1022" s="93"/>
      <c r="CO1022" s="93"/>
      <c r="CP1022" s="93"/>
      <c r="CQ1022" s="93"/>
      <c r="CR1022" s="93"/>
      <c r="CS1022" s="93"/>
      <c r="CT1022" s="93"/>
      <c r="CU1022" s="93"/>
      <c r="CV1022" s="93"/>
      <c r="CW1022" s="93"/>
      <c r="CX1022" s="93"/>
      <c r="CY1022" s="93"/>
      <c r="CZ1022" s="93"/>
      <c r="DA1022" s="93"/>
      <c r="DB1022" s="93"/>
      <c r="DC1022" s="93"/>
      <c r="DD1022" s="93"/>
      <c r="DE1022" s="93"/>
      <c r="DF1022" s="93"/>
      <c r="DG1022" s="93"/>
      <c r="DH1022" s="93"/>
      <c r="DI1022" s="93"/>
    </row>
    <row r="1023" spans="30:113" ht="6.95" customHeight="1" x14ac:dyDescent="0.15">
      <c r="AD1023" s="93"/>
      <c r="AE1023" s="93"/>
      <c r="AF1023" s="93"/>
      <c r="AG1023" s="93"/>
      <c r="AH1023" s="93"/>
      <c r="AI1023" s="93"/>
      <c r="AJ1023" s="93"/>
      <c r="AK1023" s="93"/>
      <c r="AL1023" s="93"/>
      <c r="AM1023" s="93"/>
      <c r="AN1023" s="93"/>
      <c r="AO1023" s="93"/>
      <c r="AP1023" s="93"/>
      <c r="AQ1023" s="93"/>
      <c r="AR1023" s="93"/>
      <c r="AS1023" s="93"/>
      <c r="AT1023" s="93"/>
      <c r="AU1023" s="93"/>
      <c r="AV1023" s="93"/>
      <c r="AW1023" s="93"/>
      <c r="AX1023" s="93"/>
      <c r="AY1023" s="93"/>
      <c r="AZ1023" s="93"/>
      <c r="BA1023" s="93"/>
      <c r="BB1023" s="93"/>
      <c r="BC1023" s="93"/>
      <c r="BD1023" s="93"/>
      <c r="BE1023" s="93"/>
      <c r="BF1023" s="93"/>
      <c r="BG1023" s="93"/>
      <c r="BH1023" s="93"/>
      <c r="BI1023" s="93"/>
      <c r="BJ1023" s="93"/>
      <c r="BK1023" s="93"/>
      <c r="BL1023" s="93"/>
      <c r="BM1023" s="93"/>
      <c r="BN1023" s="93"/>
      <c r="BO1023" s="93"/>
      <c r="BP1023" s="93"/>
      <c r="BQ1023" s="93"/>
      <c r="BR1023" s="93"/>
      <c r="BS1023" s="93"/>
      <c r="BT1023" s="93"/>
      <c r="BU1023" s="93"/>
      <c r="BV1023" s="93"/>
      <c r="BW1023" s="93"/>
      <c r="BX1023" s="93"/>
      <c r="BY1023" s="93"/>
      <c r="BZ1023" s="93"/>
      <c r="CA1023" s="93"/>
      <c r="CB1023" s="93"/>
      <c r="CC1023" s="93"/>
      <c r="CD1023" s="93"/>
      <c r="CE1023" s="93"/>
      <c r="CF1023" s="93"/>
      <c r="CG1023" s="93"/>
      <c r="CH1023" s="93"/>
      <c r="CI1023" s="93"/>
      <c r="CJ1023" s="93"/>
      <c r="CK1023" s="93"/>
      <c r="CL1023" s="93"/>
      <c r="CM1023" s="93"/>
      <c r="CN1023" s="93"/>
      <c r="CO1023" s="93"/>
      <c r="CP1023" s="93"/>
      <c r="CQ1023" s="93"/>
      <c r="CR1023" s="93"/>
      <c r="CS1023" s="93"/>
      <c r="CT1023" s="93"/>
      <c r="CU1023" s="93"/>
      <c r="CV1023" s="93"/>
      <c r="CW1023" s="93"/>
      <c r="CX1023" s="93"/>
      <c r="CY1023" s="93"/>
      <c r="CZ1023" s="93"/>
      <c r="DA1023" s="93"/>
      <c r="DB1023" s="93"/>
      <c r="DC1023" s="93"/>
      <c r="DD1023" s="93"/>
      <c r="DE1023" s="93"/>
      <c r="DF1023" s="93"/>
      <c r="DG1023" s="93"/>
      <c r="DH1023" s="93"/>
      <c r="DI1023" s="93"/>
    </row>
    <row r="1024" spans="30:113" ht="6.95" customHeight="1" x14ac:dyDescent="0.15">
      <c r="AD1024" s="93"/>
      <c r="AE1024" s="93"/>
      <c r="AF1024" s="93"/>
      <c r="AG1024" s="93"/>
      <c r="AH1024" s="93"/>
      <c r="AI1024" s="93"/>
      <c r="AJ1024" s="93"/>
      <c r="AK1024" s="93"/>
      <c r="AL1024" s="93"/>
      <c r="AM1024" s="93"/>
      <c r="AN1024" s="93"/>
      <c r="AO1024" s="93"/>
      <c r="AP1024" s="93"/>
      <c r="AQ1024" s="93"/>
      <c r="AR1024" s="93"/>
      <c r="AS1024" s="93"/>
      <c r="AT1024" s="93"/>
      <c r="AU1024" s="93"/>
      <c r="AV1024" s="93"/>
      <c r="AW1024" s="93"/>
      <c r="AX1024" s="93"/>
      <c r="AY1024" s="93"/>
      <c r="AZ1024" s="93"/>
      <c r="BA1024" s="93"/>
      <c r="BB1024" s="93"/>
      <c r="BC1024" s="93"/>
      <c r="BD1024" s="93"/>
      <c r="BE1024" s="93"/>
      <c r="BF1024" s="93"/>
      <c r="BG1024" s="93"/>
      <c r="BH1024" s="93"/>
      <c r="BI1024" s="93"/>
      <c r="BJ1024" s="93"/>
      <c r="BK1024" s="93"/>
      <c r="BL1024" s="93"/>
      <c r="BM1024" s="93"/>
      <c r="BN1024" s="93"/>
      <c r="BO1024" s="93"/>
      <c r="BP1024" s="93"/>
      <c r="BQ1024" s="93"/>
      <c r="BR1024" s="93"/>
      <c r="BS1024" s="93"/>
      <c r="BT1024" s="93"/>
      <c r="BU1024" s="93"/>
      <c r="BV1024" s="93"/>
      <c r="BW1024" s="93"/>
      <c r="BX1024" s="93"/>
      <c r="BY1024" s="93"/>
      <c r="BZ1024" s="93"/>
      <c r="CA1024" s="93"/>
      <c r="CB1024" s="93"/>
      <c r="CC1024" s="93"/>
      <c r="CD1024" s="93"/>
      <c r="CE1024" s="93"/>
      <c r="CF1024" s="93"/>
      <c r="CG1024" s="93"/>
      <c r="CH1024" s="93"/>
      <c r="CI1024" s="93"/>
      <c r="CJ1024" s="93"/>
      <c r="CK1024" s="93"/>
      <c r="CL1024" s="93"/>
      <c r="CM1024" s="93"/>
      <c r="CN1024" s="93"/>
      <c r="CO1024" s="93"/>
      <c r="CP1024" s="93"/>
      <c r="CQ1024" s="93"/>
      <c r="CR1024" s="93"/>
      <c r="CS1024" s="93"/>
      <c r="CT1024" s="93"/>
      <c r="CU1024" s="93"/>
      <c r="CV1024" s="93"/>
      <c r="CW1024" s="93"/>
      <c r="CX1024" s="93"/>
      <c r="CY1024" s="93"/>
      <c r="CZ1024" s="93"/>
      <c r="DA1024" s="93"/>
      <c r="DB1024" s="93"/>
      <c r="DC1024" s="93"/>
      <c r="DD1024" s="93"/>
      <c r="DE1024" s="93"/>
      <c r="DF1024" s="93"/>
      <c r="DG1024" s="93"/>
      <c r="DH1024" s="93"/>
      <c r="DI1024" s="93"/>
    </row>
    <row r="1025" spans="30:113" ht="6.95" customHeight="1" x14ac:dyDescent="0.15">
      <c r="AD1025" s="93"/>
      <c r="AE1025" s="93"/>
      <c r="AF1025" s="93"/>
      <c r="AG1025" s="93"/>
      <c r="AH1025" s="93"/>
      <c r="AI1025" s="93"/>
      <c r="AJ1025" s="93"/>
      <c r="AK1025" s="93"/>
      <c r="AL1025" s="93"/>
      <c r="AM1025" s="93"/>
      <c r="AN1025" s="93"/>
      <c r="AO1025" s="93"/>
      <c r="AP1025" s="93"/>
      <c r="AQ1025" s="93"/>
      <c r="AR1025" s="93"/>
      <c r="AS1025" s="93"/>
      <c r="AT1025" s="93"/>
      <c r="AU1025" s="93"/>
      <c r="AV1025" s="93"/>
      <c r="AW1025" s="93"/>
      <c r="AX1025" s="93"/>
      <c r="AY1025" s="93"/>
      <c r="AZ1025" s="93"/>
      <c r="BA1025" s="93"/>
      <c r="BB1025" s="93"/>
      <c r="BC1025" s="93"/>
      <c r="BD1025" s="93"/>
      <c r="BE1025" s="93"/>
      <c r="BF1025" s="93"/>
      <c r="BG1025" s="93"/>
      <c r="BH1025" s="93"/>
      <c r="BI1025" s="93"/>
      <c r="BJ1025" s="93"/>
      <c r="BK1025" s="93"/>
      <c r="BL1025" s="93"/>
      <c r="BM1025" s="93"/>
      <c r="BN1025" s="93"/>
      <c r="BO1025" s="93"/>
      <c r="BP1025" s="93"/>
      <c r="BQ1025" s="93"/>
      <c r="BR1025" s="93"/>
      <c r="BS1025" s="93"/>
      <c r="BT1025" s="93"/>
      <c r="BU1025" s="93"/>
      <c r="BV1025" s="93"/>
      <c r="BW1025" s="93"/>
      <c r="BX1025" s="93"/>
      <c r="BY1025" s="93"/>
      <c r="BZ1025" s="93"/>
      <c r="CA1025" s="93"/>
      <c r="CB1025" s="93"/>
      <c r="CC1025" s="93"/>
      <c r="CD1025" s="93"/>
      <c r="CE1025" s="93"/>
      <c r="CF1025" s="93"/>
      <c r="CG1025" s="93"/>
      <c r="CH1025" s="93"/>
      <c r="CI1025" s="93"/>
      <c r="CJ1025" s="93"/>
      <c r="CK1025" s="93"/>
      <c r="CL1025" s="93"/>
      <c r="CM1025" s="93"/>
      <c r="CN1025" s="93"/>
      <c r="CO1025" s="93"/>
      <c r="CP1025" s="93"/>
      <c r="CQ1025" s="93"/>
      <c r="CR1025" s="93"/>
      <c r="CS1025" s="93"/>
      <c r="CT1025" s="93"/>
      <c r="CU1025" s="93"/>
      <c r="CV1025" s="93"/>
      <c r="CW1025" s="93"/>
      <c r="CX1025" s="93"/>
      <c r="CY1025" s="93"/>
      <c r="CZ1025" s="93"/>
      <c r="DA1025" s="93"/>
      <c r="DB1025" s="93"/>
      <c r="DC1025" s="93"/>
      <c r="DD1025" s="93"/>
      <c r="DE1025" s="93"/>
      <c r="DF1025" s="93"/>
      <c r="DG1025" s="93"/>
      <c r="DH1025" s="93"/>
      <c r="DI1025" s="93"/>
    </row>
    <row r="1026" spans="30:113" ht="6.95" customHeight="1" x14ac:dyDescent="0.15">
      <c r="AD1026" s="93"/>
      <c r="AE1026" s="93"/>
      <c r="AF1026" s="93"/>
      <c r="AG1026" s="93"/>
      <c r="AH1026" s="93"/>
      <c r="AI1026" s="93"/>
      <c r="AJ1026" s="93"/>
      <c r="AK1026" s="93"/>
      <c r="AL1026" s="93"/>
      <c r="AM1026" s="93"/>
      <c r="AN1026" s="93"/>
      <c r="AO1026" s="93"/>
      <c r="AP1026" s="93"/>
      <c r="AQ1026" s="93"/>
      <c r="AR1026" s="93"/>
      <c r="AS1026" s="93"/>
      <c r="AT1026" s="93"/>
      <c r="AU1026" s="93"/>
      <c r="AV1026" s="93"/>
      <c r="AW1026" s="93"/>
      <c r="AX1026" s="93"/>
      <c r="AY1026" s="93"/>
      <c r="AZ1026" s="93"/>
      <c r="BA1026" s="93"/>
      <c r="BB1026" s="93"/>
      <c r="BC1026" s="93"/>
      <c r="BD1026" s="93"/>
      <c r="BE1026" s="93"/>
      <c r="BF1026" s="93"/>
      <c r="BG1026" s="93"/>
      <c r="BH1026" s="93"/>
      <c r="BI1026" s="93"/>
      <c r="BJ1026" s="93"/>
      <c r="BK1026" s="93"/>
      <c r="BL1026" s="93"/>
      <c r="BM1026" s="93"/>
      <c r="BN1026" s="93"/>
      <c r="BO1026" s="93"/>
      <c r="BP1026" s="93"/>
      <c r="BQ1026" s="93"/>
      <c r="BR1026" s="93"/>
      <c r="BS1026" s="93"/>
      <c r="BT1026" s="93"/>
      <c r="BU1026" s="93"/>
      <c r="BV1026" s="93"/>
      <c r="BW1026" s="93"/>
      <c r="BX1026" s="93"/>
      <c r="BY1026" s="93"/>
      <c r="BZ1026" s="93"/>
      <c r="CA1026" s="93"/>
      <c r="CB1026" s="93"/>
      <c r="CC1026" s="93"/>
      <c r="CD1026" s="93"/>
      <c r="CE1026" s="93"/>
      <c r="CF1026" s="93"/>
      <c r="CG1026" s="93"/>
      <c r="CH1026" s="93"/>
      <c r="CI1026" s="93"/>
      <c r="CJ1026" s="93"/>
      <c r="CK1026" s="93"/>
      <c r="CL1026" s="93"/>
      <c r="CM1026" s="93"/>
      <c r="CN1026" s="93"/>
      <c r="CO1026" s="93"/>
      <c r="CP1026" s="93"/>
      <c r="CQ1026" s="93"/>
      <c r="CR1026" s="93"/>
      <c r="CS1026" s="93"/>
      <c r="CT1026" s="93"/>
      <c r="CU1026" s="93"/>
      <c r="CV1026" s="93"/>
      <c r="CW1026" s="93"/>
      <c r="CX1026" s="93"/>
      <c r="CY1026" s="93"/>
      <c r="CZ1026" s="93"/>
      <c r="DA1026" s="93"/>
      <c r="DB1026" s="93"/>
      <c r="DC1026" s="93"/>
      <c r="DD1026" s="93"/>
      <c r="DE1026" s="93"/>
      <c r="DF1026" s="93"/>
      <c r="DG1026" s="93"/>
      <c r="DH1026" s="93"/>
      <c r="DI1026" s="93"/>
    </row>
    <row r="1027" spans="30:113" ht="6.95" customHeight="1" x14ac:dyDescent="0.15">
      <c r="AD1027" s="93"/>
      <c r="AE1027" s="93"/>
      <c r="AF1027" s="93"/>
      <c r="AG1027" s="93"/>
      <c r="AH1027" s="93"/>
      <c r="AI1027" s="93"/>
      <c r="AJ1027" s="93"/>
      <c r="AK1027" s="93"/>
      <c r="AL1027" s="93"/>
      <c r="AM1027" s="93"/>
      <c r="AN1027" s="93"/>
      <c r="AO1027" s="93"/>
      <c r="AP1027" s="93"/>
      <c r="AQ1027" s="93"/>
      <c r="AR1027" s="93"/>
      <c r="AS1027" s="93"/>
      <c r="AT1027" s="93"/>
      <c r="AU1027" s="93"/>
      <c r="AV1027" s="93"/>
      <c r="AW1027" s="93"/>
      <c r="AX1027" s="93"/>
      <c r="AY1027" s="93"/>
      <c r="AZ1027" s="93"/>
      <c r="BA1027" s="93"/>
      <c r="BB1027" s="93"/>
      <c r="BC1027" s="93"/>
      <c r="BD1027" s="93"/>
      <c r="BE1027" s="93"/>
      <c r="BF1027" s="93"/>
      <c r="BG1027" s="93"/>
      <c r="BH1027" s="93"/>
      <c r="BI1027" s="93"/>
      <c r="BJ1027" s="93"/>
      <c r="BK1027" s="93"/>
      <c r="BL1027" s="93"/>
      <c r="BM1027" s="93"/>
      <c r="BN1027" s="93"/>
      <c r="BO1027" s="93"/>
      <c r="BP1027" s="93"/>
      <c r="BQ1027" s="93"/>
      <c r="BR1027" s="93"/>
      <c r="BS1027" s="93"/>
      <c r="BT1027" s="93"/>
      <c r="BU1027" s="93"/>
      <c r="BV1027" s="93"/>
      <c r="BW1027" s="93"/>
      <c r="BX1027" s="93"/>
      <c r="BY1027" s="93"/>
      <c r="BZ1027" s="93"/>
      <c r="CA1027" s="93"/>
      <c r="CB1027" s="93"/>
      <c r="CC1027" s="93"/>
      <c r="CD1027" s="93"/>
      <c r="CE1027" s="93"/>
      <c r="CF1027" s="93"/>
      <c r="CG1027" s="93"/>
      <c r="CH1027" s="93"/>
      <c r="CI1027" s="93"/>
      <c r="CJ1027" s="93"/>
      <c r="CK1027" s="93"/>
      <c r="CL1027" s="93"/>
      <c r="CM1027" s="93"/>
      <c r="CN1027" s="93"/>
      <c r="CO1027" s="93"/>
      <c r="CP1027" s="93"/>
      <c r="CQ1027" s="93"/>
      <c r="CR1027" s="93"/>
      <c r="CS1027" s="93"/>
      <c r="CT1027" s="93"/>
      <c r="CU1027" s="93"/>
      <c r="CV1027" s="93"/>
      <c r="CW1027" s="93"/>
      <c r="CX1027" s="93"/>
      <c r="CY1027" s="93"/>
      <c r="CZ1027" s="93"/>
      <c r="DA1027" s="93"/>
      <c r="DB1027" s="93"/>
      <c r="DC1027" s="93"/>
      <c r="DD1027" s="93"/>
      <c r="DE1027" s="93"/>
      <c r="DF1027" s="93"/>
      <c r="DG1027" s="93"/>
      <c r="DH1027" s="93"/>
      <c r="DI1027" s="93"/>
    </row>
    <row r="1028" spans="30:113" ht="6.95" customHeight="1" x14ac:dyDescent="0.15">
      <c r="AD1028" s="93"/>
      <c r="AE1028" s="93"/>
      <c r="AF1028" s="93"/>
      <c r="AG1028" s="93"/>
      <c r="AH1028" s="93"/>
      <c r="AI1028" s="93"/>
      <c r="AJ1028" s="93"/>
      <c r="AK1028" s="93"/>
      <c r="AL1028" s="93"/>
      <c r="AM1028" s="93"/>
      <c r="AN1028" s="93"/>
      <c r="AO1028" s="93"/>
      <c r="AP1028" s="93"/>
      <c r="AQ1028" s="93"/>
      <c r="AR1028" s="93"/>
      <c r="AS1028" s="93"/>
      <c r="AT1028" s="93"/>
      <c r="AU1028" s="93"/>
      <c r="AV1028" s="93"/>
      <c r="AW1028" s="93"/>
      <c r="AX1028" s="93"/>
      <c r="AY1028" s="93"/>
      <c r="AZ1028" s="93"/>
      <c r="BA1028" s="93"/>
      <c r="BB1028" s="93"/>
      <c r="BC1028" s="93"/>
      <c r="BD1028" s="93"/>
      <c r="BE1028" s="93"/>
      <c r="BF1028" s="93"/>
      <c r="BG1028" s="93"/>
      <c r="BH1028" s="93"/>
      <c r="BI1028" s="93"/>
      <c r="BJ1028" s="93"/>
      <c r="BK1028" s="93"/>
      <c r="BL1028" s="93"/>
      <c r="BM1028" s="93"/>
      <c r="BN1028" s="93"/>
      <c r="BO1028" s="93"/>
      <c r="BP1028" s="93"/>
      <c r="BQ1028" s="93"/>
      <c r="BR1028" s="93"/>
      <c r="BS1028" s="93"/>
      <c r="BT1028" s="93"/>
      <c r="BU1028" s="93"/>
      <c r="BV1028" s="93"/>
      <c r="BW1028" s="93"/>
      <c r="BX1028" s="93"/>
      <c r="BY1028" s="93"/>
      <c r="BZ1028" s="93"/>
      <c r="CA1028" s="93"/>
      <c r="CB1028" s="93"/>
      <c r="CC1028" s="93"/>
      <c r="CD1028" s="93"/>
      <c r="CE1028" s="93"/>
      <c r="CF1028" s="93"/>
      <c r="CG1028" s="93"/>
      <c r="CH1028" s="93"/>
      <c r="CI1028" s="93"/>
      <c r="CJ1028" s="93"/>
      <c r="CK1028" s="93"/>
      <c r="CL1028" s="93"/>
      <c r="CM1028" s="93"/>
      <c r="CN1028" s="93"/>
      <c r="CO1028" s="93"/>
      <c r="CP1028" s="93"/>
      <c r="CQ1028" s="93"/>
      <c r="CR1028" s="93"/>
      <c r="CS1028" s="93"/>
      <c r="CT1028" s="93"/>
      <c r="CU1028" s="93"/>
      <c r="CV1028" s="93"/>
      <c r="CW1028" s="93"/>
      <c r="CX1028" s="93"/>
      <c r="CY1028" s="93"/>
      <c r="CZ1028" s="93"/>
      <c r="DA1028" s="93"/>
      <c r="DB1028" s="93"/>
      <c r="DC1028" s="93"/>
      <c r="DD1028" s="93"/>
      <c r="DE1028" s="93"/>
      <c r="DF1028" s="93"/>
      <c r="DG1028" s="93"/>
      <c r="DH1028" s="93"/>
      <c r="DI1028" s="93"/>
    </row>
    <row r="1029" spans="30:113" ht="6.95" customHeight="1" x14ac:dyDescent="0.15">
      <c r="AD1029" s="93"/>
      <c r="AE1029" s="93"/>
      <c r="AF1029" s="93"/>
      <c r="AG1029" s="93"/>
      <c r="AH1029" s="93"/>
      <c r="AI1029" s="93"/>
      <c r="AJ1029" s="93"/>
      <c r="AK1029" s="93"/>
      <c r="AL1029" s="93"/>
      <c r="AM1029" s="93"/>
      <c r="AN1029" s="93"/>
      <c r="AO1029" s="93"/>
      <c r="AP1029" s="93"/>
      <c r="AQ1029" s="93"/>
      <c r="AR1029" s="93"/>
      <c r="AS1029" s="93"/>
      <c r="AT1029" s="93"/>
      <c r="AU1029" s="93"/>
      <c r="AV1029" s="93"/>
      <c r="AW1029" s="93"/>
      <c r="AX1029" s="93"/>
      <c r="AY1029" s="93"/>
      <c r="AZ1029" s="93"/>
      <c r="BA1029" s="93"/>
      <c r="BB1029" s="93"/>
      <c r="BC1029" s="93"/>
      <c r="BD1029" s="93"/>
      <c r="BE1029" s="93"/>
      <c r="BF1029" s="93"/>
      <c r="BG1029" s="93"/>
      <c r="BH1029" s="93"/>
      <c r="BI1029" s="93"/>
      <c r="BJ1029" s="93"/>
      <c r="BK1029" s="93"/>
      <c r="BL1029" s="93"/>
      <c r="BM1029" s="93"/>
      <c r="BN1029" s="93"/>
      <c r="BO1029" s="93"/>
      <c r="BP1029" s="93"/>
      <c r="BQ1029" s="93"/>
      <c r="BR1029" s="93"/>
      <c r="BS1029" s="93"/>
      <c r="BT1029" s="93"/>
      <c r="BU1029" s="93"/>
      <c r="BV1029" s="93"/>
      <c r="BW1029" s="93"/>
      <c r="BX1029" s="93"/>
      <c r="BY1029" s="93"/>
      <c r="BZ1029" s="93"/>
      <c r="CA1029" s="93"/>
      <c r="CB1029" s="93"/>
      <c r="CC1029" s="93"/>
      <c r="CD1029" s="93"/>
      <c r="CE1029" s="93"/>
      <c r="CF1029" s="93"/>
      <c r="CG1029" s="93"/>
      <c r="CH1029" s="93"/>
      <c r="CI1029" s="93"/>
      <c r="CJ1029" s="93"/>
      <c r="CK1029" s="93"/>
      <c r="CL1029" s="93"/>
      <c r="CM1029" s="93"/>
      <c r="CN1029" s="93"/>
      <c r="CO1029" s="93"/>
      <c r="CP1029" s="93"/>
      <c r="CQ1029" s="93"/>
      <c r="CR1029" s="93"/>
      <c r="CS1029" s="93"/>
      <c r="CT1029" s="93"/>
      <c r="CU1029" s="93"/>
      <c r="CV1029" s="93"/>
      <c r="CW1029" s="93"/>
      <c r="CX1029" s="93"/>
      <c r="CY1029" s="93"/>
      <c r="CZ1029" s="93"/>
      <c r="DA1029" s="93"/>
      <c r="DB1029" s="93"/>
      <c r="DC1029" s="93"/>
      <c r="DD1029" s="93"/>
      <c r="DE1029" s="93"/>
      <c r="DF1029" s="93"/>
      <c r="DG1029" s="93"/>
      <c r="DH1029" s="93"/>
      <c r="DI1029" s="93"/>
    </row>
    <row r="1030" spans="30:113" ht="6.95" customHeight="1" x14ac:dyDescent="0.15">
      <c r="AD1030" s="93"/>
      <c r="AE1030" s="93"/>
      <c r="AF1030" s="93"/>
      <c r="AG1030" s="93"/>
      <c r="AH1030" s="93"/>
      <c r="AI1030" s="93"/>
      <c r="AJ1030" s="93"/>
      <c r="AK1030" s="93"/>
      <c r="AL1030" s="93"/>
      <c r="AM1030" s="93"/>
      <c r="AN1030" s="93"/>
      <c r="AO1030" s="93"/>
      <c r="AP1030" s="93"/>
      <c r="AQ1030" s="93"/>
      <c r="AR1030" s="93"/>
      <c r="AS1030" s="93"/>
      <c r="AT1030" s="93"/>
      <c r="AU1030" s="93"/>
      <c r="AV1030" s="93"/>
      <c r="AW1030" s="93"/>
      <c r="AX1030" s="93"/>
      <c r="AY1030" s="93"/>
      <c r="AZ1030" s="93"/>
      <c r="BA1030" s="93"/>
      <c r="BB1030" s="93"/>
      <c r="BC1030" s="93"/>
      <c r="BD1030" s="93"/>
      <c r="BE1030" s="93"/>
      <c r="BF1030" s="93"/>
      <c r="BG1030" s="93"/>
      <c r="BH1030" s="93"/>
      <c r="BI1030" s="93"/>
      <c r="BJ1030" s="93"/>
      <c r="BK1030" s="93"/>
      <c r="BL1030" s="93"/>
      <c r="BM1030" s="93"/>
      <c r="BN1030" s="93"/>
      <c r="BO1030" s="93"/>
      <c r="BP1030" s="93"/>
      <c r="BQ1030" s="93"/>
      <c r="BR1030" s="93"/>
      <c r="BS1030" s="93"/>
      <c r="BT1030" s="93"/>
      <c r="BU1030" s="93"/>
      <c r="BV1030" s="93"/>
      <c r="BW1030" s="93"/>
      <c r="BX1030" s="93"/>
      <c r="BY1030" s="93"/>
      <c r="BZ1030" s="93"/>
      <c r="CA1030" s="93"/>
      <c r="CB1030" s="93"/>
      <c r="CC1030" s="93"/>
      <c r="CD1030" s="93"/>
      <c r="CE1030" s="93"/>
      <c r="CF1030" s="93"/>
      <c r="CG1030" s="93"/>
      <c r="CH1030" s="93"/>
      <c r="CI1030" s="93"/>
      <c r="CJ1030" s="93"/>
      <c r="CK1030" s="93"/>
      <c r="CL1030" s="93"/>
      <c r="CM1030" s="93"/>
      <c r="CN1030" s="93"/>
      <c r="CO1030" s="93"/>
      <c r="CP1030" s="93"/>
      <c r="CQ1030" s="93"/>
      <c r="CR1030" s="93"/>
      <c r="CS1030" s="93"/>
      <c r="CT1030" s="93"/>
      <c r="CU1030" s="93"/>
      <c r="CV1030" s="93"/>
      <c r="CW1030" s="93"/>
      <c r="CX1030" s="93"/>
      <c r="CY1030" s="93"/>
      <c r="CZ1030" s="93"/>
      <c r="DA1030" s="93"/>
      <c r="DB1030" s="93"/>
      <c r="DC1030" s="93"/>
      <c r="DD1030" s="93"/>
      <c r="DE1030" s="93"/>
      <c r="DF1030" s="93"/>
      <c r="DG1030" s="93"/>
      <c r="DH1030" s="93"/>
      <c r="DI1030" s="93"/>
    </row>
    <row r="1031" spans="30:113" ht="6.95" customHeight="1" x14ac:dyDescent="0.15">
      <c r="AD1031" s="93"/>
      <c r="AE1031" s="93"/>
      <c r="AF1031" s="93"/>
      <c r="AG1031" s="93"/>
      <c r="AH1031" s="93"/>
      <c r="AI1031" s="93"/>
      <c r="AJ1031" s="93"/>
      <c r="AK1031" s="93"/>
      <c r="AL1031" s="93"/>
      <c r="AM1031" s="93"/>
      <c r="AN1031" s="93"/>
      <c r="AO1031" s="93"/>
      <c r="AP1031" s="93"/>
      <c r="AQ1031" s="93"/>
      <c r="AR1031" s="93"/>
      <c r="AS1031" s="93"/>
      <c r="AT1031" s="93"/>
      <c r="AU1031" s="93"/>
      <c r="AV1031" s="93"/>
      <c r="AW1031" s="93"/>
      <c r="AX1031" s="93"/>
      <c r="AY1031" s="93"/>
      <c r="AZ1031" s="93"/>
      <c r="BA1031" s="93"/>
      <c r="BB1031" s="93"/>
      <c r="BC1031" s="93"/>
      <c r="BD1031" s="93"/>
      <c r="BE1031" s="93"/>
      <c r="BF1031" s="93"/>
      <c r="BG1031" s="93"/>
      <c r="BH1031" s="93"/>
      <c r="BI1031" s="93"/>
      <c r="BJ1031" s="93"/>
      <c r="BK1031" s="93"/>
      <c r="BL1031" s="93"/>
      <c r="BM1031" s="93"/>
      <c r="BN1031" s="93"/>
      <c r="BO1031" s="93"/>
      <c r="BP1031" s="93"/>
      <c r="BQ1031" s="93"/>
      <c r="BR1031" s="93"/>
      <c r="BS1031" s="93"/>
      <c r="BT1031" s="93"/>
      <c r="BU1031" s="93"/>
      <c r="BV1031" s="93"/>
      <c r="BW1031" s="93"/>
      <c r="BX1031" s="93"/>
      <c r="BY1031" s="93"/>
      <c r="BZ1031" s="93"/>
      <c r="CA1031" s="93"/>
      <c r="CB1031" s="93"/>
      <c r="CC1031" s="93"/>
      <c r="CD1031" s="93"/>
      <c r="CE1031" s="93"/>
      <c r="CF1031" s="93"/>
      <c r="CG1031" s="93"/>
      <c r="CH1031" s="93"/>
      <c r="CI1031" s="93"/>
      <c r="CJ1031" s="93"/>
      <c r="CK1031" s="93"/>
      <c r="CL1031" s="93"/>
      <c r="CM1031" s="93"/>
      <c r="CN1031" s="93"/>
      <c r="CO1031" s="93"/>
      <c r="CP1031" s="93"/>
      <c r="CQ1031" s="93"/>
      <c r="CR1031" s="93"/>
      <c r="CS1031" s="93"/>
      <c r="CT1031" s="93"/>
      <c r="CU1031" s="93"/>
      <c r="CV1031" s="93"/>
      <c r="CW1031" s="93"/>
      <c r="CX1031" s="93"/>
      <c r="CY1031" s="93"/>
      <c r="CZ1031" s="93"/>
      <c r="DA1031" s="93"/>
      <c r="DB1031" s="93"/>
      <c r="DC1031" s="93"/>
      <c r="DD1031" s="93"/>
      <c r="DE1031" s="93"/>
      <c r="DF1031" s="93"/>
      <c r="DG1031" s="93"/>
      <c r="DH1031" s="93"/>
      <c r="DI1031" s="93"/>
    </row>
    <row r="1032" spans="30:113" ht="6.95" customHeight="1" x14ac:dyDescent="0.15">
      <c r="AD1032" s="93"/>
      <c r="AE1032" s="93"/>
      <c r="AF1032" s="93"/>
      <c r="AG1032" s="93"/>
      <c r="AH1032" s="93"/>
      <c r="AI1032" s="93"/>
      <c r="AJ1032" s="93"/>
      <c r="AK1032" s="93"/>
      <c r="AL1032" s="93"/>
      <c r="AM1032" s="93"/>
      <c r="AN1032" s="93"/>
      <c r="AO1032" s="93"/>
      <c r="AP1032" s="93"/>
      <c r="AQ1032" s="93"/>
      <c r="AR1032" s="93"/>
      <c r="AS1032" s="93"/>
      <c r="AT1032" s="93"/>
      <c r="AU1032" s="93"/>
      <c r="AV1032" s="93"/>
      <c r="AW1032" s="93"/>
      <c r="AX1032" s="93"/>
      <c r="AY1032" s="93"/>
      <c r="AZ1032" s="93"/>
      <c r="BA1032" s="93"/>
      <c r="BB1032" s="93"/>
      <c r="BC1032" s="93"/>
      <c r="BD1032" s="93"/>
      <c r="BE1032" s="93"/>
      <c r="BF1032" s="93"/>
      <c r="BG1032" s="93"/>
      <c r="BH1032" s="93"/>
      <c r="BI1032" s="93"/>
      <c r="BJ1032" s="93"/>
      <c r="BK1032" s="93"/>
      <c r="BL1032" s="93"/>
      <c r="BM1032" s="93"/>
      <c r="BN1032" s="93"/>
      <c r="BO1032" s="93"/>
      <c r="BP1032" s="93"/>
      <c r="BQ1032" s="93"/>
      <c r="BR1032" s="93"/>
      <c r="BS1032" s="93"/>
      <c r="BT1032" s="93"/>
      <c r="BU1032" s="93"/>
      <c r="BV1032" s="93"/>
      <c r="BW1032" s="93"/>
      <c r="BX1032" s="93"/>
      <c r="BY1032" s="93"/>
      <c r="BZ1032" s="93"/>
      <c r="CA1032" s="93"/>
      <c r="CB1032" s="93"/>
      <c r="CC1032" s="93"/>
      <c r="CD1032" s="93"/>
      <c r="CE1032" s="93"/>
      <c r="CF1032" s="93"/>
      <c r="CG1032" s="93"/>
      <c r="CH1032" s="93"/>
      <c r="CI1032" s="93"/>
      <c r="CJ1032" s="93"/>
      <c r="CK1032" s="93"/>
      <c r="CL1032" s="93"/>
      <c r="CM1032" s="93"/>
      <c r="CN1032" s="93"/>
      <c r="CO1032" s="93"/>
      <c r="CP1032" s="93"/>
      <c r="CQ1032" s="93"/>
      <c r="CR1032" s="93"/>
      <c r="CS1032" s="93"/>
      <c r="CT1032" s="93"/>
      <c r="CU1032" s="93"/>
      <c r="CV1032" s="93"/>
      <c r="CW1032" s="93"/>
      <c r="CX1032" s="93"/>
      <c r="CY1032" s="93"/>
      <c r="CZ1032" s="93"/>
      <c r="DA1032" s="93"/>
      <c r="DB1032" s="93"/>
      <c r="DC1032" s="93"/>
      <c r="DD1032" s="93"/>
      <c r="DE1032" s="93"/>
      <c r="DF1032" s="93"/>
      <c r="DG1032" s="93"/>
      <c r="DH1032" s="93"/>
      <c r="DI1032" s="93"/>
    </row>
    <row r="1033" spans="30:113" ht="6.95" customHeight="1" x14ac:dyDescent="0.15">
      <c r="AD1033" s="93"/>
      <c r="AE1033" s="93"/>
      <c r="AF1033" s="93"/>
      <c r="AG1033" s="93"/>
      <c r="AH1033" s="93"/>
      <c r="AI1033" s="93"/>
      <c r="AJ1033" s="93"/>
      <c r="AK1033" s="93"/>
      <c r="AL1033" s="93"/>
      <c r="AM1033" s="93"/>
      <c r="AN1033" s="93"/>
      <c r="AO1033" s="93"/>
      <c r="AP1033" s="93"/>
      <c r="AQ1033" s="93"/>
      <c r="AR1033" s="93"/>
      <c r="AS1033" s="93"/>
      <c r="AT1033" s="93"/>
      <c r="AU1033" s="93"/>
      <c r="AV1033" s="93"/>
      <c r="AW1033" s="93"/>
      <c r="AX1033" s="93"/>
      <c r="AY1033" s="93"/>
      <c r="AZ1033" s="93"/>
      <c r="BA1033" s="93"/>
      <c r="BB1033" s="93"/>
      <c r="BC1033" s="93"/>
      <c r="BD1033" s="93"/>
      <c r="BE1033" s="93"/>
      <c r="BF1033" s="93"/>
      <c r="BG1033" s="93"/>
      <c r="BH1033" s="93"/>
      <c r="BI1033" s="93"/>
      <c r="BJ1033" s="93"/>
      <c r="BK1033" s="93"/>
      <c r="BL1033" s="93"/>
      <c r="BM1033" s="93"/>
      <c r="BN1033" s="93"/>
      <c r="BO1033" s="93"/>
      <c r="BP1033" s="93"/>
      <c r="BQ1033" s="93"/>
      <c r="BR1033" s="93"/>
      <c r="BS1033" s="93"/>
      <c r="BT1033" s="93"/>
      <c r="BU1033" s="93"/>
      <c r="BV1033" s="93"/>
      <c r="BW1033" s="93"/>
      <c r="BX1033" s="93"/>
      <c r="BY1033" s="93"/>
      <c r="BZ1033" s="93"/>
      <c r="CA1033" s="93"/>
      <c r="CB1033" s="93"/>
      <c r="CC1033" s="93"/>
      <c r="CD1033" s="93"/>
      <c r="CE1033" s="93"/>
      <c r="CF1033" s="93"/>
      <c r="CG1033" s="93"/>
      <c r="CH1033" s="93"/>
      <c r="CI1033" s="93"/>
      <c r="CJ1033" s="93"/>
      <c r="CK1033" s="93"/>
      <c r="CL1033" s="93"/>
      <c r="CM1033" s="93"/>
      <c r="CN1033" s="93"/>
      <c r="CO1033" s="93"/>
      <c r="CP1033" s="93"/>
      <c r="CQ1033" s="93"/>
      <c r="CR1033" s="93"/>
      <c r="CS1033" s="93"/>
      <c r="CT1033" s="93"/>
      <c r="CU1033" s="93"/>
      <c r="CV1033" s="93"/>
      <c r="CW1033" s="93"/>
      <c r="CX1033" s="93"/>
      <c r="CY1033" s="93"/>
      <c r="CZ1033" s="93"/>
      <c r="DA1033" s="93"/>
      <c r="DB1033" s="93"/>
      <c r="DC1033" s="93"/>
      <c r="DD1033" s="93"/>
      <c r="DE1033" s="93"/>
      <c r="DF1033" s="93"/>
      <c r="DG1033" s="93"/>
      <c r="DH1033" s="93"/>
      <c r="DI1033" s="93"/>
    </row>
    <row r="1034" spans="30:113" ht="6.95" customHeight="1" x14ac:dyDescent="0.15">
      <c r="AD1034" s="93"/>
      <c r="AE1034" s="93"/>
      <c r="AF1034" s="93"/>
      <c r="AG1034" s="93"/>
      <c r="AH1034" s="93"/>
      <c r="AI1034" s="93"/>
      <c r="AJ1034" s="93"/>
      <c r="AK1034" s="93"/>
      <c r="AL1034" s="93"/>
      <c r="AM1034" s="93"/>
      <c r="AN1034" s="93"/>
      <c r="AO1034" s="93"/>
      <c r="AP1034" s="93"/>
      <c r="AQ1034" s="93"/>
      <c r="AR1034" s="93"/>
      <c r="AS1034" s="93"/>
      <c r="AT1034" s="93"/>
      <c r="AU1034" s="93"/>
      <c r="AV1034" s="93"/>
      <c r="AW1034" s="93"/>
      <c r="AX1034" s="93"/>
      <c r="AY1034" s="93"/>
      <c r="AZ1034" s="93"/>
      <c r="BA1034" s="93"/>
      <c r="BB1034" s="93"/>
      <c r="BC1034" s="93"/>
      <c r="BD1034" s="93"/>
      <c r="BE1034" s="93"/>
      <c r="BF1034" s="93"/>
      <c r="BG1034" s="93"/>
      <c r="BH1034" s="93"/>
      <c r="BI1034" s="93"/>
      <c r="BJ1034" s="93"/>
      <c r="BK1034" s="93"/>
      <c r="BL1034" s="93"/>
      <c r="BM1034" s="93"/>
      <c r="BN1034" s="93"/>
      <c r="BO1034" s="93"/>
      <c r="BP1034" s="93"/>
      <c r="BQ1034" s="93"/>
      <c r="BR1034" s="93"/>
      <c r="BS1034" s="93"/>
      <c r="BT1034" s="93"/>
      <c r="BU1034" s="93"/>
      <c r="BV1034" s="93"/>
      <c r="BW1034" s="93"/>
      <c r="BX1034" s="93"/>
      <c r="BY1034" s="93"/>
      <c r="BZ1034" s="93"/>
      <c r="CA1034" s="93"/>
      <c r="CB1034" s="93"/>
      <c r="CC1034" s="93"/>
      <c r="CD1034" s="93"/>
      <c r="CE1034" s="93"/>
      <c r="CF1034" s="93"/>
      <c r="CG1034" s="93"/>
      <c r="CH1034" s="93"/>
      <c r="CI1034" s="93"/>
      <c r="CJ1034" s="93"/>
      <c r="CK1034" s="93"/>
      <c r="CL1034" s="93"/>
      <c r="CM1034" s="93"/>
      <c r="CN1034" s="93"/>
      <c r="CO1034" s="93"/>
      <c r="CP1034" s="93"/>
      <c r="CQ1034" s="93"/>
      <c r="CR1034" s="93"/>
      <c r="CS1034" s="93"/>
      <c r="CT1034" s="93"/>
      <c r="CU1034" s="93"/>
      <c r="CV1034" s="93"/>
      <c r="CW1034" s="93"/>
      <c r="CX1034" s="93"/>
      <c r="CY1034" s="93"/>
      <c r="CZ1034" s="93"/>
      <c r="DA1034" s="93"/>
      <c r="DB1034" s="93"/>
      <c r="DC1034" s="93"/>
      <c r="DD1034" s="93"/>
      <c r="DE1034" s="93"/>
      <c r="DF1034" s="93"/>
      <c r="DG1034" s="93"/>
      <c r="DH1034" s="93"/>
      <c r="DI1034" s="93"/>
    </row>
    <row r="1035" spans="30:113" ht="6.95" customHeight="1" x14ac:dyDescent="0.15">
      <c r="AD1035" s="93"/>
      <c r="AE1035" s="93"/>
      <c r="AF1035" s="93"/>
      <c r="AG1035" s="93"/>
      <c r="AH1035" s="93"/>
      <c r="AI1035" s="93"/>
      <c r="AJ1035" s="93"/>
      <c r="AK1035" s="93"/>
      <c r="AL1035" s="93"/>
      <c r="AM1035" s="93"/>
      <c r="AN1035" s="93"/>
      <c r="AO1035" s="93"/>
      <c r="AP1035" s="93"/>
      <c r="AQ1035" s="93"/>
      <c r="AR1035" s="93"/>
      <c r="AS1035" s="93"/>
      <c r="AT1035" s="93"/>
      <c r="AU1035" s="93"/>
      <c r="AV1035" s="93"/>
      <c r="AW1035" s="93"/>
      <c r="AX1035" s="93"/>
      <c r="AY1035" s="93"/>
      <c r="AZ1035" s="93"/>
      <c r="BA1035" s="93"/>
      <c r="BB1035" s="93"/>
      <c r="BC1035" s="93"/>
      <c r="BD1035" s="93"/>
      <c r="BE1035" s="93"/>
      <c r="BF1035" s="93"/>
      <c r="BG1035" s="93"/>
      <c r="BH1035" s="93"/>
      <c r="BI1035" s="93"/>
      <c r="BJ1035" s="93"/>
      <c r="BK1035" s="93"/>
      <c r="BL1035" s="93"/>
      <c r="BM1035" s="93"/>
      <c r="BN1035" s="93"/>
      <c r="BO1035" s="93"/>
      <c r="BP1035" s="93"/>
      <c r="BQ1035" s="93"/>
      <c r="BR1035" s="93"/>
      <c r="BS1035" s="93"/>
      <c r="BT1035" s="93"/>
      <c r="BU1035" s="93"/>
      <c r="BV1035" s="93"/>
      <c r="BW1035" s="93"/>
      <c r="BX1035" s="93"/>
      <c r="BY1035" s="93"/>
      <c r="BZ1035" s="93"/>
      <c r="CA1035" s="93"/>
      <c r="CB1035" s="93"/>
      <c r="CC1035" s="93"/>
      <c r="CD1035" s="93"/>
      <c r="CE1035" s="93"/>
      <c r="CF1035" s="93"/>
      <c r="CG1035" s="93"/>
      <c r="CH1035" s="93"/>
      <c r="CI1035" s="93"/>
      <c r="CJ1035" s="93"/>
      <c r="CK1035" s="93"/>
      <c r="CL1035" s="93"/>
      <c r="CM1035" s="93"/>
      <c r="CN1035" s="93"/>
      <c r="CO1035" s="93"/>
      <c r="CP1035" s="93"/>
      <c r="CQ1035" s="93"/>
      <c r="CR1035" s="93"/>
      <c r="CS1035" s="93"/>
      <c r="CT1035" s="93"/>
      <c r="CU1035" s="93"/>
      <c r="CV1035" s="93"/>
      <c r="CW1035" s="93"/>
      <c r="CX1035" s="93"/>
      <c r="CY1035" s="93"/>
      <c r="CZ1035" s="93"/>
      <c r="DA1035" s="93"/>
      <c r="DB1035" s="93"/>
      <c r="DC1035" s="93"/>
      <c r="DD1035" s="93"/>
      <c r="DE1035" s="93"/>
      <c r="DF1035" s="93"/>
      <c r="DG1035" s="93"/>
      <c r="DH1035" s="93"/>
      <c r="DI1035" s="93"/>
    </row>
    <row r="1036" spans="30:113" ht="6.95" customHeight="1" x14ac:dyDescent="0.15">
      <c r="AD1036" s="93"/>
      <c r="AE1036" s="93"/>
      <c r="AF1036" s="93"/>
      <c r="AG1036" s="93"/>
      <c r="AH1036" s="93"/>
      <c r="AI1036" s="93"/>
      <c r="AJ1036" s="93"/>
      <c r="AK1036" s="93"/>
      <c r="AL1036" s="93"/>
      <c r="AM1036" s="93"/>
      <c r="AN1036" s="93"/>
      <c r="AO1036" s="93"/>
      <c r="AP1036" s="93"/>
      <c r="AQ1036" s="93"/>
      <c r="AR1036" s="93"/>
      <c r="AS1036" s="93"/>
      <c r="AT1036" s="93"/>
      <c r="AU1036" s="93"/>
      <c r="AV1036" s="93"/>
      <c r="AW1036" s="93"/>
      <c r="AX1036" s="93"/>
      <c r="AY1036" s="93"/>
      <c r="AZ1036" s="93"/>
      <c r="BA1036" s="93"/>
      <c r="BB1036" s="93"/>
      <c r="BC1036" s="93"/>
      <c r="BD1036" s="93"/>
      <c r="BE1036" s="93"/>
      <c r="BF1036" s="93"/>
      <c r="BG1036" s="93"/>
      <c r="BH1036" s="93"/>
      <c r="BI1036" s="93"/>
      <c r="BJ1036" s="93"/>
      <c r="BK1036" s="93"/>
      <c r="BL1036" s="93"/>
      <c r="BM1036" s="93"/>
      <c r="BN1036" s="93"/>
      <c r="BO1036" s="93"/>
      <c r="BP1036" s="93"/>
      <c r="BQ1036" s="93"/>
      <c r="BR1036" s="93"/>
      <c r="BS1036" s="93"/>
      <c r="BT1036" s="93"/>
      <c r="BU1036" s="93"/>
      <c r="BV1036" s="93"/>
      <c r="BW1036" s="93"/>
      <c r="BX1036" s="93"/>
      <c r="BY1036" s="93"/>
      <c r="BZ1036" s="93"/>
      <c r="CA1036" s="93"/>
      <c r="CB1036" s="93"/>
      <c r="CC1036" s="93"/>
      <c r="CD1036" s="93"/>
      <c r="CE1036" s="93"/>
      <c r="CF1036" s="93"/>
      <c r="CG1036" s="93"/>
      <c r="CH1036" s="93"/>
      <c r="CI1036" s="93"/>
      <c r="CJ1036" s="93"/>
      <c r="CK1036" s="93"/>
      <c r="CL1036" s="93"/>
      <c r="CM1036" s="93"/>
      <c r="CN1036" s="93"/>
      <c r="CO1036" s="93"/>
      <c r="CP1036" s="93"/>
      <c r="CQ1036" s="93"/>
      <c r="CR1036" s="93"/>
      <c r="CS1036" s="93"/>
      <c r="CT1036" s="93"/>
      <c r="CU1036" s="93"/>
      <c r="CV1036" s="93"/>
      <c r="CW1036" s="93"/>
      <c r="CX1036" s="93"/>
      <c r="CY1036" s="93"/>
      <c r="CZ1036" s="93"/>
      <c r="DA1036" s="93"/>
      <c r="DB1036" s="93"/>
      <c r="DC1036" s="93"/>
      <c r="DD1036" s="93"/>
      <c r="DE1036" s="93"/>
      <c r="DF1036" s="93"/>
      <c r="DG1036" s="93"/>
      <c r="DH1036" s="93"/>
      <c r="DI1036" s="93"/>
    </row>
    <row r="1037" spans="30:113" ht="6.95" customHeight="1" x14ac:dyDescent="0.15">
      <c r="AD1037" s="93"/>
      <c r="AE1037" s="93"/>
      <c r="AF1037" s="93"/>
      <c r="AG1037" s="93"/>
      <c r="AH1037" s="93"/>
      <c r="AI1037" s="93"/>
      <c r="AJ1037" s="93"/>
      <c r="AK1037" s="93"/>
      <c r="AL1037" s="93"/>
      <c r="AM1037" s="93"/>
      <c r="AN1037" s="93"/>
      <c r="AO1037" s="93"/>
      <c r="AP1037" s="93"/>
      <c r="AQ1037" s="93"/>
      <c r="AR1037" s="93"/>
      <c r="AS1037" s="93"/>
      <c r="AT1037" s="93"/>
      <c r="AU1037" s="93"/>
      <c r="AV1037" s="93"/>
      <c r="AW1037" s="93"/>
      <c r="AX1037" s="93"/>
      <c r="AY1037" s="93"/>
      <c r="AZ1037" s="93"/>
      <c r="BA1037" s="93"/>
      <c r="BB1037" s="93"/>
      <c r="BC1037" s="93"/>
      <c r="BD1037" s="93"/>
      <c r="BE1037" s="93"/>
      <c r="BF1037" s="93"/>
      <c r="BG1037" s="93"/>
      <c r="BH1037" s="93"/>
      <c r="BI1037" s="93"/>
      <c r="BJ1037" s="93"/>
      <c r="BK1037" s="93"/>
      <c r="BL1037" s="93"/>
      <c r="BM1037" s="93"/>
      <c r="BN1037" s="93"/>
      <c r="BO1037" s="93"/>
      <c r="BP1037" s="93"/>
      <c r="BQ1037" s="93"/>
      <c r="BR1037" s="93"/>
      <c r="BS1037" s="93"/>
      <c r="BT1037" s="93"/>
      <c r="BU1037" s="93"/>
      <c r="BV1037" s="93"/>
      <c r="BW1037" s="93"/>
      <c r="BX1037" s="93"/>
      <c r="BY1037" s="93"/>
      <c r="BZ1037" s="93"/>
      <c r="CA1037" s="93"/>
      <c r="CB1037" s="93"/>
      <c r="CC1037" s="93"/>
      <c r="CD1037" s="93"/>
      <c r="CE1037" s="93"/>
      <c r="CF1037" s="93"/>
      <c r="CG1037" s="93"/>
      <c r="CH1037" s="93"/>
      <c r="CI1037" s="93"/>
      <c r="CJ1037" s="93"/>
      <c r="CK1037" s="93"/>
      <c r="CL1037" s="93"/>
      <c r="CM1037" s="93"/>
      <c r="CN1037" s="93"/>
      <c r="CO1037" s="93"/>
      <c r="CP1037" s="93"/>
      <c r="CQ1037" s="93"/>
      <c r="CR1037" s="93"/>
      <c r="CS1037" s="93"/>
      <c r="CT1037" s="93"/>
      <c r="CU1037" s="93"/>
      <c r="CV1037" s="93"/>
      <c r="CW1037" s="93"/>
      <c r="CX1037" s="93"/>
      <c r="CY1037" s="93"/>
      <c r="CZ1037" s="93"/>
      <c r="DA1037" s="93"/>
      <c r="DB1037" s="93"/>
      <c r="DC1037" s="93"/>
      <c r="DD1037" s="93"/>
      <c r="DE1037" s="93"/>
      <c r="DF1037" s="93"/>
      <c r="DG1037" s="93"/>
      <c r="DH1037" s="93"/>
      <c r="DI1037" s="93"/>
    </row>
    <row r="1038" spans="30:113" ht="6.95" customHeight="1" x14ac:dyDescent="0.15">
      <c r="AD1038" s="93"/>
      <c r="AE1038" s="93"/>
      <c r="AF1038" s="93"/>
      <c r="AG1038" s="93"/>
      <c r="AH1038" s="93"/>
      <c r="AI1038" s="93"/>
      <c r="AJ1038" s="93"/>
      <c r="AK1038" s="93"/>
      <c r="AL1038" s="93"/>
      <c r="AM1038" s="93"/>
      <c r="AN1038" s="93"/>
      <c r="AO1038" s="93"/>
      <c r="AP1038" s="93"/>
      <c r="AQ1038" s="93"/>
      <c r="AR1038" s="93"/>
      <c r="AS1038" s="93"/>
      <c r="AT1038" s="93"/>
      <c r="AU1038" s="93"/>
      <c r="AV1038" s="93"/>
      <c r="AW1038" s="93"/>
      <c r="AX1038" s="93"/>
      <c r="AY1038" s="93"/>
      <c r="AZ1038" s="93"/>
      <c r="BA1038" s="93"/>
      <c r="BB1038" s="93"/>
      <c r="BC1038" s="93"/>
      <c r="BD1038" s="93"/>
      <c r="BE1038" s="93"/>
      <c r="BF1038" s="93"/>
      <c r="BG1038" s="93"/>
      <c r="BH1038" s="93"/>
      <c r="BI1038" s="93"/>
      <c r="BJ1038" s="93"/>
      <c r="BK1038" s="93"/>
      <c r="BL1038" s="93"/>
      <c r="BM1038" s="93"/>
      <c r="BN1038" s="93"/>
      <c r="BO1038" s="93"/>
      <c r="BP1038" s="93"/>
      <c r="BQ1038" s="93"/>
      <c r="BR1038" s="93"/>
      <c r="BS1038" s="93"/>
      <c r="BT1038" s="93"/>
      <c r="BU1038" s="93"/>
      <c r="BV1038" s="93"/>
      <c r="BW1038" s="93"/>
      <c r="BX1038" s="93"/>
      <c r="BY1038" s="93"/>
      <c r="BZ1038" s="93"/>
      <c r="CA1038" s="93"/>
      <c r="CB1038" s="93"/>
      <c r="CC1038" s="93"/>
      <c r="CD1038" s="93"/>
      <c r="CE1038" s="93"/>
      <c r="CF1038" s="93"/>
      <c r="CG1038" s="93"/>
      <c r="CH1038" s="93"/>
      <c r="CI1038" s="93"/>
      <c r="CJ1038" s="93"/>
      <c r="CK1038" s="93"/>
      <c r="CL1038" s="93"/>
      <c r="CM1038" s="93"/>
      <c r="CN1038" s="93"/>
      <c r="CO1038" s="93"/>
      <c r="CP1038" s="93"/>
      <c r="CQ1038" s="93"/>
      <c r="CR1038" s="93"/>
      <c r="CS1038" s="93"/>
      <c r="CT1038" s="93"/>
      <c r="CU1038" s="93"/>
      <c r="CV1038" s="93"/>
      <c r="CW1038" s="93"/>
      <c r="CX1038" s="93"/>
      <c r="CY1038" s="93"/>
      <c r="CZ1038" s="93"/>
      <c r="DA1038" s="93"/>
      <c r="DB1038" s="93"/>
      <c r="DC1038" s="93"/>
      <c r="DD1038" s="93"/>
      <c r="DE1038" s="93"/>
      <c r="DF1038" s="93"/>
      <c r="DG1038" s="93"/>
      <c r="DH1038" s="93"/>
      <c r="DI1038" s="93"/>
    </row>
    <row r="1039" spans="30:113" ht="6.95" customHeight="1" x14ac:dyDescent="0.15">
      <c r="AD1039" s="93"/>
      <c r="AE1039" s="93"/>
      <c r="AF1039" s="93"/>
      <c r="AG1039" s="93"/>
      <c r="AH1039" s="93"/>
      <c r="AI1039" s="93"/>
      <c r="AJ1039" s="93"/>
      <c r="AK1039" s="93"/>
      <c r="AL1039" s="93"/>
      <c r="AM1039" s="93"/>
      <c r="AN1039" s="93"/>
      <c r="AO1039" s="93"/>
      <c r="AP1039" s="93"/>
      <c r="AQ1039" s="93"/>
      <c r="AR1039" s="93"/>
      <c r="AS1039" s="93"/>
      <c r="AT1039" s="93"/>
      <c r="AU1039" s="93"/>
      <c r="AV1039" s="93"/>
      <c r="AW1039" s="93"/>
      <c r="AX1039" s="93"/>
      <c r="AY1039" s="93"/>
      <c r="AZ1039" s="93"/>
      <c r="BA1039" s="93"/>
      <c r="BB1039" s="93"/>
      <c r="BC1039" s="93"/>
      <c r="BD1039" s="93"/>
      <c r="BE1039" s="93"/>
      <c r="BF1039" s="93"/>
      <c r="BG1039" s="93"/>
      <c r="BH1039" s="93"/>
      <c r="BI1039" s="93"/>
      <c r="BJ1039" s="93"/>
      <c r="BK1039" s="93"/>
      <c r="BL1039" s="93"/>
      <c r="BM1039" s="93"/>
      <c r="BN1039" s="93"/>
      <c r="BO1039" s="93"/>
      <c r="BP1039" s="93"/>
      <c r="BQ1039" s="93"/>
      <c r="BR1039" s="93"/>
      <c r="BS1039" s="93"/>
      <c r="BT1039" s="93"/>
      <c r="BU1039" s="93"/>
      <c r="BV1039" s="93"/>
      <c r="BW1039" s="93"/>
      <c r="BX1039" s="93"/>
      <c r="BY1039" s="93"/>
      <c r="BZ1039" s="93"/>
      <c r="CA1039" s="93"/>
      <c r="CB1039" s="93"/>
      <c r="CC1039" s="93"/>
      <c r="CD1039" s="93"/>
      <c r="CE1039" s="93"/>
      <c r="CF1039" s="93"/>
      <c r="CG1039" s="93"/>
      <c r="CH1039" s="93"/>
      <c r="CI1039" s="93"/>
      <c r="CJ1039" s="93"/>
      <c r="CK1039" s="93"/>
      <c r="CL1039" s="93"/>
      <c r="CM1039" s="93"/>
      <c r="CN1039" s="93"/>
      <c r="CO1039" s="93"/>
      <c r="CP1039" s="93"/>
      <c r="CQ1039" s="93"/>
      <c r="CR1039" s="93"/>
      <c r="CS1039" s="93"/>
      <c r="CT1039" s="93"/>
      <c r="CU1039" s="93"/>
      <c r="CV1039" s="93"/>
      <c r="CW1039" s="93"/>
      <c r="CX1039" s="93"/>
      <c r="CY1039" s="93"/>
      <c r="CZ1039" s="93"/>
      <c r="DA1039" s="93"/>
      <c r="DB1039" s="93"/>
      <c r="DC1039" s="93"/>
      <c r="DD1039" s="93"/>
      <c r="DE1039" s="93"/>
      <c r="DF1039" s="93"/>
      <c r="DG1039" s="93"/>
      <c r="DH1039" s="93"/>
      <c r="DI1039" s="93"/>
    </row>
    <row r="1040" spans="30:113" ht="6.95" customHeight="1" x14ac:dyDescent="0.15">
      <c r="AD1040" s="93"/>
      <c r="AE1040" s="93"/>
      <c r="AF1040" s="93"/>
      <c r="AG1040" s="93"/>
      <c r="AH1040" s="93"/>
      <c r="AI1040" s="93"/>
      <c r="AJ1040" s="93"/>
      <c r="AK1040" s="93"/>
      <c r="AL1040" s="93"/>
      <c r="AM1040" s="93"/>
      <c r="AN1040" s="93"/>
      <c r="AO1040" s="93"/>
      <c r="AP1040" s="93"/>
      <c r="AQ1040" s="93"/>
      <c r="AR1040" s="93"/>
      <c r="AS1040" s="93"/>
      <c r="AT1040" s="93"/>
      <c r="AU1040" s="93"/>
      <c r="AV1040" s="93"/>
      <c r="AW1040" s="93"/>
      <c r="AX1040" s="93"/>
      <c r="AY1040" s="93"/>
      <c r="AZ1040" s="93"/>
      <c r="BA1040" s="93"/>
      <c r="BB1040" s="93"/>
      <c r="BC1040" s="93"/>
      <c r="BD1040" s="93"/>
      <c r="BE1040" s="93"/>
      <c r="BF1040" s="93"/>
      <c r="BG1040" s="93"/>
      <c r="BH1040" s="93"/>
      <c r="BI1040" s="93"/>
      <c r="BJ1040" s="93"/>
      <c r="BK1040" s="93"/>
      <c r="BL1040" s="93"/>
      <c r="BM1040" s="93"/>
      <c r="BN1040" s="93"/>
      <c r="BO1040" s="93"/>
      <c r="BP1040" s="93"/>
      <c r="BQ1040" s="93"/>
      <c r="BR1040" s="93"/>
      <c r="BS1040" s="93"/>
      <c r="BT1040" s="93"/>
      <c r="BU1040" s="93"/>
      <c r="BV1040" s="93"/>
      <c r="BW1040" s="93"/>
      <c r="BX1040" s="93"/>
      <c r="BY1040" s="93"/>
      <c r="BZ1040" s="93"/>
      <c r="CA1040" s="93"/>
      <c r="CB1040" s="93"/>
      <c r="CC1040" s="93"/>
      <c r="CD1040" s="93"/>
      <c r="CE1040" s="93"/>
      <c r="CF1040" s="93"/>
      <c r="CG1040" s="93"/>
      <c r="CH1040" s="93"/>
      <c r="CI1040" s="93"/>
      <c r="CJ1040" s="93"/>
      <c r="CK1040" s="93"/>
      <c r="CL1040" s="93"/>
      <c r="CM1040" s="93"/>
      <c r="CN1040" s="93"/>
      <c r="CO1040" s="93"/>
      <c r="CP1040" s="93"/>
      <c r="CQ1040" s="93"/>
      <c r="CR1040" s="93"/>
      <c r="CS1040" s="93"/>
      <c r="CT1040" s="93"/>
      <c r="CU1040" s="93"/>
      <c r="CV1040" s="93"/>
      <c r="CW1040" s="93"/>
      <c r="CX1040" s="93"/>
      <c r="CY1040" s="93"/>
      <c r="CZ1040" s="93"/>
      <c r="DA1040" s="93"/>
      <c r="DB1040" s="93"/>
      <c r="DC1040" s="93"/>
      <c r="DD1040" s="93"/>
      <c r="DE1040" s="93"/>
      <c r="DF1040" s="93"/>
      <c r="DG1040" s="93"/>
      <c r="DH1040" s="93"/>
      <c r="DI1040" s="93"/>
    </row>
    <row r="1041" spans="30:113" ht="6.95" customHeight="1" x14ac:dyDescent="0.15">
      <c r="AD1041" s="93"/>
      <c r="AE1041" s="93"/>
      <c r="AF1041" s="93"/>
      <c r="AG1041" s="93"/>
      <c r="AH1041" s="93"/>
      <c r="AI1041" s="93"/>
      <c r="AJ1041" s="93"/>
      <c r="AK1041" s="93"/>
      <c r="AL1041" s="93"/>
      <c r="AM1041" s="93"/>
      <c r="AN1041" s="93"/>
      <c r="AO1041" s="93"/>
      <c r="AP1041" s="93"/>
      <c r="AQ1041" s="93"/>
      <c r="AR1041" s="93"/>
      <c r="AS1041" s="93"/>
      <c r="AT1041" s="93"/>
      <c r="AU1041" s="93"/>
      <c r="AV1041" s="93"/>
      <c r="AW1041" s="93"/>
      <c r="AX1041" s="93"/>
      <c r="AY1041" s="93"/>
      <c r="AZ1041" s="93"/>
      <c r="BA1041" s="93"/>
      <c r="BB1041" s="93"/>
      <c r="BC1041" s="93"/>
      <c r="BD1041" s="93"/>
      <c r="BE1041" s="93"/>
      <c r="BF1041" s="93"/>
      <c r="BG1041" s="93"/>
      <c r="BH1041" s="93"/>
      <c r="BI1041" s="93"/>
      <c r="BJ1041" s="93"/>
      <c r="BK1041" s="93"/>
      <c r="BL1041" s="93"/>
      <c r="BM1041" s="93"/>
      <c r="BN1041" s="93"/>
      <c r="BO1041" s="93"/>
      <c r="BP1041" s="93"/>
      <c r="BQ1041" s="93"/>
      <c r="BR1041" s="93"/>
      <c r="BS1041" s="93"/>
      <c r="BT1041" s="93"/>
      <c r="BU1041" s="93"/>
      <c r="BV1041" s="93"/>
      <c r="BW1041" s="93"/>
      <c r="BX1041" s="93"/>
      <c r="BY1041" s="93"/>
      <c r="BZ1041" s="93"/>
      <c r="CA1041" s="93"/>
      <c r="CB1041" s="93"/>
      <c r="CC1041" s="93"/>
      <c r="CD1041" s="93"/>
      <c r="CE1041" s="93"/>
      <c r="CF1041" s="93"/>
      <c r="CG1041" s="93"/>
      <c r="CH1041" s="93"/>
      <c r="CI1041" s="93"/>
      <c r="CJ1041" s="93"/>
      <c r="CK1041" s="93"/>
      <c r="CL1041" s="93"/>
      <c r="CM1041" s="93"/>
      <c r="CN1041" s="93"/>
      <c r="CO1041" s="93"/>
      <c r="CP1041" s="93"/>
      <c r="CQ1041" s="93"/>
      <c r="CR1041" s="93"/>
      <c r="CS1041" s="93"/>
      <c r="CT1041" s="93"/>
      <c r="CU1041" s="93"/>
      <c r="CV1041" s="93"/>
      <c r="CW1041" s="93"/>
      <c r="CX1041" s="93"/>
      <c r="CY1041" s="93"/>
      <c r="CZ1041" s="93"/>
      <c r="DA1041" s="93"/>
      <c r="DB1041" s="93"/>
      <c r="DC1041" s="93"/>
      <c r="DD1041" s="93"/>
      <c r="DE1041" s="93"/>
      <c r="DF1041" s="93"/>
      <c r="DG1041" s="93"/>
      <c r="DH1041" s="93"/>
      <c r="DI1041" s="93"/>
    </row>
    <row r="1042" spans="30:113" ht="6.95" customHeight="1" x14ac:dyDescent="0.15">
      <c r="AD1042" s="93"/>
      <c r="AE1042" s="93"/>
      <c r="AF1042" s="93"/>
      <c r="AG1042" s="93"/>
      <c r="AH1042" s="93"/>
      <c r="AI1042" s="93"/>
      <c r="AJ1042" s="93"/>
      <c r="AK1042" s="93"/>
      <c r="AL1042" s="93"/>
      <c r="AM1042" s="93"/>
      <c r="AN1042" s="93"/>
      <c r="AO1042" s="93"/>
      <c r="AP1042" s="93"/>
      <c r="AQ1042" s="93"/>
      <c r="AR1042" s="93"/>
      <c r="AS1042" s="93"/>
      <c r="AT1042" s="93"/>
      <c r="AU1042" s="93"/>
      <c r="AV1042" s="93"/>
      <c r="AW1042" s="93"/>
      <c r="AX1042" s="93"/>
      <c r="AY1042" s="93"/>
      <c r="AZ1042" s="93"/>
      <c r="BA1042" s="93"/>
      <c r="BB1042" s="93"/>
      <c r="BC1042" s="93"/>
      <c r="BD1042" s="93"/>
      <c r="BE1042" s="93"/>
      <c r="BF1042" s="93"/>
      <c r="BG1042" s="93"/>
      <c r="BH1042" s="93"/>
      <c r="BI1042" s="93"/>
      <c r="BJ1042" s="93"/>
      <c r="BK1042" s="93"/>
      <c r="BL1042" s="93"/>
      <c r="BM1042" s="93"/>
      <c r="BN1042" s="93"/>
      <c r="BO1042" s="93"/>
      <c r="BP1042" s="93"/>
      <c r="BQ1042" s="93"/>
      <c r="BR1042" s="93"/>
      <c r="BS1042" s="93"/>
      <c r="BT1042" s="93"/>
      <c r="BU1042" s="93"/>
      <c r="BV1042" s="93"/>
      <c r="BW1042" s="93"/>
      <c r="BX1042" s="93"/>
      <c r="BY1042" s="93"/>
      <c r="BZ1042" s="93"/>
      <c r="CA1042" s="93"/>
      <c r="CB1042" s="93"/>
      <c r="CC1042" s="93"/>
      <c r="CD1042" s="93"/>
      <c r="CE1042" s="93"/>
      <c r="CF1042" s="93"/>
      <c r="CG1042" s="93"/>
      <c r="CH1042" s="93"/>
      <c r="CI1042" s="93"/>
      <c r="CJ1042" s="93"/>
      <c r="CK1042" s="93"/>
      <c r="CL1042" s="93"/>
      <c r="CM1042" s="93"/>
      <c r="CN1042" s="93"/>
      <c r="CO1042" s="93"/>
      <c r="CP1042" s="93"/>
      <c r="CQ1042" s="93"/>
      <c r="CR1042" s="93"/>
      <c r="CS1042" s="93"/>
      <c r="CT1042" s="93"/>
      <c r="CU1042" s="93"/>
      <c r="CV1042" s="93"/>
      <c r="CW1042" s="93"/>
      <c r="CX1042" s="93"/>
      <c r="CY1042" s="93"/>
      <c r="CZ1042" s="93"/>
      <c r="DA1042" s="93"/>
      <c r="DB1042" s="93"/>
      <c r="DC1042" s="93"/>
      <c r="DD1042" s="93"/>
      <c r="DE1042" s="93"/>
      <c r="DF1042" s="93"/>
      <c r="DG1042" s="93"/>
      <c r="DH1042" s="93"/>
      <c r="DI1042" s="93"/>
    </row>
    <row r="1043" spans="30:113" ht="6.95" customHeight="1" x14ac:dyDescent="0.15">
      <c r="AD1043" s="93"/>
      <c r="AE1043" s="93"/>
      <c r="AF1043" s="93"/>
      <c r="AG1043" s="93"/>
      <c r="AH1043" s="93"/>
      <c r="AI1043" s="93"/>
      <c r="AJ1043" s="93"/>
      <c r="AK1043" s="93"/>
      <c r="AL1043" s="93"/>
      <c r="AM1043" s="93"/>
      <c r="AN1043" s="93"/>
      <c r="AO1043" s="93"/>
      <c r="AP1043" s="93"/>
      <c r="AQ1043" s="93"/>
      <c r="AR1043" s="93"/>
      <c r="AS1043" s="93"/>
      <c r="AT1043" s="93"/>
      <c r="AU1043" s="93"/>
      <c r="AV1043" s="93"/>
      <c r="AW1043" s="93"/>
      <c r="AX1043" s="93"/>
      <c r="AY1043" s="93"/>
      <c r="AZ1043" s="93"/>
      <c r="BA1043" s="93"/>
      <c r="BB1043" s="93"/>
      <c r="BC1043" s="93"/>
      <c r="BD1043" s="93"/>
      <c r="BE1043" s="93"/>
      <c r="BF1043" s="93"/>
      <c r="BG1043" s="93"/>
      <c r="BH1043" s="93"/>
      <c r="BI1043" s="93"/>
      <c r="BJ1043" s="93"/>
      <c r="BK1043" s="93"/>
      <c r="BL1043" s="93"/>
      <c r="BM1043" s="93"/>
      <c r="BN1043" s="93"/>
      <c r="BO1043" s="93"/>
      <c r="BP1043" s="93"/>
      <c r="BQ1043" s="93"/>
      <c r="BR1043" s="93"/>
      <c r="BS1043" s="93"/>
      <c r="BT1043" s="93"/>
      <c r="BU1043" s="93"/>
      <c r="BV1043" s="93"/>
      <c r="BW1043" s="93"/>
      <c r="BX1043" s="93"/>
      <c r="BY1043" s="93"/>
      <c r="BZ1043" s="93"/>
      <c r="CA1043" s="93"/>
      <c r="CB1043" s="93"/>
      <c r="CC1043" s="93"/>
      <c r="CD1043" s="93"/>
      <c r="CE1043" s="93"/>
      <c r="CF1043" s="93"/>
      <c r="CG1043" s="93"/>
      <c r="CH1043" s="93"/>
      <c r="CI1043" s="93"/>
      <c r="CJ1043" s="93"/>
      <c r="CK1043" s="93"/>
      <c r="CL1043" s="93"/>
      <c r="CM1043" s="93"/>
      <c r="CN1043" s="93"/>
      <c r="CO1043" s="93"/>
      <c r="CP1043" s="93"/>
      <c r="CQ1043" s="93"/>
      <c r="CR1043" s="93"/>
      <c r="CS1043" s="93"/>
      <c r="CT1043" s="93"/>
      <c r="CU1043" s="93"/>
      <c r="CV1043" s="93"/>
      <c r="CW1043" s="93"/>
      <c r="CX1043" s="93"/>
      <c r="CY1043" s="93"/>
      <c r="CZ1043" s="93"/>
      <c r="DA1043" s="93"/>
      <c r="DB1043" s="93"/>
      <c r="DC1043" s="93"/>
      <c r="DD1043" s="93"/>
      <c r="DE1043" s="93"/>
      <c r="DF1043" s="93"/>
      <c r="DG1043" s="93"/>
      <c r="DH1043" s="93"/>
      <c r="DI1043" s="93"/>
    </row>
    <row r="1044" spans="30:113" ht="6.95" customHeight="1" x14ac:dyDescent="0.15">
      <c r="AD1044" s="93"/>
      <c r="AE1044" s="93"/>
      <c r="AF1044" s="93"/>
      <c r="AG1044" s="93"/>
      <c r="AH1044" s="93"/>
      <c r="AI1044" s="93"/>
      <c r="AJ1044" s="93"/>
      <c r="AK1044" s="93"/>
      <c r="AL1044" s="93"/>
      <c r="AM1044" s="93"/>
      <c r="AN1044" s="93"/>
      <c r="AO1044" s="93"/>
      <c r="AP1044" s="93"/>
      <c r="AQ1044" s="93"/>
      <c r="AR1044" s="93"/>
      <c r="AS1044" s="93"/>
      <c r="AT1044" s="93"/>
      <c r="AU1044" s="93"/>
      <c r="AV1044" s="93"/>
      <c r="AW1044" s="93"/>
      <c r="AX1044" s="93"/>
      <c r="AY1044" s="93"/>
      <c r="AZ1044" s="93"/>
      <c r="BA1044" s="93"/>
      <c r="BB1044" s="93"/>
      <c r="BC1044" s="93"/>
      <c r="BD1044" s="93"/>
      <c r="BE1044" s="93"/>
      <c r="BF1044" s="93"/>
      <c r="BG1044" s="93"/>
      <c r="BH1044" s="93"/>
      <c r="BI1044" s="93"/>
      <c r="BJ1044" s="93"/>
      <c r="BK1044" s="93"/>
      <c r="BL1044" s="93"/>
      <c r="BM1044" s="93"/>
      <c r="BN1044" s="93"/>
      <c r="BO1044" s="93"/>
      <c r="BP1044" s="93"/>
      <c r="BQ1044" s="93"/>
      <c r="BR1044" s="93"/>
      <c r="BS1044" s="93"/>
      <c r="BT1044" s="93"/>
      <c r="BU1044" s="93"/>
      <c r="BV1044" s="93"/>
      <c r="BW1044" s="93"/>
      <c r="BX1044" s="93"/>
      <c r="BY1044" s="93"/>
      <c r="BZ1044" s="93"/>
      <c r="CA1044" s="93"/>
      <c r="CB1044" s="93"/>
      <c r="CC1044" s="93"/>
      <c r="CD1044" s="93"/>
      <c r="CE1044" s="93"/>
      <c r="CF1044" s="93"/>
      <c r="CG1044" s="93"/>
      <c r="CH1044" s="93"/>
      <c r="CI1044" s="93"/>
      <c r="CJ1044" s="93"/>
      <c r="CK1044" s="93"/>
      <c r="CL1044" s="93"/>
      <c r="CM1044" s="93"/>
      <c r="CN1044" s="93"/>
      <c r="CO1044" s="93"/>
      <c r="CP1044" s="93"/>
      <c r="CQ1044" s="93"/>
      <c r="CR1044" s="93"/>
      <c r="CS1044" s="93"/>
      <c r="CT1044" s="93"/>
      <c r="CU1044" s="93"/>
      <c r="CV1044" s="93"/>
      <c r="CW1044" s="93"/>
      <c r="CX1044" s="93"/>
      <c r="CY1044" s="93"/>
      <c r="CZ1044" s="93"/>
      <c r="DA1044" s="93"/>
      <c r="DB1044" s="93"/>
      <c r="DC1044" s="93"/>
      <c r="DD1044" s="93"/>
      <c r="DE1044" s="93"/>
      <c r="DF1044" s="93"/>
      <c r="DG1044" s="93"/>
      <c r="DH1044" s="93"/>
      <c r="DI1044" s="93"/>
    </row>
    <row r="1045" spans="30:113" ht="6.95" customHeight="1" x14ac:dyDescent="0.15">
      <c r="AD1045" s="93"/>
      <c r="AE1045" s="93"/>
      <c r="AF1045" s="93"/>
      <c r="AG1045" s="93"/>
      <c r="AH1045" s="93"/>
      <c r="AI1045" s="93"/>
      <c r="AJ1045" s="93"/>
      <c r="AK1045" s="93"/>
      <c r="AL1045" s="93"/>
      <c r="AM1045" s="93"/>
      <c r="AN1045" s="93"/>
      <c r="AO1045" s="93"/>
      <c r="AP1045" s="93"/>
      <c r="AQ1045" s="93"/>
      <c r="AR1045" s="93"/>
      <c r="AS1045" s="93"/>
      <c r="AT1045" s="93"/>
      <c r="AU1045" s="93"/>
      <c r="AV1045" s="93"/>
      <c r="AW1045" s="93"/>
      <c r="AX1045" s="93"/>
      <c r="AY1045" s="93"/>
      <c r="AZ1045" s="93"/>
      <c r="BA1045" s="93"/>
      <c r="BB1045" s="93"/>
      <c r="BC1045" s="93"/>
      <c r="BD1045" s="93"/>
      <c r="BE1045" s="93"/>
      <c r="BF1045" s="93"/>
      <c r="BG1045" s="93"/>
      <c r="BH1045" s="93"/>
      <c r="BI1045" s="93"/>
      <c r="BJ1045" s="93"/>
      <c r="BK1045" s="93"/>
      <c r="BL1045" s="93"/>
      <c r="BM1045" s="93"/>
      <c r="BN1045" s="93"/>
      <c r="BO1045" s="93"/>
      <c r="BP1045" s="93"/>
      <c r="BQ1045" s="93"/>
      <c r="BR1045" s="93"/>
      <c r="BS1045" s="93"/>
      <c r="BT1045" s="93"/>
      <c r="BU1045" s="93"/>
      <c r="BV1045" s="93"/>
      <c r="BW1045" s="93"/>
      <c r="BX1045" s="93"/>
      <c r="BY1045" s="93"/>
      <c r="BZ1045" s="93"/>
      <c r="CA1045" s="93"/>
      <c r="CB1045" s="93"/>
      <c r="CC1045" s="93"/>
      <c r="CD1045" s="93"/>
      <c r="CE1045" s="93"/>
      <c r="CF1045" s="93"/>
      <c r="CG1045" s="93"/>
      <c r="CH1045" s="93"/>
      <c r="CI1045" s="93"/>
      <c r="CJ1045" s="93"/>
      <c r="CK1045" s="93"/>
      <c r="CL1045" s="93"/>
      <c r="CM1045" s="93"/>
      <c r="CN1045" s="93"/>
      <c r="CO1045" s="93"/>
      <c r="CP1045" s="93"/>
      <c r="CQ1045" s="93"/>
      <c r="CR1045" s="93"/>
      <c r="CS1045" s="93"/>
      <c r="CT1045" s="93"/>
      <c r="CU1045" s="93"/>
      <c r="CV1045" s="93"/>
      <c r="CW1045" s="93"/>
      <c r="CX1045" s="93"/>
      <c r="CY1045" s="93"/>
      <c r="CZ1045" s="93"/>
      <c r="DA1045" s="93"/>
      <c r="DB1045" s="93"/>
      <c r="DC1045" s="93"/>
      <c r="DD1045" s="93"/>
      <c r="DE1045" s="93"/>
      <c r="DF1045" s="93"/>
      <c r="DG1045" s="93"/>
      <c r="DH1045" s="93"/>
      <c r="DI1045" s="93"/>
    </row>
    <row r="1046" spans="30:113" ht="6.95" customHeight="1" x14ac:dyDescent="0.15">
      <c r="AD1046" s="93"/>
      <c r="AE1046" s="93"/>
      <c r="AF1046" s="93"/>
      <c r="AG1046" s="93"/>
      <c r="AH1046" s="93"/>
      <c r="AI1046" s="93"/>
      <c r="AJ1046" s="93"/>
      <c r="AK1046" s="93"/>
      <c r="AL1046" s="93"/>
      <c r="AM1046" s="93"/>
      <c r="AN1046" s="93"/>
      <c r="AO1046" s="93"/>
      <c r="AP1046" s="93"/>
      <c r="AQ1046" s="93"/>
      <c r="AR1046" s="93"/>
      <c r="AS1046" s="93"/>
      <c r="AT1046" s="93"/>
      <c r="AU1046" s="93"/>
      <c r="AV1046" s="93"/>
      <c r="AW1046" s="93"/>
      <c r="AX1046" s="93"/>
      <c r="AY1046" s="93"/>
      <c r="AZ1046" s="93"/>
      <c r="BA1046" s="93"/>
      <c r="BB1046" s="93"/>
      <c r="BC1046" s="93"/>
      <c r="BD1046" s="93"/>
      <c r="BE1046" s="93"/>
      <c r="BF1046" s="93"/>
      <c r="BG1046" s="93"/>
      <c r="BH1046" s="93"/>
      <c r="BI1046" s="93"/>
      <c r="BJ1046" s="93"/>
      <c r="BK1046" s="93"/>
      <c r="BL1046" s="93"/>
      <c r="BM1046" s="93"/>
      <c r="BN1046" s="93"/>
      <c r="BO1046" s="93"/>
      <c r="BP1046" s="93"/>
      <c r="BQ1046" s="93"/>
      <c r="BR1046" s="93"/>
      <c r="BS1046" s="93"/>
      <c r="BT1046" s="93"/>
      <c r="BU1046" s="93"/>
      <c r="BV1046" s="93"/>
      <c r="BW1046" s="93"/>
      <c r="BX1046" s="93"/>
      <c r="BY1046" s="93"/>
      <c r="BZ1046" s="93"/>
      <c r="CA1046" s="93"/>
      <c r="CB1046" s="93"/>
      <c r="CC1046" s="93"/>
      <c r="CD1046" s="93"/>
      <c r="CE1046" s="93"/>
      <c r="CF1046" s="93"/>
      <c r="CG1046" s="93"/>
      <c r="CH1046" s="93"/>
      <c r="CI1046" s="93"/>
      <c r="CJ1046" s="93"/>
      <c r="CK1046" s="93"/>
      <c r="CL1046" s="93"/>
      <c r="CM1046" s="93"/>
      <c r="CN1046" s="93"/>
      <c r="CO1046" s="93"/>
      <c r="CP1046" s="93"/>
      <c r="CQ1046" s="93"/>
      <c r="CR1046" s="93"/>
      <c r="CS1046" s="93"/>
      <c r="CT1046" s="93"/>
      <c r="CU1046" s="93"/>
      <c r="CV1046" s="93"/>
      <c r="CW1046" s="93"/>
      <c r="CX1046" s="93"/>
      <c r="CY1046" s="93"/>
      <c r="CZ1046" s="93"/>
      <c r="DA1046" s="93"/>
      <c r="DB1046" s="93"/>
      <c r="DC1046" s="93"/>
      <c r="DD1046" s="93"/>
      <c r="DE1046" s="93"/>
      <c r="DF1046" s="93"/>
      <c r="DG1046" s="93"/>
      <c r="DH1046" s="93"/>
      <c r="DI1046" s="93"/>
    </row>
    <row r="1047" spans="30:113" ht="6.95" customHeight="1" x14ac:dyDescent="0.15">
      <c r="AD1047" s="93"/>
      <c r="AE1047" s="93"/>
      <c r="AF1047" s="93"/>
      <c r="AG1047" s="93"/>
      <c r="AH1047" s="93"/>
      <c r="AI1047" s="93"/>
      <c r="AJ1047" s="93"/>
      <c r="AK1047" s="93"/>
      <c r="AL1047" s="93"/>
      <c r="AM1047" s="93"/>
      <c r="AN1047" s="93"/>
      <c r="AO1047" s="93"/>
      <c r="AP1047" s="93"/>
      <c r="AQ1047" s="93"/>
      <c r="AR1047" s="93"/>
      <c r="AS1047" s="93"/>
      <c r="AT1047" s="93"/>
      <c r="AU1047" s="93"/>
      <c r="AV1047" s="93"/>
      <c r="AW1047" s="93"/>
      <c r="AX1047" s="93"/>
      <c r="AY1047" s="93"/>
      <c r="AZ1047" s="93"/>
      <c r="BA1047" s="93"/>
      <c r="BB1047" s="93"/>
      <c r="BC1047" s="93"/>
      <c r="BD1047" s="93"/>
      <c r="BE1047" s="93"/>
      <c r="BF1047" s="93"/>
      <c r="BG1047" s="93"/>
      <c r="BH1047" s="93"/>
      <c r="BI1047" s="93"/>
      <c r="BJ1047" s="93"/>
      <c r="BK1047" s="93"/>
      <c r="BL1047" s="93"/>
      <c r="BM1047" s="93"/>
      <c r="BN1047" s="93"/>
      <c r="BO1047" s="93"/>
      <c r="BP1047" s="93"/>
      <c r="BQ1047" s="93"/>
      <c r="BR1047" s="93"/>
      <c r="BS1047" s="93"/>
      <c r="BT1047" s="93"/>
      <c r="BU1047" s="93"/>
      <c r="BV1047" s="93"/>
      <c r="BW1047" s="93"/>
      <c r="BX1047" s="93"/>
      <c r="BY1047" s="93"/>
      <c r="BZ1047" s="93"/>
      <c r="CA1047" s="93"/>
      <c r="CB1047" s="93"/>
      <c r="CC1047" s="93"/>
      <c r="CD1047" s="93"/>
      <c r="CE1047" s="93"/>
      <c r="CF1047" s="93"/>
      <c r="CG1047" s="93"/>
      <c r="CH1047" s="93"/>
      <c r="CI1047" s="93"/>
      <c r="CJ1047" s="93"/>
      <c r="CK1047" s="93"/>
      <c r="CL1047" s="93"/>
      <c r="CM1047" s="93"/>
      <c r="CN1047" s="93"/>
      <c r="CO1047" s="93"/>
      <c r="CP1047" s="93"/>
      <c r="CQ1047" s="93"/>
      <c r="CR1047" s="93"/>
      <c r="CS1047" s="93"/>
      <c r="CT1047" s="93"/>
      <c r="CU1047" s="93"/>
      <c r="CV1047" s="93"/>
      <c r="CW1047" s="93"/>
      <c r="CX1047" s="93"/>
      <c r="CY1047" s="93"/>
      <c r="CZ1047" s="93"/>
      <c r="DA1047" s="93"/>
      <c r="DB1047" s="93"/>
      <c r="DC1047" s="93"/>
      <c r="DD1047" s="93"/>
      <c r="DE1047" s="93"/>
      <c r="DF1047" s="93"/>
      <c r="DG1047" s="93"/>
      <c r="DH1047" s="93"/>
      <c r="DI1047" s="93"/>
    </row>
    <row r="1048" spans="30:113" ht="6.95" customHeight="1" x14ac:dyDescent="0.15">
      <c r="AD1048" s="93"/>
      <c r="AE1048" s="93"/>
      <c r="AF1048" s="93"/>
      <c r="AG1048" s="93"/>
      <c r="AH1048" s="93"/>
      <c r="AI1048" s="93"/>
      <c r="AJ1048" s="93"/>
      <c r="AK1048" s="93"/>
      <c r="AL1048" s="93"/>
      <c r="AM1048" s="93"/>
      <c r="AN1048" s="93"/>
      <c r="AO1048" s="93"/>
      <c r="AP1048" s="93"/>
      <c r="AQ1048" s="93"/>
      <c r="AR1048" s="93"/>
      <c r="AS1048" s="93"/>
      <c r="AT1048" s="93"/>
      <c r="AU1048" s="93"/>
      <c r="AV1048" s="93"/>
      <c r="AW1048" s="93"/>
      <c r="AX1048" s="93"/>
      <c r="AY1048" s="93"/>
      <c r="AZ1048" s="93"/>
      <c r="BA1048" s="93"/>
      <c r="BB1048" s="93"/>
      <c r="BC1048" s="93"/>
      <c r="BD1048" s="93"/>
      <c r="BE1048" s="93"/>
      <c r="BF1048" s="93"/>
      <c r="BG1048" s="93"/>
      <c r="BH1048" s="93"/>
      <c r="BI1048" s="93"/>
      <c r="BJ1048" s="93"/>
      <c r="BK1048" s="93"/>
      <c r="BL1048" s="93"/>
      <c r="BM1048" s="93"/>
      <c r="BN1048" s="93"/>
      <c r="BO1048" s="93"/>
      <c r="BP1048" s="93"/>
      <c r="BQ1048" s="93"/>
      <c r="BR1048" s="93"/>
      <c r="BS1048" s="93"/>
      <c r="BT1048" s="93"/>
      <c r="BU1048" s="93"/>
      <c r="BV1048" s="93"/>
      <c r="BW1048" s="93"/>
      <c r="BX1048" s="93"/>
      <c r="BY1048" s="93"/>
      <c r="BZ1048" s="93"/>
      <c r="CA1048" s="93"/>
      <c r="CB1048" s="93"/>
      <c r="CC1048" s="93"/>
      <c r="CD1048" s="93"/>
      <c r="CE1048" s="93"/>
      <c r="CF1048" s="93"/>
      <c r="CG1048" s="93"/>
      <c r="CH1048" s="93"/>
      <c r="CI1048" s="93"/>
      <c r="CJ1048" s="93"/>
      <c r="CK1048" s="93"/>
      <c r="CL1048" s="93"/>
      <c r="CM1048" s="93"/>
      <c r="CN1048" s="93"/>
      <c r="CO1048" s="93"/>
      <c r="CP1048" s="93"/>
      <c r="CQ1048" s="93"/>
      <c r="CR1048" s="93"/>
      <c r="CS1048" s="93"/>
      <c r="CT1048" s="93"/>
      <c r="CU1048" s="93"/>
      <c r="CV1048" s="93"/>
      <c r="CW1048" s="93"/>
      <c r="CX1048" s="93"/>
      <c r="CY1048" s="93"/>
      <c r="CZ1048" s="93"/>
      <c r="DA1048" s="93"/>
      <c r="DB1048" s="93"/>
      <c r="DC1048" s="93"/>
      <c r="DD1048" s="93"/>
      <c r="DE1048" s="93"/>
      <c r="DF1048" s="93"/>
      <c r="DG1048" s="93"/>
      <c r="DH1048" s="93"/>
      <c r="DI1048" s="93"/>
    </row>
    <row r="1049" spans="30:113" ht="6.95" customHeight="1" x14ac:dyDescent="0.15">
      <c r="AD1049" s="93"/>
      <c r="AE1049" s="93"/>
      <c r="AF1049" s="93"/>
      <c r="AG1049" s="93"/>
      <c r="AH1049" s="93"/>
      <c r="AI1049" s="93"/>
      <c r="AJ1049" s="93"/>
      <c r="AK1049" s="93"/>
      <c r="AL1049" s="93"/>
      <c r="AM1049" s="93"/>
      <c r="AN1049" s="93"/>
      <c r="AO1049" s="93"/>
      <c r="AP1049" s="93"/>
      <c r="AQ1049" s="93"/>
      <c r="AR1049" s="93"/>
      <c r="AS1049" s="93"/>
      <c r="AT1049" s="93"/>
      <c r="AU1049" s="93"/>
      <c r="AV1049" s="93"/>
      <c r="AW1049" s="93"/>
      <c r="AX1049" s="93"/>
      <c r="AY1049" s="93"/>
      <c r="AZ1049" s="93"/>
      <c r="BA1049" s="93"/>
      <c r="BB1049" s="93"/>
      <c r="BC1049" s="93"/>
      <c r="BD1049" s="93"/>
      <c r="BE1049" s="93"/>
      <c r="BF1049" s="93"/>
      <c r="BG1049" s="93"/>
      <c r="BH1049" s="93"/>
      <c r="BI1049" s="93"/>
      <c r="BJ1049" s="93"/>
      <c r="BK1049" s="93"/>
      <c r="BL1049" s="93"/>
      <c r="BM1049" s="93"/>
      <c r="BN1049" s="93"/>
      <c r="BO1049" s="93"/>
      <c r="BP1049" s="93"/>
      <c r="BQ1049" s="93"/>
      <c r="BR1049" s="93"/>
      <c r="BS1049" s="93"/>
      <c r="BT1049" s="93"/>
      <c r="BU1049" s="93"/>
      <c r="BV1049" s="93"/>
      <c r="BW1049" s="93"/>
      <c r="BX1049" s="93"/>
      <c r="BY1049" s="93"/>
      <c r="BZ1049" s="93"/>
      <c r="CA1049" s="93"/>
      <c r="CB1049" s="93"/>
      <c r="CC1049" s="93"/>
      <c r="CD1049" s="93"/>
      <c r="CE1049" s="93"/>
      <c r="CF1049" s="93"/>
      <c r="CG1049" s="93"/>
      <c r="CH1049" s="93"/>
      <c r="CI1049" s="93"/>
      <c r="CJ1049" s="93"/>
      <c r="CK1049" s="93"/>
      <c r="CL1049" s="93"/>
      <c r="CM1049" s="93"/>
      <c r="CN1049" s="93"/>
      <c r="CO1049" s="93"/>
      <c r="CP1049" s="93"/>
      <c r="CQ1049" s="93"/>
      <c r="CR1049" s="93"/>
      <c r="CS1049" s="93"/>
      <c r="CT1049" s="93"/>
      <c r="CU1049" s="93"/>
      <c r="CV1049" s="93"/>
      <c r="CW1049" s="93"/>
      <c r="CX1049" s="93"/>
      <c r="CY1049" s="93"/>
      <c r="CZ1049" s="93"/>
      <c r="DA1049" s="93"/>
      <c r="DB1049" s="93"/>
      <c r="DC1049" s="93"/>
      <c r="DD1049" s="93"/>
      <c r="DE1049" s="93"/>
      <c r="DF1049" s="93"/>
      <c r="DG1049" s="93"/>
      <c r="DH1049" s="93"/>
      <c r="DI1049" s="93"/>
    </row>
    <row r="1050" spans="30:113" ht="6.95" customHeight="1" x14ac:dyDescent="0.15">
      <c r="AD1050" s="93"/>
      <c r="AE1050" s="93"/>
      <c r="AF1050" s="93"/>
      <c r="AG1050" s="93"/>
      <c r="AH1050" s="93"/>
      <c r="AI1050" s="93"/>
      <c r="AJ1050" s="93"/>
      <c r="AK1050" s="93"/>
      <c r="AL1050" s="93"/>
      <c r="AM1050" s="93"/>
      <c r="AN1050" s="93"/>
      <c r="AO1050" s="93"/>
      <c r="AP1050" s="93"/>
      <c r="AQ1050" s="93"/>
      <c r="AR1050" s="93"/>
      <c r="AS1050" s="93"/>
      <c r="AT1050" s="93"/>
      <c r="AU1050" s="93"/>
      <c r="AV1050" s="93"/>
      <c r="AW1050" s="93"/>
      <c r="AX1050" s="93"/>
      <c r="AY1050" s="93"/>
      <c r="AZ1050" s="93"/>
      <c r="BA1050" s="93"/>
      <c r="BB1050" s="93"/>
      <c r="BC1050" s="93"/>
      <c r="BD1050" s="93"/>
      <c r="BE1050" s="93"/>
      <c r="BF1050" s="93"/>
      <c r="BG1050" s="93"/>
      <c r="BH1050" s="93"/>
      <c r="BI1050" s="93"/>
      <c r="BJ1050" s="93"/>
      <c r="BK1050" s="93"/>
      <c r="BL1050" s="93"/>
      <c r="BM1050" s="93"/>
      <c r="BN1050" s="93"/>
      <c r="BO1050" s="93"/>
      <c r="BP1050" s="93"/>
      <c r="BQ1050" s="93"/>
      <c r="BR1050" s="93"/>
      <c r="BS1050" s="93"/>
      <c r="BT1050" s="93"/>
      <c r="BU1050" s="93"/>
      <c r="BV1050" s="93"/>
      <c r="BW1050" s="93"/>
      <c r="BX1050" s="93"/>
      <c r="BY1050" s="93"/>
      <c r="BZ1050" s="93"/>
      <c r="CA1050" s="93"/>
      <c r="CB1050" s="93"/>
      <c r="CC1050" s="93"/>
      <c r="CD1050" s="93"/>
      <c r="CE1050" s="93"/>
      <c r="CF1050" s="93"/>
      <c r="CG1050" s="93"/>
      <c r="CH1050" s="93"/>
      <c r="CI1050" s="93"/>
      <c r="CJ1050" s="93"/>
      <c r="CK1050" s="93"/>
      <c r="CL1050" s="93"/>
      <c r="CM1050" s="93"/>
      <c r="CN1050" s="93"/>
      <c r="CO1050" s="93"/>
      <c r="CP1050" s="93"/>
      <c r="CQ1050" s="93"/>
      <c r="CR1050" s="93"/>
      <c r="CS1050" s="93"/>
      <c r="CT1050" s="93"/>
      <c r="CU1050" s="93"/>
      <c r="CV1050" s="93"/>
      <c r="CW1050" s="93"/>
      <c r="CX1050" s="93"/>
      <c r="CY1050" s="93"/>
      <c r="CZ1050" s="93"/>
      <c r="DA1050" s="93"/>
      <c r="DB1050" s="93"/>
      <c r="DC1050" s="93"/>
      <c r="DD1050" s="93"/>
      <c r="DE1050" s="93"/>
      <c r="DF1050" s="93"/>
      <c r="DG1050" s="93"/>
      <c r="DH1050" s="93"/>
      <c r="DI1050" s="93"/>
    </row>
    <row r="1051" spans="30:113" ht="6.95" customHeight="1" x14ac:dyDescent="0.15">
      <c r="AD1051" s="93"/>
      <c r="AE1051" s="93"/>
      <c r="AF1051" s="93"/>
      <c r="AG1051" s="93"/>
      <c r="AH1051" s="93"/>
      <c r="AI1051" s="93"/>
      <c r="AJ1051" s="93"/>
      <c r="AK1051" s="93"/>
      <c r="AL1051" s="93"/>
      <c r="AM1051" s="93"/>
      <c r="AN1051" s="93"/>
      <c r="AO1051" s="93"/>
      <c r="AP1051" s="93"/>
      <c r="AQ1051" s="93"/>
      <c r="AR1051" s="93"/>
      <c r="AS1051" s="93"/>
      <c r="AT1051" s="93"/>
      <c r="AU1051" s="93"/>
      <c r="AV1051" s="93"/>
      <c r="AW1051" s="93"/>
      <c r="AX1051" s="93"/>
      <c r="AY1051" s="93"/>
      <c r="AZ1051" s="93"/>
      <c r="BA1051" s="93"/>
      <c r="BB1051" s="93"/>
      <c r="BC1051" s="93"/>
      <c r="BD1051" s="93"/>
      <c r="BE1051" s="93"/>
      <c r="BF1051" s="93"/>
      <c r="BG1051" s="93"/>
      <c r="BH1051" s="93"/>
      <c r="BI1051" s="93"/>
      <c r="BJ1051" s="93"/>
      <c r="BK1051" s="93"/>
      <c r="BL1051" s="93"/>
      <c r="BM1051" s="93"/>
      <c r="BN1051" s="93"/>
      <c r="BO1051" s="93"/>
      <c r="BP1051" s="93"/>
      <c r="BQ1051" s="93"/>
      <c r="BR1051" s="93"/>
      <c r="BS1051" s="93"/>
      <c r="BT1051" s="93"/>
      <c r="BU1051" s="93"/>
      <c r="BV1051" s="93"/>
      <c r="BW1051" s="93"/>
      <c r="BX1051" s="93"/>
      <c r="BY1051" s="93"/>
      <c r="BZ1051" s="93"/>
      <c r="CA1051" s="93"/>
      <c r="CB1051" s="93"/>
      <c r="CC1051" s="93"/>
      <c r="CD1051" s="93"/>
      <c r="CE1051" s="93"/>
      <c r="CF1051" s="93"/>
      <c r="CG1051" s="93"/>
      <c r="CH1051" s="93"/>
      <c r="CI1051" s="93"/>
      <c r="CJ1051" s="93"/>
      <c r="CK1051" s="93"/>
      <c r="CL1051" s="93"/>
      <c r="CM1051" s="93"/>
      <c r="CN1051" s="93"/>
      <c r="CO1051" s="93"/>
      <c r="CP1051" s="93"/>
      <c r="CQ1051" s="93"/>
      <c r="CR1051" s="93"/>
      <c r="CS1051" s="93"/>
      <c r="CT1051" s="93"/>
      <c r="CU1051" s="93"/>
      <c r="CV1051" s="93"/>
      <c r="CW1051" s="93"/>
      <c r="CX1051" s="93"/>
      <c r="CY1051" s="93"/>
      <c r="CZ1051" s="93"/>
      <c r="DA1051" s="93"/>
      <c r="DB1051" s="93"/>
      <c r="DC1051" s="93"/>
      <c r="DD1051" s="93"/>
      <c r="DE1051" s="93"/>
      <c r="DF1051" s="93"/>
      <c r="DG1051" s="93"/>
      <c r="DH1051" s="93"/>
      <c r="DI1051" s="93"/>
    </row>
    <row r="1052" spans="30:113" ht="6.95" customHeight="1" x14ac:dyDescent="0.15">
      <c r="AD1052" s="93"/>
      <c r="AE1052" s="93"/>
      <c r="AF1052" s="93"/>
      <c r="AG1052" s="93"/>
      <c r="AH1052" s="93"/>
      <c r="AI1052" s="93"/>
      <c r="AJ1052" s="93"/>
      <c r="AK1052" s="93"/>
      <c r="AL1052" s="93"/>
      <c r="AM1052" s="93"/>
      <c r="AN1052" s="93"/>
      <c r="AO1052" s="93"/>
      <c r="AP1052" s="93"/>
      <c r="AQ1052" s="93"/>
      <c r="AR1052" s="93"/>
      <c r="AS1052" s="93"/>
      <c r="AT1052" s="93"/>
      <c r="AU1052" s="93"/>
      <c r="AV1052" s="93"/>
      <c r="AW1052" s="93"/>
      <c r="AX1052" s="93"/>
      <c r="AY1052" s="93"/>
      <c r="AZ1052" s="93"/>
      <c r="BA1052" s="93"/>
      <c r="BB1052" s="93"/>
      <c r="BC1052" s="93"/>
      <c r="BD1052" s="93"/>
      <c r="BE1052" s="93"/>
      <c r="BF1052" s="93"/>
      <c r="BG1052" s="93"/>
      <c r="BH1052" s="93"/>
      <c r="BI1052" s="93"/>
      <c r="BJ1052" s="93"/>
      <c r="BK1052" s="93"/>
      <c r="BL1052" s="93"/>
      <c r="BM1052" s="93"/>
      <c r="BN1052" s="93"/>
      <c r="BO1052" s="93"/>
      <c r="BP1052" s="93"/>
      <c r="BQ1052" s="93"/>
      <c r="BR1052" s="93"/>
      <c r="BS1052" s="93"/>
      <c r="BT1052" s="93"/>
      <c r="BU1052" s="93"/>
      <c r="BV1052" s="93"/>
      <c r="BW1052" s="93"/>
      <c r="BX1052" s="93"/>
      <c r="BY1052" s="93"/>
      <c r="BZ1052" s="93"/>
      <c r="CA1052" s="93"/>
      <c r="CB1052" s="93"/>
      <c r="CC1052" s="93"/>
      <c r="CD1052" s="93"/>
      <c r="CE1052" s="93"/>
      <c r="CF1052" s="93"/>
      <c r="CG1052" s="93"/>
      <c r="CH1052" s="93"/>
      <c r="CI1052" s="93"/>
      <c r="CJ1052" s="93"/>
      <c r="CK1052" s="93"/>
      <c r="CL1052" s="93"/>
      <c r="CM1052" s="93"/>
      <c r="CN1052" s="93"/>
      <c r="CO1052" s="93"/>
      <c r="CP1052" s="93"/>
      <c r="CQ1052" s="93"/>
      <c r="CR1052" s="93"/>
      <c r="CS1052" s="93"/>
      <c r="CT1052" s="93"/>
      <c r="CU1052" s="93"/>
      <c r="CV1052" s="93"/>
      <c r="CW1052" s="93"/>
      <c r="CX1052" s="93"/>
      <c r="CY1052" s="93"/>
      <c r="CZ1052" s="93"/>
      <c r="DA1052" s="93"/>
      <c r="DB1052" s="93"/>
      <c r="DC1052" s="93"/>
      <c r="DD1052" s="93"/>
      <c r="DE1052" s="93"/>
      <c r="DF1052" s="93"/>
      <c r="DG1052" s="93"/>
      <c r="DH1052" s="93"/>
      <c r="DI1052" s="93"/>
    </row>
    <row r="1053" spans="30:113" ht="6.95" customHeight="1" x14ac:dyDescent="0.15">
      <c r="AD1053" s="93"/>
      <c r="AE1053" s="93"/>
      <c r="AF1053" s="93"/>
      <c r="AG1053" s="93"/>
      <c r="AH1053" s="93"/>
      <c r="AI1053" s="93"/>
      <c r="AJ1053" s="93"/>
      <c r="AK1053" s="93"/>
      <c r="AL1053" s="93"/>
      <c r="AM1053" s="93"/>
      <c r="AN1053" s="93"/>
      <c r="AO1053" s="93"/>
      <c r="AP1053" s="93"/>
      <c r="AQ1053" s="93"/>
      <c r="AR1053" s="93"/>
      <c r="AS1053" s="93"/>
      <c r="AT1053" s="93"/>
      <c r="AU1053" s="93"/>
      <c r="AV1053" s="93"/>
      <c r="AW1053" s="93"/>
      <c r="AX1053" s="93"/>
      <c r="AY1053" s="93"/>
      <c r="AZ1053" s="93"/>
      <c r="BA1053" s="93"/>
      <c r="BB1053" s="93"/>
      <c r="BC1053" s="93"/>
      <c r="BD1053" s="93"/>
      <c r="BE1053" s="93"/>
      <c r="BF1053" s="93"/>
      <c r="BG1053" s="93"/>
      <c r="BH1053" s="93"/>
      <c r="BI1053" s="93"/>
      <c r="BJ1053" s="93"/>
      <c r="BK1053" s="93"/>
      <c r="BL1053" s="93"/>
      <c r="BM1053" s="93"/>
      <c r="BN1053" s="93"/>
      <c r="BO1053" s="93"/>
      <c r="BP1053" s="93"/>
      <c r="BQ1053" s="93"/>
      <c r="BR1053" s="93"/>
      <c r="BS1053" s="93"/>
      <c r="BT1053" s="93"/>
      <c r="BU1053" s="93"/>
      <c r="BV1053" s="93"/>
      <c r="BW1053" s="93"/>
      <c r="BX1053" s="93"/>
      <c r="BY1053" s="93"/>
      <c r="BZ1053" s="93"/>
      <c r="CA1053" s="93"/>
      <c r="CB1053" s="93"/>
      <c r="CC1053" s="93"/>
      <c r="CD1053" s="93"/>
      <c r="CE1053" s="93"/>
      <c r="CF1053" s="93"/>
      <c r="CG1053" s="93"/>
      <c r="CH1053" s="93"/>
      <c r="CI1053" s="93"/>
      <c r="CJ1053" s="93"/>
      <c r="CK1053" s="93"/>
      <c r="CL1053" s="93"/>
      <c r="CM1053" s="93"/>
      <c r="CN1053" s="93"/>
      <c r="CO1053" s="93"/>
      <c r="CP1053" s="93"/>
      <c r="CQ1053" s="93"/>
      <c r="CR1053" s="93"/>
      <c r="CS1053" s="93"/>
      <c r="CT1053" s="93"/>
      <c r="CU1053" s="93"/>
      <c r="CV1053" s="93"/>
      <c r="CW1053" s="93"/>
      <c r="CX1053" s="93"/>
      <c r="CY1053" s="93"/>
      <c r="CZ1053" s="93"/>
      <c r="DA1053" s="93"/>
      <c r="DB1053" s="93"/>
      <c r="DC1053" s="93"/>
      <c r="DD1053" s="93"/>
      <c r="DE1053" s="93"/>
      <c r="DF1053" s="93"/>
      <c r="DG1053" s="93"/>
      <c r="DH1053" s="93"/>
      <c r="DI1053" s="93"/>
    </row>
    <row r="1054" spans="30:113" ht="6.95" customHeight="1" x14ac:dyDescent="0.15">
      <c r="AD1054" s="93"/>
      <c r="AE1054" s="93"/>
      <c r="AF1054" s="93"/>
      <c r="AG1054" s="93"/>
      <c r="AH1054" s="93"/>
      <c r="AI1054" s="93"/>
      <c r="AJ1054" s="93"/>
      <c r="AK1054" s="93"/>
      <c r="AL1054" s="93"/>
      <c r="AM1054" s="93"/>
      <c r="AN1054" s="93"/>
      <c r="AO1054" s="93"/>
      <c r="AP1054" s="93"/>
      <c r="AQ1054" s="93"/>
      <c r="AR1054" s="93"/>
      <c r="AS1054" s="93"/>
      <c r="AT1054" s="93"/>
      <c r="AU1054" s="93"/>
      <c r="AV1054" s="93"/>
      <c r="AW1054" s="93"/>
      <c r="AX1054" s="93"/>
      <c r="AY1054" s="93"/>
      <c r="AZ1054" s="93"/>
      <c r="BA1054" s="93"/>
      <c r="BB1054" s="93"/>
      <c r="BC1054" s="93"/>
      <c r="BD1054" s="93"/>
      <c r="BE1054" s="93"/>
      <c r="BF1054" s="93"/>
      <c r="BG1054" s="93"/>
      <c r="BH1054" s="93"/>
      <c r="BI1054" s="93"/>
      <c r="BJ1054" s="93"/>
      <c r="BK1054" s="93"/>
      <c r="BL1054" s="93"/>
      <c r="BM1054" s="93"/>
      <c r="BN1054" s="93"/>
      <c r="BO1054" s="93"/>
      <c r="BP1054" s="93"/>
      <c r="BQ1054" s="93"/>
      <c r="BR1054" s="93"/>
      <c r="BS1054" s="93"/>
      <c r="BT1054" s="93"/>
      <c r="BU1054" s="93"/>
      <c r="BV1054" s="93"/>
      <c r="BW1054" s="93"/>
      <c r="BX1054" s="93"/>
      <c r="BY1054" s="93"/>
      <c r="BZ1054" s="93"/>
      <c r="CA1054" s="93"/>
      <c r="CB1054" s="93"/>
      <c r="CC1054" s="93"/>
      <c r="CD1054" s="93"/>
      <c r="CE1054" s="93"/>
      <c r="CF1054" s="93"/>
      <c r="CG1054" s="93"/>
      <c r="CH1054" s="93"/>
      <c r="CI1054" s="93"/>
      <c r="CJ1054" s="93"/>
      <c r="CK1054" s="93"/>
      <c r="CL1054" s="93"/>
      <c r="CM1054" s="93"/>
      <c r="CN1054" s="93"/>
      <c r="CO1054" s="93"/>
      <c r="CP1054" s="93"/>
      <c r="CQ1054" s="93"/>
      <c r="CR1054" s="93"/>
      <c r="CS1054" s="93"/>
      <c r="CT1054" s="93"/>
      <c r="CU1054" s="93"/>
      <c r="CV1054" s="93"/>
      <c r="CW1054" s="93"/>
      <c r="CX1054" s="93"/>
      <c r="CY1054" s="93"/>
      <c r="CZ1054" s="93"/>
      <c r="DA1054" s="93"/>
      <c r="DB1054" s="93"/>
      <c r="DC1054" s="93"/>
      <c r="DD1054" s="93"/>
      <c r="DE1054" s="93"/>
      <c r="DF1054" s="93"/>
      <c r="DG1054" s="93"/>
      <c r="DH1054" s="93"/>
      <c r="DI1054" s="93"/>
    </row>
    <row r="1055" spans="30:113" ht="6.95" customHeight="1" x14ac:dyDescent="0.15">
      <c r="AD1055" s="93"/>
      <c r="AE1055" s="93"/>
      <c r="AF1055" s="93"/>
      <c r="AG1055" s="93"/>
      <c r="AH1055" s="93"/>
      <c r="AI1055" s="93"/>
      <c r="AJ1055" s="93"/>
      <c r="AK1055" s="93"/>
      <c r="AL1055" s="93"/>
      <c r="AM1055" s="93"/>
      <c r="AN1055" s="93"/>
      <c r="AO1055" s="93"/>
      <c r="AP1055" s="93"/>
      <c r="AQ1055" s="93"/>
      <c r="AR1055" s="93"/>
      <c r="AS1055" s="93"/>
      <c r="AT1055" s="93"/>
      <c r="AU1055" s="93"/>
      <c r="AV1055" s="93"/>
      <c r="AW1055" s="93"/>
      <c r="AX1055" s="93"/>
      <c r="AY1055" s="93"/>
      <c r="AZ1055" s="93"/>
      <c r="BA1055" s="93"/>
      <c r="BB1055" s="93"/>
      <c r="BC1055" s="93"/>
      <c r="BD1055" s="93"/>
      <c r="BE1055" s="93"/>
      <c r="BF1055" s="93"/>
      <c r="BG1055" s="93"/>
      <c r="BH1055" s="93"/>
      <c r="BI1055" s="93"/>
      <c r="BJ1055" s="93"/>
      <c r="BK1055" s="93"/>
      <c r="BL1055" s="93"/>
      <c r="BM1055" s="93"/>
      <c r="BN1055" s="93"/>
      <c r="BO1055" s="93"/>
      <c r="BP1055" s="93"/>
      <c r="BQ1055" s="93"/>
      <c r="BR1055" s="93"/>
      <c r="BS1055" s="93"/>
      <c r="BT1055" s="93"/>
      <c r="BU1055" s="93"/>
      <c r="BV1055" s="93"/>
      <c r="BW1055" s="93"/>
      <c r="BX1055" s="93"/>
      <c r="BY1055" s="93"/>
      <c r="BZ1055" s="93"/>
      <c r="CA1055" s="93"/>
      <c r="CB1055" s="93"/>
      <c r="CC1055" s="93"/>
      <c r="CD1055" s="93"/>
      <c r="CE1055" s="93"/>
      <c r="CF1055" s="93"/>
      <c r="CG1055" s="93"/>
      <c r="CH1055" s="93"/>
      <c r="CI1055" s="93"/>
      <c r="CJ1055" s="93"/>
      <c r="CK1055" s="93"/>
      <c r="CL1055" s="93"/>
      <c r="CM1055" s="93"/>
      <c r="CN1055" s="93"/>
      <c r="CO1055" s="93"/>
      <c r="CP1055" s="93"/>
      <c r="CQ1055" s="93"/>
      <c r="CR1055" s="93"/>
      <c r="CS1055" s="93"/>
      <c r="CT1055" s="93"/>
      <c r="CU1055" s="93"/>
      <c r="CV1055" s="93"/>
      <c r="CW1055" s="93"/>
      <c r="CX1055" s="93"/>
      <c r="CY1055" s="93"/>
      <c r="CZ1055" s="93"/>
      <c r="DA1055" s="93"/>
      <c r="DB1055" s="93"/>
      <c r="DC1055" s="93"/>
      <c r="DD1055" s="93"/>
      <c r="DE1055" s="93"/>
      <c r="DF1055" s="93"/>
      <c r="DG1055" s="93"/>
      <c r="DH1055" s="93"/>
      <c r="DI1055" s="93"/>
    </row>
    <row r="1056" spans="30:113" ht="6.95" customHeight="1" x14ac:dyDescent="0.15">
      <c r="AD1056" s="93"/>
      <c r="AE1056" s="93"/>
      <c r="AF1056" s="93"/>
      <c r="AG1056" s="93"/>
      <c r="AH1056" s="93"/>
      <c r="AI1056" s="93"/>
      <c r="AJ1056" s="93"/>
      <c r="AK1056" s="93"/>
      <c r="AL1056" s="93"/>
      <c r="AM1056" s="93"/>
      <c r="AN1056" s="93"/>
      <c r="AO1056" s="93"/>
      <c r="AP1056" s="93"/>
      <c r="AQ1056" s="93"/>
      <c r="AR1056" s="93"/>
      <c r="AS1056" s="93"/>
      <c r="AT1056" s="93"/>
      <c r="AU1056" s="93"/>
      <c r="AV1056" s="93"/>
      <c r="AW1056" s="93"/>
      <c r="AX1056" s="93"/>
      <c r="AY1056" s="93"/>
      <c r="AZ1056" s="93"/>
      <c r="BA1056" s="93"/>
      <c r="BB1056" s="93"/>
      <c r="BC1056" s="93"/>
      <c r="BD1056" s="93"/>
      <c r="BE1056" s="93"/>
      <c r="BF1056" s="93"/>
      <c r="BG1056" s="93"/>
      <c r="BH1056" s="93"/>
      <c r="BI1056" s="93"/>
      <c r="BJ1056" s="93"/>
      <c r="BK1056" s="93"/>
      <c r="BL1056" s="93"/>
      <c r="BM1056" s="93"/>
      <c r="BN1056" s="93"/>
      <c r="BO1056" s="93"/>
      <c r="BP1056" s="93"/>
      <c r="BQ1056" s="93"/>
      <c r="BR1056" s="93"/>
      <c r="BS1056" s="93"/>
      <c r="BT1056" s="93"/>
      <c r="BU1056" s="93"/>
      <c r="BV1056" s="93"/>
      <c r="BW1056" s="93"/>
      <c r="BX1056" s="93"/>
      <c r="BY1056" s="93"/>
      <c r="BZ1056" s="93"/>
      <c r="CA1056" s="93"/>
      <c r="CB1056" s="93"/>
      <c r="CC1056" s="93"/>
      <c r="CD1056" s="93"/>
      <c r="CE1056" s="93"/>
      <c r="CF1056" s="93"/>
      <c r="CG1056" s="93"/>
      <c r="CH1056" s="93"/>
      <c r="CI1056" s="93"/>
      <c r="CJ1056" s="93"/>
      <c r="CK1056" s="93"/>
      <c r="CL1056" s="93"/>
      <c r="CM1056" s="93"/>
      <c r="CN1056" s="93"/>
      <c r="CO1056" s="93"/>
      <c r="CP1056" s="93"/>
      <c r="CQ1056" s="93"/>
      <c r="CR1056" s="93"/>
      <c r="CS1056" s="93"/>
      <c r="CT1056" s="93"/>
      <c r="CU1056" s="93"/>
      <c r="CV1056" s="93"/>
      <c r="CW1056" s="93"/>
      <c r="CX1056" s="93"/>
      <c r="CY1056" s="93"/>
      <c r="CZ1056" s="93"/>
      <c r="DA1056" s="93"/>
      <c r="DB1056" s="93"/>
      <c r="DC1056" s="93"/>
      <c r="DD1056" s="93"/>
      <c r="DE1056" s="93"/>
      <c r="DF1056" s="93"/>
      <c r="DG1056" s="93"/>
      <c r="DH1056" s="93"/>
      <c r="DI1056" s="93"/>
    </row>
    <row r="1057" spans="30:113" ht="6.95" customHeight="1" x14ac:dyDescent="0.15">
      <c r="AD1057" s="93"/>
      <c r="AE1057" s="93"/>
      <c r="AF1057" s="93"/>
      <c r="AG1057" s="93"/>
      <c r="AH1057" s="93"/>
      <c r="AI1057" s="93"/>
      <c r="AJ1057" s="93"/>
      <c r="AK1057" s="93"/>
      <c r="AL1057" s="93"/>
      <c r="AM1057" s="93"/>
      <c r="AN1057" s="93"/>
      <c r="AO1057" s="93"/>
      <c r="AP1057" s="93"/>
      <c r="AQ1057" s="93"/>
      <c r="AR1057" s="93"/>
      <c r="AS1057" s="93"/>
      <c r="AT1057" s="93"/>
      <c r="AU1057" s="93"/>
      <c r="AV1057" s="93"/>
      <c r="AW1057" s="93"/>
      <c r="AX1057" s="93"/>
      <c r="AY1057" s="93"/>
      <c r="AZ1057" s="93"/>
      <c r="BA1057" s="93"/>
      <c r="BB1057" s="93"/>
      <c r="BC1057" s="93"/>
      <c r="BD1057" s="93"/>
      <c r="BE1057" s="93"/>
      <c r="BF1057" s="93"/>
      <c r="BG1057" s="93"/>
      <c r="BH1057" s="93"/>
      <c r="BI1057" s="93"/>
      <c r="BJ1057" s="93"/>
      <c r="BK1057" s="93"/>
      <c r="BL1057" s="93"/>
      <c r="BM1057" s="93"/>
      <c r="BN1057" s="93"/>
      <c r="BO1057" s="93"/>
      <c r="BP1057" s="93"/>
      <c r="BQ1057" s="93"/>
      <c r="BR1057" s="93"/>
      <c r="BS1057" s="93"/>
      <c r="BT1057" s="93"/>
      <c r="BU1057" s="93"/>
      <c r="BV1057" s="93"/>
      <c r="BW1057" s="93"/>
      <c r="BX1057" s="93"/>
      <c r="BY1057" s="93"/>
      <c r="BZ1057" s="93"/>
      <c r="CA1057" s="93"/>
      <c r="CB1057" s="93"/>
      <c r="CC1057" s="93"/>
      <c r="CD1057" s="93"/>
      <c r="CE1057" s="93"/>
      <c r="CF1057" s="93"/>
      <c r="CG1057" s="93"/>
      <c r="CH1057" s="93"/>
      <c r="CI1057" s="93"/>
      <c r="CJ1057" s="93"/>
      <c r="CK1057" s="93"/>
      <c r="CL1057" s="93"/>
      <c r="CM1057" s="93"/>
      <c r="CN1057" s="93"/>
      <c r="CO1057" s="93"/>
      <c r="CP1057" s="93"/>
      <c r="CQ1057" s="93"/>
      <c r="CR1057" s="93"/>
      <c r="CS1057" s="93"/>
      <c r="CT1057" s="93"/>
      <c r="CU1057" s="93"/>
      <c r="CV1057" s="93"/>
      <c r="CW1057" s="93"/>
      <c r="CX1057" s="93"/>
      <c r="CY1057" s="93"/>
      <c r="CZ1057" s="93"/>
      <c r="DA1057" s="93"/>
      <c r="DB1057" s="93"/>
      <c r="DC1057" s="93"/>
      <c r="DD1057" s="93"/>
      <c r="DE1057" s="93"/>
      <c r="DF1057" s="93"/>
      <c r="DG1057" s="93"/>
      <c r="DH1057" s="93"/>
      <c r="DI1057" s="93"/>
    </row>
    <row r="1058" spans="30:113" ht="6.95" customHeight="1" x14ac:dyDescent="0.15">
      <c r="AD1058" s="93"/>
      <c r="AE1058" s="93"/>
      <c r="AF1058" s="93"/>
      <c r="AG1058" s="93"/>
      <c r="AH1058" s="93"/>
      <c r="AI1058" s="93"/>
      <c r="AJ1058" s="93"/>
      <c r="AK1058" s="93"/>
      <c r="AL1058" s="93"/>
      <c r="AM1058" s="93"/>
      <c r="AN1058" s="93"/>
      <c r="AO1058" s="93"/>
      <c r="AP1058" s="93"/>
      <c r="AQ1058" s="93"/>
      <c r="AR1058" s="93"/>
      <c r="AS1058" s="93"/>
      <c r="AT1058" s="93"/>
      <c r="AU1058" s="93"/>
      <c r="AV1058" s="93"/>
      <c r="AW1058" s="93"/>
      <c r="AX1058" s="93"/>
      <c r="AY1058" s="93"/>
      <c r="AZ1058" s="93"/>
      <c r="BA1058" s="93"/>
      <c r="BB1058" s="93"/>
      <c r="BC1058" s="93"/>
      <c r="BD1058" s="93"/>
      <c r="BE1058" s="93"/>
      <c r="BF1058" s="93"/>
      <c r="BG1058" s="93"/>
      <c r="BH1058" s="93"/>
      <c r="BI1058" s="93"/>
      <c r="BJ1058" s="93"/>
      <c r="BK1058" s="93"/>
      <c r="BL1058" s="93"/>
      <c r="BM1058" s="93"/>
      <c r="BN1058" s="93"/>
      <c r="BO1058" s="93"/>
      <c r="BP1058" s="93"/>
      <c r="BQ1058" s="93"/>
      <c r="BR1058" s="93"/>
      <c r="BS1058" s="93"/>
      <c r="BT1058" s="93"/>
      <c r="BU1058" s="93"/>
      <c r="BV1058" s="93"/>
      <c r="BW1058" s="93"/>
      <c r="BX1058" s="93"/>
      <c r="BY1058" s="93"/>
      <c r="BZ1058" s="93"/>
      <c r="CA1058" s="93"/>
      <c r="CB1058" s="93"/>
      <c r="CC1058" s="93"/>
      <c r="CD1058" s="93"/>
      <c r="CE1058" s="93"/>
      <c r="CF1058" s="93"/>
      <c r="CG1058" s="93"/>
      <c r="CH1058" s="93"/>
      <c r="CI1058" s="93"/>
      <c r="CJ1058" s="93"/>
      <c r="CK1058" s="93"/>
      <c r="CL1058" s="93"/>
      <c r="CM1058" s="93"/>
      <c r="CN1058" s="93"/>
      <c r="CO1058" s="93"/>
      <c r="CP1058" s="93"/>
      <c r="CQ1058" s="93"/>
      <c r="CR1058" s="93"/>
      <c r="CS1058" s="93"/>
      <c r="CT1058" s="93"/>
      <c r="CU1058" s="93"/>
      <c r="CV1058" s="93"/>
      <c r="CW1058" s="93"/>
      <c r="CX1058" s="93"/>
      <c r="CY1058" s="93"/>
      <c r="CZ1058" s="93"/>
      <c r="DA1058" s="93"/>
      <c r="DB1058" s="93"/>
      <c r="DC1058" s="93"/>
      <c r="DD1058" s="93"/>
      <c r="DE1058" s="93"/>
      <c r="DF1058" s="93"/>
      <c r="DG1058" s="93"/>
      <c r="DH1058" s="93"/>
      <c r="DI1058" s="93"/>
    </row>
    <row r="1059" spans="30:113" ht="6.95" customHeight="1" x14ac:dyDescent="0.15">
      <c r="AD1059" s="93"/>
      <c r="AE1059" s="93"/>
      <c r="AF1059" s="93"/>
      <c r="AG1059" s="93"/>
      <c r="AH1059" s="93"/>
      <c r="AI1059" s="93"/>
      <c r="AJ1059" s="93"/>
      <c r="AK1059" s="93"/>
      <c r="AL1059" s="93"/>
      <c r="AM1059" s="93"/>
      <c r="AN1059" s="93"/>
      <c r="AO1059" s="93"/>
      <c r="AP1059" s="93"/>
      <c r="AQ1059" s="93"/>
      <c r="AR1059" s="93"/>
      <c r="AS1059" s="93"/>
      <c r="AT1059" s="93"/>
      <c r="AU1059" s="93"/>
      <c r="AV1059" s="93"/>
      <c r="AW1059" s="93"/>
      <c r="AX1059" s="93"/>
      <c r="AY1059" s="93"/>
      <c r="AZ1059" s="93"/>
      <c r="BA1059" s="93"/>
      <c r="BB1059" s="93"/>
      <c r="BC1059" s="93"/>
      <c r="BD1059" s="93"/>
      <c r="BE1059" s="93"/>
      <c r="BF1059" s="93"/>
      <c r="BG1059" s="93"/>
      <c r="BH1059" s="93"/>
      <c r="BI1059" s="93"/>
      <c r="BJ1059" s="93"/>
      <c r="BK1059" s="93"/>
      <c r="BL1059" s="93"/>
      <c r="BM1059" s="93"/>
      <c r="BN1059" s="93"/>
      <c r="BO1059" s="93"/>
      <c r="BP1059" s="93"/>
      <c r="BQ1059" s="93"/>
      <c r="BR1059" s="93"/>
      <c r="BS1059" s="93"/>
      <c r="BT1059" s="93"/>
      <c r="BU1059" s="93"/>
      <c r="BV1059" s="93"/>
      <c r="BW1059" s="93"/>
      <c r="BX1059" s="93"/>
      <c r="BY1059" s="93"/>
      <c r="BZ1059" s="93"/>
      <c r="CA1059" s="93"/>
      <c r="CB1059" s="93"/>
      <c r="CC1059" s="93"/>
      <c r="CD1059" s="93"/>
      <c r="CE1059" s="93"/>
      <c r="CF1059" s="93"/>
      <c r="CG1059" s="93"/>
      <c r="CH1059" s="93"/>
      <c r="CI1059" s="93"/>
      <c r="CJ1059" s="93"/>
      <c r="CK1059" s="93"/>
      <c r="CL1059" s="93"/>
      <c r="CM1059" s="93"/>
      <c r="CN1059" s="93"/>
      <c r="CO1059" s="93"/>
      <c r="CP1059" s="93"/>
      <c r="CQ1059" s="93"/>
      <c r="CR1059" s="93"/>
      <c r="CS1059" s="93"/>
      <c r="CT1059" s="93"/>
      <c r="CU1059" s="93"/>
      <c r="CV1059" s="93"/>
      <c r="CW1059" s="93"/>
      <c r="CX1059" s="93"/>
      <c r="CY1059" s="93"/>
      <c r="CZ1059" s="93"/>
      <c r="DA1059" s="93"/>
      <c r="DB1059" s="93"/>
      <c r="DC1059" s="93"/>
      <c r="DD1059" s="93"/>
      <c r="DE1059" s="93"/>
      <c r="DF1059" s="93"/>
      <c r="DG1059" s="93"/>
      <c r="DH1059" s="93"/>
      <c r="DI1059" s="93"/>
    </row>
    <row r="1060" spans="30:113" ht="6.95" customHeight="1" x14ac:dyDescent="0.15">
      <c r="AD1060" s="93"/>
      <c r="AE1060" s="93"/>
      <c r="AF1060" s="93"/>
      <c r="AG1060" s="93"/>
      <c r="AH1060" s="93"/>
      <c r="AI1060" s="93"/>
      <c r="AJ1060" s="93"/>
      <c r="AK1060" s="93"/>
      <c r="AL1060" s="93"/>
      <c r="AM1060" s="93"/>
      <c r="AN1060" s="93"/>
      <c r="AO1060" s="93"/>
      <c r="AP1060" s="93"/>
      <c r="AQ1060" s="93"/>
      <c r="AR1060" s="93"/>
      <c r="AS1060" s="93"/>
      <c r="AT1060" s="93"/>
      <c r="AU1060" s="93"/>
      <c r="AV1060" s="93"/>
      <c r="AW1060" s="93"/>
      <c r="AX1060" s="93"/>
      <c r="AY1060" s="93"/>
      <c r="AZ1060" s="93"/>
      <c r="BA1060" s="93"/>
      <c r="BB1060" s="93"/>
      <c r="BC1060" s="93"/>
      <c r="BD1060" s="93"/>
      <c r="BE1060" s="93"/>
      <c r="BF1060" s="93"/>
      <c r="BG1060" s="93"/>
      <c r="BH1060" s="93"/>
      <c r="BI1060" s="93"/>
      <c r="BJ1060" s="93"/>
      <c r="BK1060" s="93"/>
      <c r="BL1060" s="93"/>
      <c r="BM1060" s="93"/>
      <c r="BN1060" s="93"/>
      <c r="BO1060" s="93"/>
      <c r="BP1060" s="93"/>
      <c r="BQ1060" s="93"/>
      <c r="BR1060" s="93"/>
      <c r="BS1060" s="93"/>
      <c r="BT1060" s="93"/>
      <c r="BU1060" s="93"/>
      <c r="BV1060" s="93"/>
      <c r="BW1060" s="93"/>
      <c r="BX1060" s="93"/>
      <c r="BY1060" s="93"/>
      <c r="BZ1060" s="93"/>
      <c r="CA1060" s="93"/>
      <c r="CB1060" s="93"/>
      <c r="CC1060" s="93"/>
      <c r="CD1060" s="93"/>
      <c r="CE1060" s="93"/>
      <c r="CF1060" s="93"/>
      <c r="CG1060" s="93"/>
      <c r="CH1060" s="93"/>
      <c r="CI1060" s="93"/>
      <c r="CJ1060" s="93"/>
      <c r="CK1060" s="93"/>
      <c r="CL1060" s="93"/>
      <c r="CM1060" s="93"/>
      <c r="CN1060" s="93"/>
      <c r="CO1060" s="93"/>
      <c r="CP1060" s="93"/>
      <c r="CQ1060" s="93"/>
      <c r="CR1060" s="93"/>
      <c r="CS1060" s="93"/>
      <c r="CT1060" s="93"/>
      <c r="CU1060" s="93"/>
      <c r="CV1060" s="93"/>
      <c r="CW1060" s="93"/>
      <c r="CX1060" s="93"/>
      <c r="CY1060" s="93"/>
      <c r="CZ1060" s="93"/>
      <c r="DA1060" s="93"/>
      <c r="DB1060" s="93"/>
      <c r="DC1060" s="93"/>
      <c r="DD1060" s="93"/>
      <c r="DE1060" s="93"/>
      <c r="DF1060" s="93"/>
      <c r="DG1060" s="93"/>
      <c r="DH1060" s="93"/>
      <c r="DI1060" s="93"/>
    </row>
    <row r="1061" spans="30:113" ht="6.95" customHeight="1" x14ac:dyDescent="0.15">
      <c r="AD1061" s="93"/>
      <c r="AE1061" s="93"/>
      <c r="AF1061" s="93"/>
      <c r="AG1061" s="93"/>
      <c r="AH1061" s="93"/>
      <c r="AI1061" s="93"/>
      <c r="AJ1061" s="93"/>
      <c r="AK1061" s="93"/>
      <c r="AL1061" s="93"/>
      <c r="AM1061" s="93"/>
      <c r="AN1061" s="93"/>
      <c r="AO1061" s="93"/>
      <c r="AP1061" s="93"/>
      <c r="AQ1061" s="93"/>
      <c r="AR1061" s="93"/>
      <c r="AS1061" s="93"/>
      <c r="AT1061" s="93"/>
      <c r="AU1061" s="93"/>
      <c r="AV1061" s="93"/>
      <c r="AW1061" s="93"/>
      <c r="AX1061" s="93"/>
      <c r="AY1061" s="93"/>
      <c r="AZ1061" s="93"/>
      <c r="BA1061" s="93"/>
      <c r="BB1061" s="93"/>
      <c r="BC1061" s="93"/>
      <c r="BD1061" s="93"/>
      <c r="BE1061" s="93"/>
      <c r="BF1061" s="93"/>
      <c r="BG1061" s="93"/>
      <c r="BH1061" s="93"/>
      <c r="BI1061" s="93"/>
      <c r="BJ1061" s="93"/>
      <c r="BK1061" s="93"/>
      <c r="BL1061" s="93"/>
      <c r="BM1061" s="93"/>
      <c r="BN1061" s="93"/>
      <c r="BO1061" s="93"/>
      <c r="BP1061" s="93"/>
      <c r="BQ1061" s="93"/>
      <c r="BR1061" s="93"/>
      <c r="BS1061" s="93"/>
      <c r="BT1061" s="93"/>
      <c r="BU1061" s="93"/>
      <c r="BV1061" s="93"/>
      <c r="BW1061" s="93"/>
      <c r="BX1061" s="93"/>
      <c r="BY1061" s="93"/>
      <c r="BZ1061" s="93"/>
      <c r="CA1061" s="93"/>
      <c r="CB1061" s="93"/>
      <c r="CC1061" s="93"/>
      <c r="CD1061" s="93"/>
      <c r="CE1061" s="93"/>
      <c r="CF1061" s="93"/>
      <c r="CG1061" s="93"/>
      <c r="CH1061" s="93"/>
      <c r="CI1061" s="93"/>
      <c r="CJ1061" s="93"/>
      <c r="CK1061" s="93"/>
      <c r="CL1061" s="93"/>
      <c r="CM1061" s="93"/>
      <c r="CN1061" s="93"/>
      <c r="CO1061" s="93"/>
      <c r="CP1061" s="93"/>
      <c r="CQ1061" s="93"/>
      <c r="CR1061" s="93"/>
      <c r="CS1061" s="93"/>
      <c r="CT1061" s="93"/>
      <c r="CU1061" s="93"/>
      <c r="CV1061" s="93"/>
      <c r="CW1061" s="93"/>
      <c r="CX1061" s="93"/>
      <c r="CY1061" s="93"/>
      <c r="CZ1061" s="93"/>
      <c r="DA1061" s="93"/>
      <c r="DB1061" s="93"/>
      <c r="DC1061" s="93"/>
      <c r="DD1061" s="93"/>
      <c r="DE1061" s="93"/>
      <c r="DF1061" s="93"/>
      <c r="DG1061" s="93"/>
      <c r="DH1061" s="93"/>
      <c r="DI1061" s="93"/>
    </row>
    <row r="1062" spans="30:113" ht="6.95" customHeight="1" x14ac:dyDescent="0.15">
      <c r="AD1062" s="93"/>
      <c r="AE1062" s="93"/>
      <c r="AF1062" s="93"/>
      <c r="AG1062" s="93"/>
      <c r="AH1062" s="93"/>
      <c r="AI1062" s="93"/>
      <c r="AJ1062" s="93"/>
      <c r="AK1062" s="93"/>
      <c r="AL1062" s="93"/>
      <c r="AM1062" s="93"/>
      <c r="AN1062" s="93"/>
      <c r="AO1062" s="93"/>
      <c r="AP1062" s="93"/>
      <c r="AQ1062" s="93"/>
      <c r="AR1062" s="93"/>
      <c r="AS1062" s="93"/>
      <c r="AT1062" s="93"/>
      <c r="AU1062" s="93"/>
      <c r="AV1062" s="93"/>
      <c r="AW1062" s="93"/>
      <c r="AX1062" s="93"/>
      <c r="AY1062" s="93"/>
      <c r="AZ1062" s="93"/>
      <c r="BA1062" s="93"/>
      <c r="BB1062" s="93"/>
      <c r="BC1062" s="93"/>
      <c r="BD1062" s="93"/>
      <c r="BE1062" s="93"/>
      <c r="BF1062" s="93"/>
      <c r="BG1062" s="93"/>
      <c r="BH1062" s="93"/>
      <c r="BI1062" s="93"/>
      <c r="BJ1062" s="93"/>
      <c r="BK1062" s="93"/>
      <c r="BL1062" s="93"/>
      <c r="BM1062" s="93"/>
      <c r="BN1062" s="93"/>
      <c r="BO1062" s="93"/>
      <c r="BP1062" s="93"/>
      <c r="BQ1062" s="93"/>
      <c r="BR1062" s="93"/>
      <c r="BS1062" s="93"/>
      <c r="BT1062" s="93"/>
      <c r="BU1062" s="93"/>
      <c r="BV1062" s="93"/>
      <c r="BW1062" s="93"/>
      <c r="BX1062" s="93"/>
      <c r="BY1062" s="93"/>
      <c r="BZ1062" s="93"/>
      <c r="CA1062" s="93"/>
      <c r="CB1062" s="93"/>
      <c r="CC1062" s="93"/>
      <c r="CD1062" s="93"/>
      <c r="CE1062" s="93"/>
      <c r="CF1062" s="93"/>
      <c r="CG1062" s="93"/>
      <c r="CH1062" s="93"/>
      <c r="CI1062" s="93"/>
      <c r="CJ1062" s="93"/>
      <c r="CK1062" s="93"/>
      <c r="CL1062" s="93"/>
      <c r="CM1062" s="93"/>
      <c r="CN1062" s="93"/>
      <c r="CO1062" s="93"/>
      <c r="CP1062" s="93"/>
      <c r="CQ1062" s="93"/>
      <c r="CR1062" s="93"/>
      <c r="CS1062" s="93"/>
      <c r="CT1062" s="93"/>
      <c r="CU1062" s="93"/>
      <c r="CV1062" s="93"/>
      <c r="CW1062" s="93"/>
      <c r="CX1062" s="93"/>
      <c r="CY1062" s="93"/>
      <c r="CZ1062" s="93"/>
      <c r="DA1062" s="93"/>
      <c r="DB1062" s="93"/>
      <c r="DC1062" s="93"/>
      <c r="DD1062" s="93"/>
      <c r="DE1062" s="93"/>
      <c r="DF1062" s="93"/>
      <c r="DG1062" s="93"/>
      <c r="DH1062" s="93"/>
      <c r="DI1062" s="93"/>
    </row>
    <row r="1063" spans="30:113" ht="6.95" customHeight="1" x14ac:dyDescent="0.15">
      <c r="AD1063" s="93"/>
      <c r="AE1063" s="93"/>
      <c r="AF1063" s="93"/>
      <c r="AG1063" s="93"/>
      <c r="AH1063" s="93"/>
      <c r="AI1063" s="93"/>
      <c r="AJ1063" s="93"/>
      <c r="AK1063" s="93"/>
      <c r="AL1063" s="93"/>
      <c r="AM1063" s="93"/>
      <c r="AN1063" s="93"/>
      <c r="AO1063" s="93"/>
      <c r="AP1063" s="93"/>
      <c r="AQ1063" s="93"/>
      <c r="AR1063" s="93"/>
      <c r="AS1063" s="93"/>
      <c r="AT1063" s="93"/>
      <c r="AU1063" s="93"/>
      <c r="AV1063" s="93"/>
      <c r="AW1063" s="93"/>
      <c r="AX1063" s="93"/>
      <c r="AY1063" s="93"/>
      <c r="AZ1063" s="93"/>
      <c r="BA1063" s="93"/>
      <c r="BB1063" s="93"/>
      <c r="BC1063" s="93"/>
      <c r="BD1063" s="93"/>
      <c r="BE1063" s="93"/>
      <c r="BF1063" s="93"/>
      <c r="BG1063" s="93"/>
      <c r="BH1063" s="93"/>
      <c r="BI1063" s="93"/>
      <c r="BJ1063" s="93"/>
      <c r="BK1063" s="93"/>
      <c r="BL1063" s="93"/>
      <c r="BM1063" s="93"/>
      <c r="BN1063" s="93"/>
      <c r="BO1063" s="93"/>
      <c r="BP1063" s="93"/>
      <c r="BQ1063" s="93"/>
      <c r="BR1063" s="93"/>
      <c r="BS1063" s="93"/>
      <c r="BT1063" s="93"/>
      <c r="BU1063" s="93"/>
      <c r="BV1063" s="93"/>
      <c r="BW1063" s="93"/>
      <c r="BX1063" s="93"/>
      <c r="BY1063" s="93"/>
      <c r="BZ1063" s="93"/>
      <c r="CA1063" s="93"/>
      <c r="CB1063" s="93"/>
      <c r="CC1063" s="93"/>
      <c r="CD1063" s="93"/>
      <c r="CE1063" s="93"/>
      <c r="CF1063" s="93"/>
      <c r="CG1063" s="93"/>
      <c r="CH1063" s="93"/>
      <c r="CI1063" s="93"/>
      <c r="CJ1063" s="93"/>
      <c r="CK1063" s="93"/>
      <c r="CL1063" s="93"/>
      <c r="CM1063" s="93"/>
      <c r="CN1063" s="93"/>
      <c r="CO1063" s="93"/>
      <c r="CP1063" s="93"/>
      <c r="CQ1063" s="93"/>
      <c r="CR1063" s="93"/>
      <c r="CS1063" s="93"/>
      <c r="CT1063" s="93"/>
      <c r="CU1063" s="93"/>
      <c r="CV1063" s="93"/>
      <c r="CW1063" s="93"/>
      <c r="CX1063" s="93"/>
      <c r="CY1063" s="93"/>
      <c r="CZ1063" s="93"/>
      <c r="DA1063" s="93"/>
      <c r="DB1063" s="93"/>
      <c r="DC1063" s="93"/>
      <c r="DD1063" s="93"/>
      <c r="DE1063" s="93"/>
      <c r="DF1063" s="93"/>
      <c r="DG1063" s="93"/>
      <c r="DH1063" s="93"/>
      <c r="DI1063" s="93"/>
    </row>
    <row r="1064" spans="30:113" ht="6.95" customHeight="1" x14ac:dyDescent="0.15">
      <c r="AD1064" s="93"/>
      <c r="AE1064" s="93"/>
      <c r="AF1064" s="93"/>
      <c r="AG1064" s="93"/>
      <c r="AH1064" s="93"/>
      <c r="AI1064" s="93"/>
      <c r="AJ1064" s="93"/>
      <c r="AK1064" s="93"/>
      <c r="AL1064" s="93"/>
      <c r="AM1064" s="93"/>
      <c r="AN1064" s="93"/>
      <c r="AO1064" s="93"/>
      <c r="AP1064" s="93"/>
      <c r="AQ1064" s="93"/>
      <c r="AR1064" s="93"/>
      <c r="AS1064" s="93"/>
      <c r="AT1064" s="93"/>
      <c r="AU1064" s="93"/>
      <c r="AV1064" s="93"/>
      <c r="AW1064" s="93"/>
      <c r="AX1064" s="93"/>
      <c r="AY1064" s="93"/>
      <c r="AZ1064" s="93"/>
      <c r="BA1064" s="93"/>
      <c r="BB1064" s="93"/>
      <c r="BC1064" s="93"/>
      <c r="BD1064" s="93"/>
      <c r="BE1064" s="93"/>
      <c r="BF1064" s="93"/>
      <c r="BG1064" s="93"/>
      <c r="BH1064" s="93"/>
      <c r="BI1064" s="93"/>
      <c r="BJ1064" s="93"/>
      <c r="BK1064" s="93"/>
      <c r="BL1064" s="93"/>
      <c r="BM1064" s="93"/>
      <c r="BN1064" s="93"/>
      <c r="BO1064" s="93"/>
      <c r="BP1064" s="93"/>
      <c r="BQ1064" s="93"/>
      <c r="BR1064" s="93"/>
      <c r="BS1064" s="93"/>
      <c r="BT1064" s="93"/>
      <c r="BU1064" s="93"/>
      <c r="BV1064" s="93"/>
      <c r="BW1064" s="93"/>
      <c r="BX1064" s="93"/>
      <c r="BY1064" s="93"/>
      <c r="BZ1064" s="93"/>
      <c r="CA1064" s="93"/>
      <c r="CB1064" s="93"/>
      <c r="CC1064" s="93"/>
      <c r="CD1064" s="93"/>
      <c r="CE1064" s="93"/>
      <c r="CF1064" s="93"/>
      <c r="CG1064" s="93"/>
      <c r="CH1064" s="93"/>
      <c r="CI1064" s="93"/>
      <c r="CJ1064" s="93"/>
      <c r="CK1064" s="93"/>
      <c r="CL1064" s="93"/>
      <c r="CM1064" s="93"/>
      <c r="CN1064" s="93"/>
      <c r="CO1064" s="93"/>
      <c r="CP1064" s="93"/>
      <c r="CQ1064" s="93"/>
      <c r="CR1064" s="93"/>
      <c r="CS1064" s="93"/>
      <c r="CT1064" s="93"/>
      <c r="CU1064" s="93"/>
      <c r="CV1064" s="93"/>
      <c r="CW1064" s="93"/>
      <c r="CX1064" s="93"/>
      <c r="CY1064" s="93"/>
      <c r="CZ1064" s="93"/>
      <c r="DA1064" s="93"/>
      <c r="DB1064" s="93"/>
      <c r="DC1064" s="93"/>
      <c r="DD1064" s="93"/>
      <c r="DE1064" s="93"/>
      <c r="DF1064" s="93"/>
      <c r="DG1064" s="93"/>
      <c r="DH1064" s="93"/>
      <c r="DI1064" s="93"/>
    </row>
    <row r="1065" spans="30:113" ht="6.95" customHeight="1" x14ac:dyDescent="0.15">
      <c r="AD1065" s="93"/>
      <c r="AE1065" s="93"/>
      <c r="AF1065" s="93"/>
      <c r="AG1065" s="93"/>
      <c r="AH1065" s="93"/>
      <c r="AI1065" s="93"/>
      <c r="AJ1065" s="93"/>
      <c r="AK1065" s="93"/>
      <c r="AL1065" s="93"/>
      <c r="AM1065" s="93"/>
      <c r="AN1065" s="93"/>
      <c r="AO1065" s="93"/>
      <c r="AP1065" s="93"/>
      <c r="AQ1065" s="93"/>
      <c r="AR1065" s="93"/>
      <c r="AS1065" s="93"/>
      <c r="AT1065" s="93"/>
      <c r="AU1065" s="93"/>
      <c r="AV1065" s="93"/>
      <c r="AW1065" s="93"/>
      <c r="AX1065" s="93"/>
      <c r="AY1065" s="93"/>
      <c r="AZ1065" s="93"/>
      <c r="BA1065" s="93"/>
      <c r="BB1065" s="93"/>
      <c r="BC1065" s="93"/>
      <c r="BD1065" s="93"/>
      <c r="BE1065" s="93"/>
      <c r="BF1065" s="93"/>
      <c r="BG1065" s="93"/>
      <c r="BH1065" s="93"/>
      <c r="BI1065" s="93"/>
      <c r="BJ1065" s="93"/>
      <c r="BK1065" s="93"/>
      <c r="BL1065" s="93"/>
      <c r="BM1065" s="93"/>
      <c r="BN1065" s="93"/>
      <c r="BO1065" s="93"/>
      <c r="BP1065" s="93"/>
      <c r="BQ1065" s="93"/>
      <c r="BR1065" s="93"/>
      <c r="BS1065" s="93"/>
      <c r="BT1065" s="93"/>
      <c r="BU1065" s="93"/>
      <c r="BV1065" s="93"/>
      <c r="BW1065" s="93"/>
      <c r="BX1065" s="93"/>
      <c r="BY1065" s="93"/>
      <c r="BZ1065" s="93"/>
      <c r="CA1065" s="93"/>
      <c r="CB1065" s="93"/>
      <c r="CC1065" s="93"/>
      <c r="CD1065" s="93"/>
      <c r="CE1065" s="93"/>
      <c r="CF1065" s="93"/>
      <c r="CG1065" s="93"/>
      <c r="CH1065" s="93"/>
      <c r="CI1065" s="93"/>
      <c r="CJ1065" s="93"/>
      <c r="CK1065" s="93"/>
      <c r="CL1065" s="93"/>
      <c r="CM1065" s="93"/>
      <c r="CN1065" s="93"/>
      <c r="CO1065" s="93"/>
      <c r="CP1065" s="93"/>
      <c r="CQ1065" s="93"/>
      <c r="CR1065" s="93"/>
      <c r="CS1065" s="93"/>
      <c r="CT1065" s="93"/>
      <c r="CU1065" s="93"/>
      <c r="CV1065" s="93"/>
      <c r="CW1065" s="93"/>
      <c r="CX1065" s="93"/>
      <c r="CY1065" s="93"/>
      <c r="CZ1065" s="93"/>
      <c r="DA1065" s="93"/>
      <c r="DB1065" s="93"/>
      <c r="DC1065" s="93"/>
      <c r="DD1065" s="93"/>
      <c r="DE1065" s="93"/>
      <c r="DF1065" s="93"/>
      <c r="DG1065" s="93"/>
      <c r="DH1065" s="93"/>
      <c r="DI1065" s="93"/>
    </row>
    <row r="1066" spans="30:113" ht="6.95" customHeight="1" x14ac:dyDescent="0.15">
      <c r="AD1066" s="93"/>
      <c r="AE1066" s="93"/>
      <c r="AF1066" s="93"/>
      <c r="AG1066" s="93"/>
      <c r="AH1066" s="93"/>
      <c r="AI1066" s="93"/>
      <c r="AJ1066" s="93"/>
      <c r="AK1066" s="93"/>
      <c r="AL1066" s="93"/>
      <c r="AM1066" s="93"/>
      <c r="AN1066" s="93"/>
      <c r="AO1066" s="93"/>
      <c r="AP1066" s="93"/>
      <c r="AQ1066" s="93"/>
      <c r="AR1066" s="93"/>
      <c r="AS1066" s="93"/>
      <c r="AT1066" s="93"/>
      <c r="AU1066" s="93"/>
      <c r="AV1066" s="93"/>
      <c r="AW1066" s="93"/>
      <c r="AX1066" s="93"/>
      <c r="AY1066" s="93"/>
      <c r="AZ1066" s="93"/>
      <c r="BA1066" s="93"/>
      <c r="BB1066" s="93"/>
      <c r="BC1066" s="93"/>
      <c r="BD1066" s="93"/>
      <c r="BE1066" s="93"/>
      <c r="BF1066" s="93"/>
      <c r="BG1066" s="93"/>
      <c r="BH1066" s="93"/>
      <c r="BI1066" s="93"/>
      <c r="BJ1066" s="93"/>
      <c r="BK1066" s="93"/>
      <c r="BL1066" s="93"/>
      <c r="BM1066" s="93"/>
      <c r="BN1066" s="93"/>
      <c r="BO1066" s="93"/>
      <c r="BP1066" s="93"/>
      <c r="BQ1066" s="93"/>
      <c r="BR1066" s="93"/>
      <c r="BS1066" s="93"/>
      <c r="BT1066" s="93"/>
      <c r="BU1066" s="93"/>
      <c r="BV1066" s="93"/>
      <c r="BW1066" s="93"/>
      <c r="BX1066" s="93"/>
      <c r="BY1066" s="93"/>
      <c r="BZ1066" s="93"/>
      <c r="CA1066" s="93"/>
      <c r="CB1066" s="93"/>
      <c r="CC1066" s="93"/>
      <c r="CD1066" s="93"/>
      <c r="CE1066" s="93"/>
      <c r="CF1066" s="93"/>
      <c r="CG1066" s="93"/>
      <c r="CH1066" s="93"/>
      <c r="CI1066" s="93"/>
      <c r="CJ1066" s="93"/>
      <c r="CK1066" s="93"/>
      <c r="CL1066" s="93"/>
      <c r="CM1066" s="93"/>
      <c r="CN1066" s="93"/>
      <c r="CO1066" s="93"/>
      <c r="CP1066" s="93"/>
      <c r="CQ1066" s="93"/>
      <c r="CR1066" s="93"/>
      <c r="CS1066" s="93"/>
      <c r="CT1066" s="93"/>
      <c r="CU1066" s="93"/>
      <c r="CV1066" s="93"/>
      <c r="CW1066" s="93"/>
      <c r="CX1066" s="93"/>
      <c r="CY1066" s="93"/>
      <c r="CZ1066" s="93"/>
      <c r="DA1066" s="93"/>
      <c r="DB1066" s="93"/>
      <c r="DC1066" s="93"/>
      <c r="DD1066" s="93"/>
      <c r="DE1066" s="93"/>
      <c r="DF1066" s="93"/>
      <c r="DG1066" s="93"/>
      <c r="DH1066" s="93"/>
      <c r="DI1066" s="93"/>
    </row>
    <row r="1067" spans="30:113" ht="6.95" customHeight="1" x14ac:dyDescent="0.15">
      <c r="AD1067" s="93"/>
      <c r="AE1067" s="93"/>
      <c r="AF1067" s="93"/>
      <c r="AG1067" s="93"/>
      <c r="AH1067" s="93"/>
      <c r="AI1067" s="93"/>
      <c r="AJ1067" s="93"/>
      <c r="AK1067" s="93"/>
      <c r="AL1067" s="93"/>
      <c r="AM1067" s="93"/>
      <c r="AN1067" s="93"/>
      <c r="AO1067" s="93"/>
      <c r="AP1067" s="93"/>
      <c r="AQ1067" s="93"/>
      <c r="AR1067" s="93"/>
      <c r="AS1067" s="93"/>
      <c r="AT1067" s="93"/>
      <c r="AU1067" s="93"/>
      <c r="AV1067" s="93"/>
      <c r="AW1067" s="93"/>
      <c r="AX1067" s="93"/>
      <c r="AY1067" s="93"/>
      <c r="AZ1067" s="93"/>
      <c r="BA1067" s="93"/>
      <c r="BB1067" s="93"/>
      <c r="BC1067" s="93"/>
      <c r="BD1067" s="93"/>
      <c r="BE1067" s="93"/>
      <c r="BF1067" s="93"/>
      <c r="BG1067" s="93"/>
      <c r="BH1067" s="93"/>
      <c r="BI1067" s="93"/>
      <c r="BJ1067" s="93"/>
      <c r="BK1067" s="93"/>
      <c r="BL1067" s="93"/>
      <c r="BM1067" s="93"/>
      <c r="BN1067" s="93"/>
      <c r="BO1067" s="93"/>
      <c r="BP1067" s="93"/>
      <c r="BQ1067" s="93"/>
      <c r="BR1067" s="93"/>
      <c r="BS1067" s="93"/>
      <c r="BT1067" s="93"/>
      <c r="BU1067" s="93"/>
      <c r="BV1067" s="93"/>
      <c r="BW1067" s="93"/>
      <c r="BX1067" s="93"/>
      <c r="BY1067" s="93"/>
      <c r="BZ1067" s="93"/>
      <c r="CA1067" s="93"/>
      <c r="CB1067" s="93"/>
      <c r="CC1067" s="93"/>
      <c r="CD1067" s="93"/>
      <c r="CE1067" s="93"/>
      <c r="CF1067" s="93"/>
      <c r="CG1067" s="93"/>
      <c r="CH1067" s="93"/>
      <c r="CI1067" s="93"/>
      <c r="CJ1067" s="93"/>
      <c r="CK1067" s="93"/>
      <c r="CL1067" s="93"/>
      <c r="CM1067" s="93"/>
      <c r="CN1067" s="93"/>
      <c r="CO1067" s="93"/>
      <c r="CP1067" s="93"/>
      <c r="CQ1067" s="93"/>
      <c r="CR1067" s="93"/>
      <c r="CS1067" s="93"/>
      <c r="CT1067" s="93"/>
      <c r="CU1067" s="93"/>
      <c r="CV1067" s="93"/>
      <c r="CW1067" s="93"/>
      <c r="CX1067" s="93"/>
      <c r="CY1067" s="93"/>
      <c r="CZ1067" s="93"/>
      <c r="DA1067" s="93"/>
      <c r="DB1067" s="93"/>
      <c r="DC1067" s="93"/>
      <c r="DD1067" s="93"/>
      <c r="DE1067" s="93"/>
      <c r="DF1067" s="93"/>
      <c r="DG1067" s="93"/>
      <c r="DH1067" s="93"/>
      <c r="DI1067" s="93"/>
    </row>
    <row r="1068" spans="30:113" ht="6.95" customHeight="1" x14ac:dyDescent="0.15">
      <c r="AD1068" s="93"/>
      <c r="AE1068" s="93"/>
      <c r="AF1068" s="93"/>
      <c r="AG1068" s="93"/>
      <c r="AH1068" s="93"/>
      <c r="AI1068" s="93"/>
      <c r="AJ1068" s="93"/>
      <c r="AK1068" s="93"/>
      <c r="AL1068" s="93"/>
      <c r="AM1068" s="93"/>
      <c r="AN1068" s="93"/>
      <c r="AO1068" s="93"/>
      <c r="AP1068" s="93"/>
      <c r="AQ1068" s="93"/>
      <c r="AR1068" s="93"/>
      <c r="AS1068" s="93"/>
      <c r="AT1068" s="93"/>
      <c r="AU1068" s="93"/>
      <c r="AV1068" s="93"/>
      <c r="AW1068" s="93"/>
      <c r="AX1068" s="93"/>
      <c r="AY1068" s="93"/>
      <c r="AZ1068" s="93"/>
      <c r="BA1068" s="93"/>
      <c r="BB1068" s="93"/>
      <c r="BC1068" s="93"/>
      <c r="BD1068" s="93"/>
      <c r="BE1068" s="93"/>
      <c r="BF1068" s="93"/>
      <c r="BG1068" s="93"/>
      <c r="BH1068" s="93"/>
      <c r="BI1068" s="93"/>
      <c r="BJ1068" s="93"/>
      <c r="BK1068" s="93"/>
      <c r="BL1068" s="93"/>
      <c r="BM1068" s="93"/>
      <c r="BN1068" s="93"/>
      <c r="BO1068" s="93"/>
      <c r="BP1068" s="93"/>
      <c r="BQ1068" s="93"/>
      <c r="BR1068" s="93"/>
      <c r="BS1068" s="93"/>
      <c r="BT1068" s="93"/>
      <c r="BU1068" s="93"/>
      <c r="BV1068" s="93"/>
      <c r="BW1068" s="93"/>
      <c r="BX1068" s="93"/>
      <c r="BY1068" s="93"/>
      <c r="BZ1068" s="93"/>
      <c r="CA1068" s="93"/>
      <c r="CB1068" s="93"/>
      <c r="CC1068" s="93"/>
      <c r="CD1068" s="93"/>
      <c r="CE1068" s="93"/>
      <c r="CF1068" s="93"/>
      <c r="CG1068" s="93"/>
      <c r="CH1068" s="93"/>
      <c r="CI1068" s="93"/>
      <c r="CJ1068" s="93"/>
      <c r="CK1068" s="93"/>
      <c r="CL1068" s="93"/>
      <c r="CM1068" s="93"/>
      <c r="CN1068" s="93"/>
      <c r="CO1068" s="93"/>
      <c r="CP1068" s="93"/>
      <c r="CQ1068" s="93"/>
      <c r="CR1068" s="93"/>
      <c r="CS1068" s="93"/>
      <c r="CT1068" s="93"/>
      <c r="CU1068" s="93"/>
      <c r="CV1068" s="93"/>
      <c r="CW1068" s="93"/>
      <c r="CX1068" s="93"/>
      <c r="CY1068" s="93"/>
      <c r="CZ1068" s="93"/>
      <c r="DA1068" s="93"/>
      <c r="DB1068" s="93"/>
      <c r="DC1068" s="93"/>
      <c r="DD1068" s="93"/>
      <c r="DE1068" s="93"/>
      <c r="DF1068" s="93"/>
      <c r="DG1068" s="93"/>
      <c r="DH1068" s="93"/>
      <c r="DI1068" s="93"/>
    </row>
    <row r="1069" spans="30:113" ht="6.95" customHeight="1" x14ac:dyDescent="0.15">
      <c r="AD1069" s="93"/>
      <c r="AE1069" s="93"/>
      <c r="AF1069" s="93"/>
      <c r="AG1069" s="93"/>
      <c r="AH1069" s="93"/>
      <c r="AI1069" s="93"/>
      <c r="AJ1069" s="93"/>
      <c r="AK1069" s="93"/>
      <c r="AL1069" s="93"/>
      <c r="AM1069" s="93"/>
      <c r="AN1069" s="93"/>
      <c r="AO1069" s="93"/>
      <c r="AP1069" s="93"/>
      <c r="AQ1069" s="93"/>
      <c r="AR1069" s="93"/>
      <c r="AS1069" s="93"/>
      <c r="AT1069" s="93"/>
      <c r="AU1069" s="93"/>
      <c r="AV1069" s="93"/>
      <c r="AW1069" s="93"/>
      <c r="AX1069" s="93"/>
      <c r="AY1069" s="93"/>
      <c r="AZ1069" s="93"/>
      <c r="BA1069" s="93"/>
      <c r="BB1069" s="93"/>
      <c r="BC1069" s="93"/>
      <c r="BD1069" s="93"/>
      <c r="BE1069" s="93"/>
      <c r="BF1069" s="93"/>
      <c r="BG1069" s="93"/>
      <c r="BH1069" s="93"/>
      <c r="BI1069" s="93"/>
      <c r="BJ1069" s="93"/>
      <c r="BK1069" s="93"/>
      <c r="BL1069" s="93"/>
      <c r="BM1069" s="93"/>
      <c r="BN1069" s="93"/>
      <c r="BO1069" s="93"/>
      <c r="BP1069" s="93"/>
      <c r="BQ1069" s="93"/>
      <c r="BR1069" s="93"/>
      <c r="BS1069" s="93"/>
      <c r="BT1069" s="93"/>
      <c r="BU1069" s="93"/>
      <c r="BV1069" s="93"/>
      <c r="BW1069" s="93"/>
      <c r="BX1069" s="93"/>
      <c r="BY1069" s="93"/>
      <c r="BZ1069" s="93"/>
      <c r="CA1069" s="93"/>
      <c r="CB1069" s="93"/>
      <c r="CC1069" s="93"/>
      <c r="CD1069" s="93"/>
      <c r="CE1069" s="93"/>
      <c r="CF1069" s="93"/>
      <c r="CG1069" s="93"/>
      <c r="CH1069" s="93"/>
      <c r="CI1069" s="93"/>
      <c r="CJ1069" s="93"/>
      <c r="CK1069" s="93"/>
      <c r="CL1069" s="93"/>
      <c r="CM1069" s="93"/>
      <c r="CN1069" s="93"/>
      <c r="CO1069" s="93"/>
      <c r="CP1069" s="93"/>
      <c r="CQ1069" s="93"/>
      <c r="CR1069" s="93"/>
      <c r="CS1069" s="93"/>
      <c r="CT1069" s="93"/>
      <c r="CU1069" s="93"/>
      <c r="CV1069" s="93"/>
      <c r="CW1069" s="93"/>
      <c r="CX1069" s="93"/>
      <c r="CY1069" s="93"/>
      <c r="CZ1069" s="93"/>
      <c r="DA1069" s="93"/>
      <c r="DB1069" s="93"/>
      <c r="DC1069" s="93"/>
      <c r="DD1069" s="93"/>
      <c r="DE1069" s="93"/>
      <c r="DF1069" s="93"/>
      <c r="DG1069" s="93"/>
      <c r="DH1069" s="93"/>
      <c r="DI1069" s="93"/>
    </row>
    <row r="1070" spans="30:113" ht="6.95" customHeight="1" x14ac:dyDescent="0.15">
      <c r="AD1070" s="93"/>
      <c r="AE1070" s="93"/>
      <c r="AF1070" s="93"/>
      <c r="AG1070" s="93"/>
      <c r="AH1070" s="93"/>
      <c r="AI1070" s="93"/>
      <c r="AJ1070" s="93"/>
      <c r="AK1070" s="93"/>
      <c r="AL1070" s="93"/>
      <c r="AM1070" s="93"/>
      <c r="AN1070" s="93"/>
      <c r="AO1070" s="93"/>
      <c r="AP1070" s="93"/>
      <c r="AQ1070" s="93"/>
      <c r="AR1070" s="93"/>
      <c r="AS1070" s="93"/>
      <c r="AT1070" s="93"/>
      <c r="AU1070" s="93"/>
      <c r="AV1070" s="93"/>
      <c r="AW1070" s="93"/>
      <c r="AX1070" s="93"/>
      <c r="AY1070" s="93"/>
      <c r="AZ1070" s="93"/>
      <c r="BA1070" s="93"/>
      <c r="BB1070" s="93"/>
      <c r="BC1070" s="93"/>
      <c r="BD1070" s="93"/>
      <c r="BE1070" s="93"/>
      <c r="BF1070" s="93"/>
      <c r="BG1070" s="93"/>
      <c r="BH1070" s="93"/>
      <c r="BI1070" s="93"/>
      <c r="BJ1070" s="93"/>
      <c r="BK1070" s="93"/>
      <c r="BL1070" s="93"/>
      <c r="BM1070" s="93"/>
      <c r="BN1070" s="93"/>
      <c r="BO1070" s="93"/>
      <c r="BP1070" s="93"/>
      <c r="BQ1070" s="93"/>
      <c r="BR1070" s="93"/>
      <c r="BS1070" s="93"/>
      <c r="BT1070" s="93"/>
      <c r="BU1070" s="93"/>
      <c r="BV1070" s="93"/>
      <c r="BW1070" s="93"/>
      <c r="BX1070" s="93"/>
      <c r="BY1070" s="93"/>
      <c r="BZ1070" s="93"/>
      <c r="CA1070" s="93"/>
      <c r="CB1070" s="93"/>
      <c r="CC1070" s="93"/>
      <c r="CD1070" s="93"/>
      <c r="CE1070" s="93"/>
      <c r="CF1070" s="93"/>
      <c r="CG1070" s="93"/>
      <c r="CH1070" s="93"/>
      <c r="CI1070" s="93"/>
      <c r="CJ1070" s="93"/>
      <c r="CK1070" s="93"/>
      <c r="CL1070" s="93"/>
      <c r="CM1070" s="93"/>
      <c r="CN1070" s="93"/>
      <c r="CO1070" s="93"/>
      <c r="CP1070" s="93"/>
      <c r="CQ1070" s="93"/>
      <c r="CR1070" s="93"/>
      <c r="CS1070" s="93"/>
      <c r="CT1070" s="93"/>
      <c r="CU1070" s="93"/>
      <c r="CV1070" s="93"/>
      <c r="CW1070" s="93"/>
      <c r="CX1070" s="93"/>
      <c r="CY1070" s="93"/>
      <c r="CZ1070" s="93"/>
      <c r="DA1070" s="93"/>
      <c r="DB1070" s="93"/>
      <c r="DC1070" s="93"/>
      <c r="DD1070" s="93"/>
      <c r="DE1070" s="93"/>
      <c r="DF1070" s="93"/>
      <c r="DG1070" s="93"/>
      <c r="DH1070" s="93"/>
      <c r="DI1070" s="93"/>
    </row>
    <row r="1071" spans="30:113" ht="6.95" customHeight="1" x14ac:dyDescent="0.15">
      <c r="AD1071" s="93"/>
      <c r="AE1071" s="93"/>
      <c r="AF1071" s="93"/>
      <c r="AG1071" s="93"/>
      <c r="AH1071" s="93"/>
      <c r="AI1071" s="93"/>
      <c r="AJ1071" s="93"/>
      <c r="AK1071" s="93"/>
      <c r="AL1071" s="93"/>
      <c r="AM1071" s="93"/>
      <c r="AN1071" s="93"/>
      <c r="AO1071" s="93"/>
      <c r="AP1071" s="93"/>
      <c r="AQ1071" s="93"/>
      <c r="AR1071" s="93"/>
      <c r="AS1071" s="93"/>
      <c r="AT1071" s="93"/>
      <c r="AU1071" s="93"/>
      <c r="AV1071" s="93"/>
      <c r="AW1071" s="93"/>
      <c r="AX1071" s="93"/>
      <c r="AY1071" s="93"/>
      <c r="AZ1071" s="93"/>
      <c r="BA1071" s="93"/>
      <c r="BB1071" s="93"/>
      <c r="BC1071" s="93"/>
      <c r="BD1071" s="93"/>
      <c r="BE1071" s="93"/>
      <c r="BF1071" s="93"/>
      <c r="BG1071" s="93"/>
      <c r="BH1071" s="93"/>
      <c r="BI1071" s="93"/>
      <c r="BJ1071" s="93"/>
      <c r="BK1071" s="93"/>
      <c r="BL1071" s="93"/>
      <c r="BM1071" s="93"/>
      <c r="BN1071" s="93"/>
      <c r="BO1071" s="93"/>
      <c r="BP1071" s="93"/>
      <c r="BQ1071" s="93"/>
      <c r="BR1071" s="93"/>
      <c r="BS1071" s="93"/>
      <c r="BT1071" s="93"/>
      <c r="BU1071" s="93"/>
      <c r="BV1071" s="93"/>
      <c r="BW1071" s="93"/>
      <c r="BX1071" s="93"/>
      <c r="BY1071" s="93"/>
      <c r="BZ1071" s="93"/>
      <c r="CA1071" s="93"/>
      <c r="CB1071" s="93"/>
      <c r="CC1071" s="93"/>
      <c r="CD1071" s="93"/>
      <c r="CE1071" s="93"/>
      <c r="CF1071" s="93"/>
      <c r="CG1071" s="93"/>
      <c r="CH1071" s="93"/>
      <c r="CI1071" s="93"/>
      <c r="CJ1071" s="93"/>
      <c r="CK1071" s="93"/>
      <c r="CL1071" s="93"/>
      <c r="CM1071" s="93"/>
      <c r="CN1071" s="93"/>
      <c r="CO1071" s="93"/>
      <c r="CP1071" s="93"/>
      <c r="CQ1071" s="93"/>
      <c r="CR1071" s="93"/>
      <c r="CS1071" s="93"/>
      <c r="CT1071" s="93"/>
      <c r="CU1071" s="93"/>
      <c r="CV1071" s="93"/>
      <c r="CW1071" s="93"/>
      <c r="CX1071" s="93"/>
      <c r="CY1071" s="93"/>
      <c r="CZ1071" s="93"/>
      <c r="DA1071" s="93"/>
      <c r="DB1071" s="93"/>
      <c r="DC1071" s="93"/>
      <c r="DD1071" s="93"/>
      <c r="DE1071" s="93"/>
      <c r="DF1071" s="93"/>
      <c r="DG1071" s="93"/>
      <c r="DH1071" s="93"/>
      <c r="DI1071" s="93"/>
    </row>
    <row r="1072" spans="30:113" ht="6.95" customHeight="1" x14ac:dyDescent="0.15">
      <c r="AD1072" s="93"/>
      <c r="AE1072" s="93"/>
      <c r="AF1072" s="93"/>
      <c r="AG1072" s="93"/>
      <c r="AH1072" s="93"/>
      <c r="AI1072" s="93"/>
      <c r="AJ1072" s="93"/>
      <c r="AK1072" s="93"/>
      <c r="AL1072" s="93"/>
      <c r="AM1072" s="93"/>
      <c r="AN1072" s="93"/>
      <c r="AO1072" s="93"/>
      <c r="AP1072" s="93"/>
      <c r="AQ1072" s="93"/>
      <c r="AR1072" s="93"/>
      <c r="AS1072" s="93"/>
      <c r="AT1072" s="93"/>
      <c r="AU1072" s="93"/>
      <c r="AV1072" s="93"/>
      <c r="AW1072" s="93"/>
      <c r="AX1072" s="93"/>
      <c r="AY1072" s="93"/>
      <c r="AZ1072" s="93"/>
      <c r="BA1072" s="93"/>
      <c r="BB1072" s="93"/>
      <c r="BC1072" s="93"/>
      <c r="BD1072" s="93"/>
      <c r="BE1072" s="93"/>
      <c r="BF1072" s="93"/>
      <c r="BG1072" s="93"/>
      <c r="BH1072" s="93"/>
      <c r="BI1072" s="93"/>
      <c r="BJ1072" s="93"/>
      <c r="BK1072" s="93"/>
      <c r="BL1072" s="93"/>
      <c r="BM1072" s="93"/>
      <c r="BN1072" s="93"/>
      <c r="BO1072" s="93"/>
      <c r="BP1072" s="93"/>
      <c r="BQ1072" s="93"/>
      <c r="BR1072" s="93"/>
      <c r="BS1072" s="93"/>
      <c r="BT1072" s="93"/>
      <c r="BU1072" s="93"/>
      <c r="BV1072" s="93"/>
      <c r="BW1072" s="93"/>
      <c r="BX1072" s="93"/>
      <c r="BY1072" s="93"/>
      <c r="BZ1072" s="93"/>
      <c r="CA1072" s="93"/>
      <c r="CB1072" s="93"/>
      <c r="CC1072" s="93"/>
      <c r="CD1072" s="93"/>
      <c r="CE1072" s="93"/>
      <c r="CF1072" s="93"/>
      <c r="CG1072" s="93"/>
      <c r="CH1072" s="93"/>
      <c r="CI1072" s="93"/>
      <c r="CJ1072" s="93"/>
      <c r="CK1072" s="93"/>
      <c r="CL1072" s="93"/>
      <c r="CM1072" s="93"/>
      <c r="CN1072" s="93"/>
      <c r="CO1072" s="93"/>
      <c r="CP1072" s="93"/>
      <c r="CQ1072" s="93"/>
      <c r="CR1072" s="93"/>
      <c r="CS1072" s="93"/>
      <c r="CT1072" s="93"/>
      <c r="CU1072" s="93"/>
      <c r="CV1072" s="93"/>
      <c r="CW1072" s="93"/>
      <c r="CX1072" s="93"/>
      <c r="CY1072" s="93"/>
      <c r="CZ1072" s="93"/>
      <c r="DA1072" s="93"/>
      <c r="DB1072" s="93"/>
      <c r="DC1072" s="93"/>
      <c r="DD1072" s="93"/>
      <c r="DE1072" s="93"/>
      <c r="DF1072" s="93"/>
      <c r="DG1072" s="93"/>
      <c r="DH1072" s="93"/>
      <c r="DI1072" s="93"/>
    </row>
    <row r="1073" spans="19:172" ht="6.95" customHeight="1" x14ac:dyDescent="0.15">
      <c r="AD1073" s="93"/>
      <c r="AE1073" s="93"/>
      <c r="AF1073" s="93"/>
      <c r="AG1073" s="93"/>
      <c r="AH1073" s="93"/>
      <c r="AI1073" s="93"/>
      <c r="AJ1073" s="93"/>
      <c r="AK1073" s="93"/>
      <c r="AL1073" s="93"/>
      <c r="AM1073" s="93"/>
      <c r="AN1073" s="93"/>
      <c r="AO1073" s="93"/>
      <c r="AP1073" s="93"/>
      <c r="AQ1073" s="93"/>
      <c r="AR1073" s="93"/>
      <c r="AS1073" s="93"/>
      <c r="AT1073" s="93"/>
      <c r="AU1073" s="93"/>
      <c r="AV1073" s="93"/>
      <c r="AW1073" s="93"/>
      <c r="AX1073" s="93"/>
      <c r="AY1073" s="93"/>
      <c r="AZ1073" s="93"/>
      <c r="BA1073" s="93"/>
      <c r="BB1073" s="93"/>
      <c r="BC1073" s="93"/>
      <c r="BD1073" s="93"/>
      <c r="BE1073" s="93"/>
      <c r="BF1073" s="93"/>
      <c r="BG1073" s="93"/>
      <c r="BH1073" s="93"/>
      <c r="BI1073" s="93"/>
      <c r="BJ1073" s="93"/>
      <c r="BK1073" s="93"/>
      <c r="BL1073" s="93"/>
      <c r="BM1073" s="93"/>
      <c r="BN1073" s="93"/>
      <c r="BO1073" s="93"/>
      <c r="BP1073" s="93"/>
      <c r="BQ1073" s="93"/>
      <c r="BR1073" s="93"/>
      <c r="BS1073" s="93"/>
      <c r="BT1073" s="93"/>
      <c r="BU1073" s="93"/>
      <c r="BV1073" s="93"/>
      <c r="BW1073" s="93"/>
      <c r="BX1073" s="93"/>
      <c r="BY1073" s="93"/>
      <c r="BZ1073" s="93"/>
      <c r="CA1073" s="93"/>
      <c r="CB1073" s="93"/>
      <c r="CC1073" s="93"/>
      <c r="CD1073" s="93"/>
      <c r="CE1073" s="93"/>
      <c r="CF1073" s="93"/>
      <c r="CG1073" s="93"/>
      <c r="CH1073" s="93"/>
      <c r="CI1073" s="93"/>
      <c r="CJ1073" s="93"/>
      <c r="CK1073" s="93"/>
      <c r="CL1073" s="93"/>
      <c r="CM1073" s="93"/>
      <c r="CN1073" s="93"/>
      <c r="CO1073" s="93"/>
      <c r="CP1073" s="93"/>
      <c r="CQ1073" s="93"/>
      <c r="CR1073" s="93"/>
      <c r="CS1073" s="93"/>
      <c r="CT1073" s="93"/>
      <c r="CU1073" s="93"/>
      <c r="CV1073" s="93"/>
      <c r="CW1073" s="93"/>
      <c r="CX1073" s="93"/>
      <c r="CY1073" s="93"/>
      <c r="CZ1073" s="93"/>
      <c r="DA1073" s="93"/>
      <c r="DB1073" s="93"/>
      <c r="DC1073" s="93"/>
      <c r="DD1073" s="93"/>
      <c r="DE1073" s="93"/>
      <c r="DF1073" s="93"/>
      <c r="DG1073" s="93"/>
      <c r="DH1073" s="93"/>
      <c r="DI1073" s="93"/>
    </row>
    <row r="1074" spans="19:172" ht="6.95" customHeight="1" x14ac:dyDescent="0.15">
      <c r="AD1074" s="93"/>
      <c r="AE1074" s="93"/>
      <c r="AF1074" s="93"/>
      <c r="AG1074" s="93"/>
      <c r="AH1074" s="93"/>
      <c r="AI1074" s="93"/>
      <c r="AJ1074" s="93"/>
      <c r="AK1074" s="93"/>
      <c r="AL1074" s="93"/>
      <c r="AM1074" s="93"/>
      <c r="AN1074" s="93"/>
      <c r="AO1074" s="93"/>
      <c r="AP1074" s="93"/>
      <c r="AQ1074" s="93"/>
      <c r="AR1074" s="93"/>
      <c r="AS1074" s="93"/>
      <c r="AT1074" s="93"/>
      <c r="AU1074" s="93"/>
      <c r="AV1074" s="93"/>
      <c r="AW1074" s="93"/>
      <c r="AX1074" s="93"/>
      <c r="AY1074" s="93"/>
      <c r="AZ1074" s="93"/>
      <c r="BA1074" s="93"/>
      <c r="BB1074" s="93"/>
      <c r="BC1074" s="93"/>
      <c r="BD1074" s="93"/>
      <c r="BE1074" s="93"/>
      <c r="BF1074" s="93"/>
      <c r="BG1074" s="93"/>
      <c r="BH1074" s="93"/>
      <c r="BI1074" s="93"/>
      <c r="BJ1074" s="93"/>
      <c r="BK1074" s="93"/>
      <c r="BL1074" s="93"/>
      <c r="BM1074" s="93"/>
      <c r="BN1074" s="93"/>
      <c r="BO1074" s="93"/>
      <c r="BP1074" s="93"/>
      <c r="BQ1074" s="93"/>
      <c r="BR1074" s="93"/>
      <c r="BS1074" s="93"/>
      <c r="BT1074" s="93"/>
      <c r="BU1074" s="93"/>
      <c r="BV1074" s="93"/>
      <c r="BW1074" s="93"/>
      <c r="BX1074" s="93"/>
      <c r="BY1074" s="93"/>
      <c r="BZ1074" s="93"/>
      <c r="CA1074" s="93"/>
      <c r="CB1074" s="93"/>
      <c r="CC1074" s="93"/>
      <c r="CD1074" s="93"/>
      <c r="CE1074" s="93"/>
      <c r="CF1074" s="93"/>
      <c r="CG1074" s="93"/>
      <c r="CH1074" s="93"/>
      <c r="CI1074" s="93"/>
      <c r="CJ1074" s="93"/>
      <c r="CK1074" s="93"/>
      <c r="CL1074" s="93"/>
      <c r="CM1074" s="93"/>
      <c r="CN1074" s="93"/>
      <c r="CO1074" s="93"/>
      <c r="CP1074" s="93"/>
      <c r="CQ1074" s="93"/>
      <c r="CR1074" s="93"/>
      <c r="CS1074" s="93"/>
      <c r="CT1074" s="93"/>
      <c r="CU1074" s="93"/>
      <c r="CV1074" s="93"/>
      <c r="CW1074" s="93"/>
      <c r="CX1074" s="93"/>
      <c r="CY1074" s="93"/>
      <c r="CZ1074" s="93"/>
      <c r="DA1074" s="93"/>
      <c r="DB1074" s="93"/>
      <c r="DC1074" s="93"/>
      <c r="DD1074" s="93"/>
      <c r="DE1074" s="93"/>
      <c r="DF1074" s="93"/>
      <c r="DG1074" s="93"/>
      <c r="DH1074" s="93"/>
      <c r="DI1074" s="93"/>
    </row>
    <row r="1075" spans="19:172" ht="6.95" customHeight="1" x14ac:dyDescent="0.15">
      <c r="AD1075" s="93"/>
      <c r="AE1075" s="93"/>
      <c r="AF1075" s="93"/>
      <c r="AG1075" s="93"/>
      <c r="AH1075" s="93"/>
      <c r="AI1075" s="93"/>
      <c r="AJ1075" s="93"/>
      <c r="AK1075" s="93"/>
      <c r="AL1075" s="93"/>
      <c r="AM1075" s="93"/>
      <c r="AN1075" s="93"/>
      <c r="AO1075" s="93"/>
      <c r="AP1075" s="93"/>
      <c r="AQ1075" s="93"/>
      <c r="AR1075" s="93"/>
      <c r="AS1075" s="93"/>
      <c r="AT1075" s="93"/>
      <c r="AU1075" s="93"/>
      <c r="AV1075" s="93"/>
      <c r="AW1075" s="93"/>
      <c r="AX1075" s="93"/>
      <c r="AY1075" s="93"/>
      <c r="AZ1075" s="93"/>
      <c r="BA1075" s="93"/>
      <c r="BB1075" s="93"/>
      <c r="BC1075" s="93"/>
      <c r="BD1075" s="93"/>
      <c r="BE1075" s="93"/>
      <c r="BF1075" s="93"/>
      <c r="BG1075" s="93"/>
      <c r="BH1075" s="93"/>
      <c r="BI1075" s="93"/>
      <c r="BJ1075" s="93"/>
      <c r="BK1075" s="93"/>
      <c r="BL1075" s="93"/>
      <c r="BM1075" s="93"/>
      <c r="BN1075" s="93"/>
      <c r="BO1075" s="93"/>
      <c r="BP1075" s="93"/>
      <c r="BQ1075" s="93"/>
      <c r="BR1075" s="93"/>
      <c r="BS1075" s="93"/>
      <c r="BT1075" s="93"/>
      <c r="BU1075" s="93"/>
      <c r="BV1075" s="93"/>
      <c r="BW1075" s="93"/>
      <c r="BX1075" s="93"/>
      <c r="BY1075" s="93"/>
      <c r="BZ1075" s="93"/>
      <c r="CA1075" s="93"/>
      <c r="CB1075" s="93"/>
      <c r="CC1075" s="93"/>
      <c r="CD1075" s="93"/>
      <c r="CE1075" s="93"/>
      <c r="CF1075" s="93"/>
      <c r="CG1075" s="93"/>
      <c r="CH1075" s="93"/>
      <c r="CI1075" s="93"/>
      <c r="CJ1075" s="93"/>
      <c r="CK1075" s="93"/>
      <c r="CL1075" s="93"/>
      <c r="CM1075" s="93"/>
      <c r="CN1075" s="93"/>
      <c r="CO1075" s="93"/>
      <c r="CP1075" s="93"/>
      <c r="CQ1075" s="93"/>
      <c r="CR1075" s="93"/>
      <c r="CS1075" s="93"/>
      <c r="CT1075" s="93"/>
      <c r="CU1075" s="93"/>
      <c r="CV1075" s="93"/>
      <c r="CW1075" s="93"/>
      <c r="CX1075" s="93"/>
      <c r="CY1075" s="93"/>
      <c r="CZ1075" s="93"/>
      <c r="DA1075" s="93"/>
      <c r="DB1075" s="93"/>
      <c r="DC1075" s="93"/>
      <c r="DD1075" s="93"/>
      <c r="DE1075" s="93"/>
      <c r="DF1075" s="93"/>
      <c r="DG1075" s="93"/>
      <c r="DH1075" s="93"/>
      <c r="DI1075" s="93"/>
    </row>
    <row r="1076" spans="19:172" ht="6.95" customHeight="1" x14ac:dyDescent="0.15">
      <c r="AD1076" s="93"/>
      <c r="AE1076" s="93"/>
      <c r="AF1076" s="93"/>
      <c r="AG1076" s="93"/>
      <c r="AH1076" s="93"/>
      <c r="AI1076" s="93"/>
      <c r="AJ1076" s="93"/>
      <c r="AK1076" s="93"/>
      <c r="AL1076" s="93"/>
      <c r="AM1076" s="93"/>
      <c r="AN1076" s="93"/>
      <c r="AO1076" s="93"/>
      <c r="AP1076" s="93"/>
      <c r="AQ1076" s="93"/>
      <c r="AR1076" s="93"/>
      <c r="AS1076" s="93"/>
      <c r="AT1076" s="93"/>
      <c r="AU1076" s="93"/>
      <c r="AV1076" s="93"/>
      <c r="AW1076" s="93"/>
      <c r="AX1076" s="93"/>
      <c r="AY1076" s="93"/>
      <c r="AZ1076" s="93"/>
      <c r="BA1076" s="93"/>
      <c r="BB1076" s="93"/>
      <c r="BC1076" s="93"/>
      <c r="BD1076" s="93"/>
      <c r="BE1076" s="93"/>
      <c r="BF1076" s="93"/>
      <c r="BG1076" s="93"/>
      <c r="BH1076" s="93"/>
      <c r="BI1076" s="93"/>
      <c r="BJ1076" s="93"/>
      <c r="BK1076" s="93"/>
      <c r="BL1076" s="93"/>
      <c r="BM1076" s="93"/>
      <c r="BN1076" s="93"/>
      <c r="BO1076" s="93"/>
      <c r="BP1076" s="93"/>
      <c r="BQ1076" s="93"/>
      <c r="BR1076" s="93"/>
      <c r="BS1076" s="93"/>
      <c r="BT1076" s="93"/>
      <c r="BU1076" s="93"/>
      <c r="BV1076" s="93"/>
      <c r="BW1076" s="93"/>
      <c r="BX1076" s="93"/>
      <c r="BY1076" s="93"/>
      <c r="BZ1076" s="93"/>
      <c r="CA1076" s="93"/>
      <c r="CB1076" s="93"/>
      <c r="CC1076" s="93"/>
      <c r="CD1076" s="93"/>
      <c r="CE1076" s="93"/>
      <c r="CF1076" s="93"/>
      <c r="CG1076" s="93"/>
      <c r="CH1076" s="93"/>
      <c r="CI1076" s="93"/>
      <c r="CJ1076" s="93"/>
      <c r="CK1076" s="93"/>
      <c r="CL1076" s="93"/>
      <c r="CM1076" s="93"/>
      <c r="CN1076" s="93"/>
      <c r="CO1076" s="93"/>
      <c r="CP1076" s="93"/>
      <c r="CQ1076" s="93"/>
      <c r="CR1076" s="93"/>
      <c r="CS1076" s="93"/>
      <c r="CT1076" s="93"/>
      <c r="CU1076" s="93"/>
      <c r="CV1076" s="93"/>
      <c r="CW1076" s="93"/>
      <c r="CX1076" s="93"/>
      <c r="CY1076" s="93"/>
      <c r="CZ1076" s="93"/>
      <c r="DA1076" s="93"/>
      <c r="DB1076" s="93"/>
      <c r="DC1076" s="93"/>
      <c r="DD1076" s="93"/>
      <c r="DE1076" s="93"/>
      <c r="DF1076" s="93"/>
      <c r="DG1076" s="93"/>
      <c r="DH1076" s="93"/>
      <c r="DI1076" s="93"/>
    </row>
    <row r="1077" spans="19:172" ht="6.95" customHeight="1" x14ac:dyDescent="0.15">
      <c r="AD1077" s="93"/>
      <c r="AE1077" s="93"/>
      <c r="AF1077" s="93"/>
      <c r="AG1077" s="93"/>
      <c r="AH1077" s="93"/>
      <c r="AI1077" s="93"/>
      <c r="AJ1077" s="93"/>
      <c r="AK1077" s="93"/>
      <c r="AL1077" s="93"/>
      <c r="AM1077" s="93"/>
      <c r="AN1077" s="93"/>
      <c r="AO1077" s="93"/>
      <c r="AP1077" s="93"/>
      <c r="AQ1077" s="93"/>
      <c r="AR1077" s="93"/>
      <c r="AS1077" s="93"/>
      <c r="AT1077" s="93"/>
      <c r="AU1077" s="93"/>
      <c r="AV1077" s="93"/>
      <c r="AW1077" s="93"/>
      <c r="AX1077" s="93"/>
      <c r="AY1077" s="93"/>
      <c r="AZ1077" s="93"/>
      <c r="BA1077" s="93"/>
      <c r="BB1077" s="93"/>
      <c r="BC1077" s="93"/>
      <c r="BD1077" s="93"/>
      <c r="BE1077" s="93"/>
      <c r="BF1077" s="93"/>
      <c r="BG1077" s="93"/>
      <c r="BH1077" s="93"/>
      <c r="BI1077" s="93"/>
      <c r="BJ1077" s="93"/>
      <c r="BK1077" s="93"/>
      <c r="BL1077" s="93"/>
      <c r="BM1077" s="93"/>
      <c r="BN1077" s="93"/>
      <c r="BO1077" s="93"/>
      <c r="BP1077" s="93"/>
      <c r="BQ1077" s="93"/>
      <c r="BR1077" s="93"/>
      <c r="BS1077" s="93"/>
      <c r="BT1077" s="93"/>
      <c r="BU1077" s="93"/>
      <c r="BV1077" s="93"/>
      <c r="BW1077" s="93"/>
      <c r="BX1077" s="93"/>
      <c r="BY1077" s="93"/>
      <c r="BZ1077" s="93"/>
      <c r="CA1077" s="93"/>
      <c r="CB1077" s="93"/>
      <c r="CC1077" s="93"/>
      <c r="CD1077" s="93"/>
      <c r="CE1077" s="93"/>
      <c r="CF1077" s="93"/>
      <c r="CG1077" s="93"/>
      <c r="CH1077" s="93"/>
      <c r="CI1077" s="93"/>
      <c r="CJ1077" s="93"/>
      <c r="CK1077" s="93"/>
      <c r="CL1077" s="93"/>
      <c r="CM1077" s="93"/>
      <c r="CN1077" s="93"/>
      <c r="CO1077" s="93"/>
      <c r="CP1077" s="93"/>
      <c r="CQ1077" s="93"/>
      <c r="CR1077" s="93"/>
      <c r="CS1077" s="93"/>
      <c r="CT1077" s="93"/>
      <c r="CU1077" s="93"/>
      <c r="CV1077" s="93"/>
      <c r="CW1077" s="93"/>
      <c r="CX1077" s="93"/>
      <c r="CY1077" s="93"/>
      <c r="CZ1077" s="93"/>
      <c r="DA1077" s="93"/>
      <c r="DB1077" s="93"/>
      <c r="DC1077" s="93"/>
      <c r="DD1077" s="93"/>
      <c r="DE1077" s="93"/>
      <c r="DF1077" s="93"/>
      <c r="DG1077" s="93"/>
      <c r="DH1077" s="93"/>
      <c r="DI1077" s="93"/>
    </row>
    <row r="1078" spans="19:172" ht="6.95" customHeight="1" x14ac:dyDescent="0.15">
      <c r="AD1078" s="93"/>
      <c r="AE1078" s="93"/>
      <c r="AF1078" s="93"/>
      <c r="AG1078" s="93"/>
      <c r="AH1078" s="93"/>
      <c r="AI1078" s="93"/>
      <c r="AJ1078" s="93"/>
      <c r="AK1078" s="93"/>
      <c r="AL1078" s="93"/>
      <c r="AM1078" s="93"/>
      <c r="AN1078" s="93"/>
      <c r="AO1078" s="93"/>
      <c r="AP1078" s="93"/>
      <c r="AQ1078" s="93"/>
      <c r="AR1078" s="93"/>
      <c r="AS1078" s="93"/>
      <c r="AT1078" s="93"/>
      <c r="AU1078" s="93"/>
      <c r="AV1078" s="93"/>
      <c r="AW1078" s="93"/>
      <c r="AX1078" s="93"/>
      <c r="AY1078" s="93"/>
      <c r="AZ1078" s="93"/>
      <c r="BA1078" s="93"/>
      <c r="BB1078" s="93"/>
      <c r="BC1078" s="93"/>
      <c r="BD1078" s="93"/>
      <c r="BE1078" s="93"/>
      <c r="BF1078" s="93"/>
      <c r="BG1078" s="93"/>
      <c r="BH1078" s="93"/>
      <c r="BI1078" s="93"/>
      <c r="BJ1078" s="93"/>
      <c r="BK1078" s="93"/>
      <c r="BL1078" s="93"/>
      <c r="BM1078" s="93"/>
      <c r="BN1078" s="93"/>
      <c r="BO1078" s="93"/>
      <c r="BP1078" s="93"/>
      <c r="BQ1078" s="93"/>
      <c r="BR1078" s="93"/>
      <c r="BS1078" s="93"/>
      <c r="BT1078" s="93"/>
      <c r="BU1078" s="93"/>
      <c r="BV1078" s="93"/>
      <c r="BW1078" s="93"/>
      <c r="BX1078" s="93"/>
      <c r="BY1078" s="93"/>
      <c r="BZ1078" s="93"/>
      <c r="CA1078" s="93"/>
      <c r="CB1078" s="93"/>
      <c r="CC1078" s="93"/>
      <c r="CD1078" s="93"/>
      <c r="CE1078" s="93"/>
      <c r="CF1078" s="93"/>
      <c r="CG1078" s="93"/>
      <c r="CH1078" s="93"/>
      <c r="CI1078" s="93"/>
      <c r="CJ1078" s="93"/>
      <c r="CK1078" s="93"/>
      <c r="CL1078" s="93"/>
      <c r="CM1078" s="93"/>
      <c r="CN1078" s="93"/>
      <c r="CO1078" s="93"/>
      <c r="CP1078" s="93"/>
      <c r="CQ1078" s="93"/>
      <c r="CR1078" s="93"/>
      <c r="CS1078" s="93"/>
      <c r="CT1078" s="93"/>
      <c r="CU1078" s="93"/>
      <c r="CV1078" s="93"/>
      <c r="CW1078" s="93"/>
      <c r="CX1078" s="93"/>
      <c r="CY1078" s="93"/>
      <c r="CZ1078" s="93"/>
      <c r="DA1078" s="93"/>
      <c r="DB1078" s="93"/>
      <c r="DC1078" s="93"/>
      <c r="DD1078" s="93"/>
      <c r="DE1078" s="93"/>
      <c r="DF1078" s="93"/>
      <c r="DG1078" s="93"/>
      <c r="DH1078" s="93"/>
      <c r="DI1078" s="93"/>
    </row>
    <row r="1079" spans="19:172" ht="6.95" customHeight="1" x14ac:dyDescent="0.15">
      <c r="AD1079" s="93"/>
      <c r="AE1079" s="93"/>
      <c r="AF1079" s="93"/>
      <c r="AG1079" s="93"/>
      <c r="AH1079" s="93"/>
      <c r="AI1079" s="93"/>
      <c r="AJ1079" s="93"/>
      <c r="AK1079" s="93"/>
      <c r="AL1079" s="93"/>
      <c r="AM1079" s="93"/>
      <c r="AN1079" s="93"/>
      <c r="AO1079" s="93"/>
      <c r="AP1079" s="93"/>
      <c r="AQ1079" s="93"/>
      <c r="AR1079" s="93"/>
      <c r="AS1079" s="93"/>
      <c r="AT1079" s="93"/>
      <c r="AU1079" s="93"/>
      <c r="AV1079" s="93"/>
      <c r="AW1079" s="93"/>
      <c r="AX1079" s="93"/>
      <c r="AY1079" s="93"/>
      <c r="AZ1079" s="93"/>
      <c r="BA1079" s="93"/>
      <c r="BB1079" s="93"/>
      <c r="BC1079" s="93"/>
      <c r="BD1079" s="93"/>
      <c r="BE1079" s="93"/>
      <c r="BF1079" s="93"/>
      <c r="BG1079" s="93"/>
      <c r="BH1079" s="93"/>
      <c r="BI1079" s="93"/>
      <c r="BJ1079" s="93"/>
      <c r="BK1079" s="93"/>
      <c r="BL1079" s="93"/>
      <c r="BM1079" s="93"/>
      <c r="BN1079" s="93"/>
      <c r="BO1079" s="93"/>
      <c r="BP1079" s="93"/>
      <c r="BQ1079" s="93"/>
      <c r="BR1079" s="93"/>
      <c r="BS1079" s="93"/>
      <c r="BT1079" s="93"/>
      <c r="BU1079" s="93"/>
      <c r="BV1079" s="93"/>
      <c r="BW1079" s="93"/>
      <c r="BX1079" s="93"/>
      <c r="BY1079" s="93"/>
      <c r="BZ1079" s="93"/>
      <c r="CA1079" s="93"/>
      <c r="CB1079" s="93"/>
      <c r="CC1079" s="93"/>
      <c r="CD1079" s="93"/>
      <c r="CE1079" s="93"/>
      <c r="CF1079" s="93"/>
      <c r="CG1079" s="93"/>
      <c r="CH1079" s="93"/>
      <c r="CI1079" s="93"/>
      <c r="CJ1079" s="93"/>
      <c r="CK1079" s="93"/>
      <c r="CL1079" s="93"/>
      <c r="CM1079" s="93"/>
      <c r="CN1079" s="93"/>
      <c r="CO1079" s="93"/>
      <c r="CP1079" s="93"/>
      <c r="CQ1079" s="93"/>
      <c r="CR1079" s="93"/>
      <c r="CS1079" s="93"/>
      <c r="CT1079" s="93"/>
      <c r="CU1079" s="93"/>
      <c r="CV1079" s="93"/>
      <c r="CW1079" s="93"/>
      <c r="CX1079" s="93"/>
      <c r="CY1079" s="93"/>
      <c r="CZ1079" s="93"/>
      <c r="DA1079" s="93"/>
      <c r="DB1079" s="93"/>
      <c r="DC1079" s="93"/>
      <c r="DD1079" s="93"/>
      <c r="DE1079" s="93"/>
      <c r="DF1079" s="93"/>
      <c r="DG1079" s="93"/>
      <c r="DH1079" s="93"/>
      <c r="DI1079" s="93"/>
    </row>
    <row r="1080" spans="19:172" ht="6.95" customHeight="1" x14ac:dyDescent="0.15">
      <c r="AD1080" s="93"/>
      <c r="AE1080" s="93"/>
      <c r="AF1080" s="93"/>
      <c r="AG1080" s="93"/>
      <c r="AH1080" s="93"/>
      <c r="AI1080" s="93"/>
      <c r="AJ1080" s="93"/>
      <c r="AK1080" s="93"/>
      <c r="AL1080" s="93"/>
      <c r="AM1080" s="93"/>
      <c r="AN1080" s="93"/>
      <c r="AO1080" s="93"/>
      <c r="AP1080" s="93"/>
      <c r="AQ1080" s="93"/>
      <c r="AR1080" s="93"/>
      <c r="AS1080" s="93"/>
      <c r="AT1080" s="93"/>
      <c r="AU1080" s="93"/>
      <c r="AV1080" s="93"/>
      <c r="AW1080" s="93"/>
      <c r="AX1080" s="93"/>
      <c r="AY1080" s="93"/>
      <c r="AZ1080" s="93"/>
      <c r="BA1080" s="93"/>
      <c r="BB1080" s="93"/>
      <c r="BC1080" s="93"/>
      <c r="BD1080" s="93"/>
      <c r="BE1080" s="93"/>
      <c r="BF1080" s="93"/>
      <c r="BG1080" s="93"/>
      <c r="BH1080" s="93"/>
      <c r="BI1080" s="93"/>
      <c r="BJ1080" s="93"/>
      <c r="BK1080" s="93"/>
      <c r="BL1080" s="93"/>
      <c r="BM1080" s="93"/>
      <c r="BN1080" s="93"/>
      <c r="BO1080" s="93"/>
      <c r="BP1080" s="93"/>
      <c r="BQ1080" s="93"/>
      <c r="BR1080" s="93"/>
      <c r="BS1080" s="93"/>
      <c r="BT1080" s="93"/>
      <c r="BU1080" s="93"/>
      <c r="BV1080" s="93"/>
      <c r="BW1080" s="93"/>
      <c r="BX1080" s="93"/>
      <c r="BY1080" s="93"/>
      <c r="BZ1080" s="93"/>
      <c r="CA1080" s="93"/>
      <c r="CB1080" s="93"/>
      <c r="CC1080" s="93"/>
      <c r="CD1080" s="93"/>
      <c r="CE1080" s="93"/>
      <c r="CF1080" s="93"/>
      <c r="CG1080" s="93"/>
      <c r="CH1080" s="93"/>
      <c r="CI1080" s="93"/>
      <c r="CJ1080" s="93"/>
      <c r="CK1080" s="93"/>
      <c r="CL1080" s="93"/>
      <c r="CM1080" s="93"/>
      <c r="CN1080" s="93"/>
      <c r="CO1080" s="93"/>
      <c r="CP1080" s="93"/>
      <c r="CQ1080" s="93"/>
      <c r="CR1080" s="93"/>
      <c r="CS1080" s="93"/>
      <c r="CT1080" s="93"/>
      <c r="CU1080" s="93"/>
      <c r="CV1080" s="93"/>
      <c r="CW1080" s="93"/>
      <c r="CX1080" s="93"/>
      <c r="CY1080" s="93"/>
      <c r="CZ1080" s="93"/>
      <c r="DA1080" s="93"/>
      <c r="DB1080" s="93"/>
      <c r="DC1080" s="93"/>
      <c r="DD1080" s="93"/>
      <c r="DE1080" s="93"/>
      <c r="DF1080" s="93"/>
      <c r="DG1080" s="93"/>
      <c r="DH1080" s="93"/>
      <c r="DI1080" s="93"/>
    </row>
    <row r="1081" spans="19:172" ht="6.95" customHeight="1" x14ac:dyDescent="0.15">
      <c r="AD1081" s="93"/>
      <c r="AE1081" s="93"/>
      <c r="AF1081" s="93"/>
      <c r="AG1081" s="93"/>
      <c r="AH1081" s="93"/>
      <c r="AI1081" s="93"/>
      <c r="AJ1081" s="93"/>
      <c r="AK1081" s="93"/>
      <c r="AL1081" s="93"/>
      <c r="AM1081" s="93"/>
      <c r="AN1081" s="93"/>
      <c r="AO1081" s="93"/>
      <c r="AP1081" s="93"/>
      <c r="AQ1081" s="93"/>
      <c r="AR1081" s="93"/>
      <c r="AS1081" s="93"/>
      <c r="AT1081" s="93"/>
      <c r="AU1081" s="93"/>
      <c r="AV1081" s="93"/>
      <c r="AW1081" s="93"/>
      <c r="AX1081" s="93"/>
      <c r="AY1081" s="93"/>
      <c r="AZ1081" s="93"/>
      <c r="BA1081" s="93"/>
      <c r="BB1081" s="93"/>
      <c r="BC1081" s="93"/>
      <c r="BD1081" s="93"/>
      <c r="BE1081" s="93"/>
      <c r="BF1081" s="93"/>
      <c r="BG1081" s="93"/>
      <c r="BH1081" s="93"/>
      <c r="BI1081" s="93"/>
      <c r="BJ1081" s="93"/>
      <c r="BK1081" s="93"/>
      <c r="BL1081" s="93"/>
      <c r="BM1081" s="93"/>
      <c r="BN1081" s="93"/>
      <c r="BO1081" s="93"/>
      <c r="BP1081" s="93"/>
      <c r="BQ1081" s="93"/>
      <c r="BR1081" s="93"/>
      <c r="BS1081" s="93"/>
      <c r="BT1081" s="93"/>
      <c r="BU1081" s="93"/>
      <c r="BV1081" s="93"/>
      <c r="BW1081" s="93"/>
      <c r="BX1081" s="93"/>
      <c r="BY1081" s="93"/>
      <c r="BZ1081" s="93"/>
      <c r="CA1081" s="93"/>
      <c r="CB1081" s="93"/>
      <c r="CC1081" s="93"/>
      <c r="CD1081" s="93"/>
      <c r="CE1081" s="93"/>
      <c r="CF1081" s="93"/>
      <c r="CG1081" s="93"/>
      <c r="CH1081" s="93"/>
      <c r="CI1081" s="93"/>
      <c r="CJ1081" s="93"/>
      <c r="CK1081" s="93"/>
      <c r="CL1081" s="93"/>
      <c r="CM1081" s="93"/>
      <c r="CN1081" s="93"/>
      <c r="CO1081" s="93"/>
      <c r="CP1081" s="93"/>
      <c r="CQ1081" s="93"/>
      <c r="CR1081" s="93"/>
      <c r="CS1081" s="93"/>
      <c r="CT1081" s="93"/>
      <c r="CU1081" s="93"/>
      <c r="CV1081" s="93"/>
      <c r="CW1081" s="93"/>
      <c r="CX1081" s="93"/>
      <c r="CY1081" s="93"/>
      <c r="CZ1081" s="93"/>
      <c r="DA1081" s="93"/>
      <c r="DB1081" s="93"/>
      <c r="DC1081" s="93"/>
      <c r="DD1081" s="93"/>
      <c r="DE1081" s="93"/>
      <c r="DF1081" s="93"/>
      <c r="DG1081" s="93"/>
      <c r="DH1081" s="93"/>
      <c r="DI1081" s="93"/>
    </row>
    <row r="1082" spans="19:172" ht="6.95" customHeight="1" x14ac:dyDescent="0.15">
      <c r="AD1082" s="93"/>
      <c r="AE1082" s="93"/>
      <c r="AF1082" s="93"/>
      <c r="AG1082" s="93"/>
      <c r="AH1082" s="93"/>
      <c r="AI1082" s="93"/>
      <c r="AJ1082" s="93"/>
      <c r="AK1082" s="93"/>
      <c r="AL1082" s="93"/>
      <c r="AM1082" s="93"/>
      <c r="AN1082" s="93"/>
      <c r="AO1082" s="93"/>
      <c r="AP1082" s="93"/>
      <c r="AQ1082" s="93"/>
      <c r="AR1082" s="93"/>
      <c r="AS1082" s="93"/>
      <c r="AT1082" s="93"/>
      <c r="AU1082" s="93"/>
      <c r="AV1082" s="93"/>
      <c r="AW1082" s="93"/>
      <c r="AX1082" s="93"/>
      <c r="AY1082" s="93"/>
      <c r="AZ1082" s="93"/>
      <c r="BA1082" s="93"/>
      <c r="BB1082" s="93"/>
      <c r="BC1082" s="93"/>
      <c r="BD1082" s="93"/>
      <c r="BE1082" s="93"/>
      <c r="BF1082" s="93"/>
      <c r="BG1082" s="93"/>
      <c r="BH1082" s="93"/>
      <c r="BI1082" s="93"/>
      <c r="BJ1082" s="93"/>
      <c r="BK1082" s="93"/>
      <c r="BL1082" s="93"/>
      <c r="BM1082" s="93"/>
      <c r="BN1082" s="93"/>
      <c r="BO1082" s="93"/>
      <c r="BP1082" s="93"/>
      <c r="BQ1082" s="93"/>
      <c r="BR1082" s="93"/>
      <c r="BS1082" s="93"/>
      <c r="BT1082" s="93"/>
      <c r="BU1082" s="93"/>
      <c r="BV1082" s="93"/>
      <c r="BW1082" s="93"/>
      <c r="BX1082" s="93"/>
      <c r="BY1082" s="93"/>
      <c r="BZ1082" s="93"/>
      <c r="CA1082" s="93"/>
      <c r="CB1082" s="93"/>
      <c r="CC1082" s="93"/>
      <c r="CD1082" s="93"/>
      <c r="CE1082" s="93"/>
      <c r="CF1082" s="93"/>
      <c r="CG1082" s="93"/>
      <c r="CH1082" s="93"/>
      <c r="CI1082" s="93"/>
      <c r="CJ1082" s="93"/>
      <c r="CK1082" s="93"/>
      <c r="CL1082" s="93"/>
      <c r="CM1082" s="93"/>
      <c r="CN1082" s="93"/>
      <c r="CO1082" s="93"/>
      <c r="CP1082" s="93"/>
      <c r="CQ1082" s="93"/>
      <c r="CR1082" s="93"/>
      <c r="CS1082" s="93"/>
      <c r="CT1082" s="93"/>
      <c r="CU1082" s="93"/>
      <c r="CV1082" s="93"/>
      <c r="CW1082" s="93"/>
      <c r="CX1082" s="93"/>
      <c r="CY1082" s="93"/>
      <c r="CZ1082" s="93"/>
      <c r="DA1082" s="93"/>
      <c r="DB1082" s="93"/>
      <c r="DC1082" s="93"/>
      <c r="DD1082" s="93"/>
      <c r="DE1082" s="93"/>
      <c r="DF1082" s="93"/>
      <c r="DG1082" s="93"/>
      <c r="DH1082" s="93"/>
      <c r="DI1082" s="93"/>
    </row>
    <row r="1083" spans="19:172" ht="6.95" customHeight="1" x14ac:dyDescent="0.15">
      <c r="AD1083" s="93"/>
      <c r="AE1083" s="93"/>
      <c r="AF1083" s="93"/>
      <c r="AG1083" s="93"/>
      <c r="AH1083" s="93"/>
      <c r="AI1083" s="93"/>
      <c r="AJ1083" s="93"/>
      <c r="AK1083" s="93"/>
      <c r="AL1083" s="93"/>
      <c r="AM1083" s="93"/>
      <c r="AN1083" s="93"/>
      <c r="AO1083" s="93"/>
      <c r="AP1083" s="93"/>
      <c r="AQ1083" s="93"/>
      <c r="AR1083" s="93"/>
      <c r="AS1083" s="93"/>
      <c r="AT1083" s="93"/>
      <c r="AU1083" s="93"/>
      <c r="AV1083" s="93"/>
      <c r="AW1083" s="93"/>
      <c r="AX1083" s="93"/>
      <c r="AY1083" s="93"/>
      <c r="AZ1083" s="93"/>
      <c r="BA1083" s="93"/>
      <c r="BB1083" s="93"/>
      <c r="BC1083" s="93"/>
      <c r="BD1083" s="93"/>
      <c r="BE1083" s="93"/>
      <c r="BF1083" s="93"/>
      <c r="BG1083" s="93"/>
      <c r="BH1083" s="93"/>
      <c r="BI1083" s="93"/>
      <c r="BJ1083" s="93"/>
      <c r="BK1083" s="93"/>
      <c r="BL1083" s="93"/>
      <c r="BM1083" s="93"/>
      <c r="BN1083" s="93"/>
      <c r="BO1083" s="93"/>
      <c r="BP1083" s="93"/>
      <c r="BQ1083" s="93"/>
      <c r="BR1083" s="93"/>
      <c r="BS1083" s="93"/>
      <c r="BT1083" s="93"/>
      <c r="BU1083" s="93"/>
      <c r="BV1083" s="93"/>
      <c r="BW1083" s="93"/>
      <c r="BX1083" s="93"/>
      <c r="BY1083" s="93"/>
      <c r="BZ1083" s="93"/>
      <c r="CA1083" s="93"/>
      <c r="CB1083" s="93"/>
      <c r="CC1083" s="93"/>
      <c r="CD1083" s="93"/>
      <c r="CE1083" s="93"/>
      <c r="CF1083" s="93"/>
      <c r="CG1083" s="93"/>
      <c r="CH1083" s="93"/>
      <c r="CI1083" s="93"/>
      <c r="CJ1083" s="93"/>
      <c r="CK1083" s="93"/>
      <c r="CL1083" s="93"/>
      <c r="CM1083" s="93"/>
      <c r="CN1083" s="93"/>
      <c r="CO1083" s="93"/>
      <c r="CP1083" s="93"/>
      <c r="CQ1083" s="93"/>
      <c r="CR1083" s="93"/>
      <c r="CS1083" s="93"/>
      <c r="CT1083" s="93"/>
      <c r="CU1083" s="93"/>
      <c r="CV1083" s="93"/>
      <c r="CW1083" s="93"/>
      <c r="CX1083" s="93"/>
      <c r="CY1083" s="93"/>
      <c r="CZ1083" s="93"/>
      <c r="DA1083" s="93"/>
      <c r="DB1083" s="93"/>
      <c r="DC1083" s="93"/>
      <c r="DD1083" s="93"/>
      <c r="DE1083" s="93"/>
      <c r="DF1083" s="93"/>
      <c r="DG1083" s="93"/>
      <c r="DH1083" s="93"/>
      <c r="DI1083" s="93"/>
    </row>
    <row r="1084" spans="19:172" ht="6.95" customHeight="1" x14ac:dyDescent="0.15">
      <c r="AD1084" s="93"/>
      <c r="AE1084" s="93"/>
      <c r="AF1084" s="93"/>
      <c r="AG1084" s="93"/>
      <c r="AH1084" s="93"/>
      <c r="AI1084" s="93"/>
      <c r="AJ1084" s="93"/>
      <c r="AK1084" s="93"/>
      <c r="AL1084" s="93"/>
      <c r="AM1084" s="93"/>
      <c r="AN1084" s="93"/>
      <c r="AO1084" s="93"/>
      <c r="AP1084" s="93"/>
      <c r="AQ1084" s="93"/>
      <c r="AR1084" s="93"/>
      <c r="AS1084" s="93"/>
      <c r="AT1084" s="93"/>
      <c r="AU1084" s="93"/>
      <c r="AV1084" s="93"/>
      <c r="AW1084" s="93"/>
      <c r="AX1084" s="93"/>
      <c r="AY1084" s="93"/>
      <c r="AZ1084" s="93"/>
      <c r="BA1084" s="93"/>
      <c r="BB1084" s="93"/>
      <c r="BC1084" s="93"/>
      <c r="BD1084" s="93"/>
      <c r="BE1084" s="93"/>
      <c r="BF1084" s="93"/>
      <c r="BG1084" s="93"/>
      <c r="BH1084" s="93"/>
      <c r="BI1084" s="93"/>
      <c r="BJ1084" s="93"/>
      <c r="BK1084" s="93"/>
      <c r="BL1084" s="93"/>
      <c r="BM1084" s="93"/>
      <c r="BN1084" s="93"/>
      <c r="BO1084" s="93"/>
      <c r="BP1084" s="93"/>
      <c r="BQ1084" s="93"/>
      <c r="BR1084" s="93"/>
      <c r="BS1084" s="93"/>
      <c r="BT1084" s="93"/>
      <c r="BU1084" s="93"/>
      <c r="BV1084" s="93"/>
      <c r="BW1084" s="93"/>
      <c r="BX1084" s="93"/>
      <c r="BY1084" s="93"/>
      <c r="BZ1084" s="93"/>
      <c r="CA1084" s="93"/>
      <c r="CB1084" s="93"/>
      <c r="CC1084" s="93"/>
      <c r="CD1084" s="93"/>
      <c r="CE1084" s="93"/>
      <c r="CF1084" s="93"/>
      <c r="CG1084" s="93"/>
      <c r="CH1084" s="93"/>
      <c r="CI1084" s="93"/>
      <c r="CJ1084" s="93"/>
      <c r="CK1084" s="93"/>
      <c r="CL1084" s="93"/>
      <c r="CM1084" s="93"/>
      <c r="CN1084" s="93"/>
      <c r="CO1084" s="93"/>
      <c r="CP1084" s="93"/>
      <c r="CQ1084" s="93"/>
      <c r="CR1084" s="93"/>
      <c r="CS1084" s="93"/>
      <c r="CT1084" s="93"/>
      <c r="CU1084" s="93"/>
      <c r="CV1084" s="93"/>
      <c r="CW1084" s="93"/>
      <c r="CX1084" s="93"/>
      <c r="CY1084" s="93"/>
      <c r="CZ1084" s="93"/>
      <c r="DA1084" s="93"/>
      <c r="DB1084" s="93"/>
      <c r="DC1084" s="105"/>
      <c r="DD1084" s="105"/>
      <c r="DE1084" s="105"/>
      <c r="DF1084" s="105"/>
      <c r="DG1084" s="105"/>
      <c r="DH1084" s="105"/>
      <c r="DI1084" s="105"/>
      <c r="DJ1084" s="105"/>
      <c r="DK1084" s="105"/>
      <c r="DL1084" s="105"/>
      <c r="DM1084" s="105"/>
      <c r="DN1084" s="105"/>
      <c r="DO1084" s="105"/>
      <c r="DP1084" s="105"/>
      <c r="DQ1084" s="105"/>
      <c r="DR1084" s="105"/>
      <c r="DS1084" s="105"/>
      <c r="DT1084" s="105"/>
      <c r="DU1084" s="105"/>
      <c r="DV1084" s="105"/>
      <c r="DW1084" s="105"/>
      <c r="DX1084" s="105"/>
      <c r="DY1084" s="105"/>
      <c r="DZ1084" s="105"/>
      <c r="EA1084" s="105"/>
      <c r="EB1084" s="105"/>
      <c r="EC1084" s="105"/>
      <c r="ED1084" s="105"/>
      <c r="EE1084" s="105"/>
      <c r="EF1084" s="105"/>
      <c r="EG1084" s="105"/>
      <c r="EH1084" s="105"/>
      <c r="EI1084" s="105"/>
      <c r="EJ1084" s="105"/>
      <c r="EK1084" s="105"/>
      <c r="EL1084" s="105"/>
      <c r="EM1084" s="105"/>
      <c r="EN1084" s="105"/>
      <c r="EO1084" s="105"/>
      <c r="EP1084" s="105"/>
      <c r="EQ1084" s="105"/>
      <c r="ER1084" s="105"/>
      <c r="ES1084" s="105"/>
      <c r="ET1084" s="105"/>
      <c r="EU1084" s="105"/>
      <c r="EV1084" s="105"/>
      <c r="EW1084" s="105"/>
      <c r="EX1084" s="105"/>
      <c r="EY1084" s="105"/>
      <c r="EZ1084" s="105"/>
      <c r="FA1084" s="105"/>
      <c r="FB1084" s="105"/>
      <c r="FC1084" s="105"/>
      <c r="FD1084" s="105"/>
      <c r="FE1084" s="105"/>
      <c r="FF1084" s="105"/>
      <c r="FG1084" s="105"/>
      <c r="FH1084" s="105"/>
      <c r="FI1084" s="105"/>
      <c r="FJ1084" s="105"/>
      <c r="FK1084" s="105"/>
      <c r="FL1084" s="105"/>
      <c r="FM1084" s="105"/>
      <c r="FN1084" s="105"/>
      <c r="FO1084" s="105"/>
      <c r="FP1084" s="105"/>
    </row>
    <row r="1085" spans="19:172" ht="6.95" customHeight="1" x14ac:dyDescent="0.15">
      <c r="AD1085" s="93"/>
      <c r="AE1085" s="93"/>
      <c r="AF1085" s="93"/>
      <c r="AG1085" s="93"/>
      <c r="AH1085" s="93"/>
      <c r="AI1085" s="93"/>
      <c r="AJ1085" s="93"/>
      <c r="AK1085" s="93"/>
      <c r="AL1085" s="93"/>
      <c r="AM1085" s="93"/>
      <c r="AN1085" s="93"/>
      <c r="AO1085" s="93"/>
      <c r="AP1085" s="93"/>
      <c r="AQ1085" s="93"/>
      <c r="AR1085" s="93"/>
      <c r="AS1085" s="93"/>
      <c r="AT1085" s="93"/>
      <c r="AU1085" s="93"/>
      <c r="AV1085" s="93"/>
      <c r="AW1085" s="93"/>
      <c r="AX1085" s="93"/>
      <c r="AY1085" s="93"/>
      <c r="AZ1085" s="93"/>
      <c r="BA1085" s="93"/>
      <c r="BB1085" s="93"/>
      <c r="BC1085" s="93"/>
      <c r="BD1085" s="93"/>
      <c r="BE1085" s="93"/>
      <c r="BF1085" s="93"/>
      <c r="BG1085" s="93"/>
      <c r="BH1085" s="93"/>
      <c r="BI1085" s="93"/>
      <c r="BJ1085" s="93"/>
      <c r="BK1085" s="93"/>
      <c r="BL1085" s="93"/>
      <c r="BM1085" s="93"/>
      <c r="BN1085" s="93"/>
      <c r="BO1085" s="93"/>
      <c r="BP1085" s="93"/>
      <c r="BQ1085" s="93"/>
      <c r="BR1085" s="93"/>
      <c r="BS1085" s="93"/>
      <c r="BT1085" s="93"/>
      <c r="BU1085" s="93"/>
      <c r="BV1085" s="93"/>
      <c r="BW1085" s="93"/>
      <c r="BX1085" s="93"/>
      <c r="BY1085" s="93"/>
      <c r="BZ1085" s="93"/>
      <c r="CA1085" s="93"/>
      <c r="CB1085" s="93"/>
      <c r="CC1085" s="93"/>
      <c r="CD1085" s="93"/>
      <c r="CE1085" s="93"/>
      <c r="CF1085" s="93"/>
      <c r="CG1085" s="93"/>
      <c r="CH1085" s="93"/>
      <c r="CI1085" s="93"/>
      <c r="CJ1085" s="93"/>
      <c r="CK1085" s="93"/>
      <c r="CL1085" s="93"/>
      <c r="CM1085" s="93"/>
      <c r="CN1085" s="93"/>
      <c r="CO1085" s="93"/>
      <c r="CP1085" s="93"/>
      <c r="CQ1085" s="93"/>
      <c r="CR1085" s="93"/>
      <c r="CS1085" s="93"/>
      <c r="CT1085" s="93"/>
      <c r="CU1085" s="93"/>
      <c r="CV1085" s="93"/>
      <c r="CW1085" s="93"/>
      <c r="CX1085" s="93"/>
      <c r="CY1085" s="93"/>
      <c r="CZ1085" s="93"/>
      <c r="DA1085" s="93"/>
      <c r="DB1085" s="93"/>
      <c r="DC1085" s="105"/>
      <c r="DD1085" s="105"/>
      <c r="DE1085" s="105"/>
      <c r="DF1085" s="105"/>
      <c r="DG1085" s="105"/>
      <c r="DH1085" s="105"/>
      <c r="DI1085" s="105"/>
      <c r="DJ1085" s="105"/>
      <c r="DK1085" s="105"/>
      <c r="DL1085" s="105"/>
      <c r="DM1085" s="105"/>
      <c r="DN1085" s="105"/>
      <c r="DO1085" s="105"/>
      <c r="DP1085" s="105"/>
      <c r="DQ1085" s="105"/>
      <c r="DR1085" s="105"/>
      <c r="DS1085" s="105"/>
      <c r="DT1085" s="105"/>
      <c r="DU1085" s="105"/>
      <c r="DV1085" s="105"/>
      <c r="DW1085" s="105"/>
      <c r="DX1085" s="105"/>
      <c r="DY1085" s="105"/>
      <c r="DZ1085" s="105"/>
      <c r="EA1085" s="105"/>
      <c r="EB1085" s="105"/>
      <c r="EC1085" s="105"/>
      <c r="ED1085" s="105"/>
      <c r="EE1085" s="105"/>
      <c r="EF1085" s="105"/>
      <c r="EG1085" s="105"/>
      <c r="EH1085" s="105"/>
      <c r="EI1085" s="105"/>
      <c r="EJ1085" s="105"/>
      <c r="EK1085" s="105"/>
      <c r="EL1085" s="105"/>
      <c r="EM1085" s="105"/>
      <c r="EN1085" s="105"/>
      <c r="EO1085" s="105"/>
      <c r="EP1085" s="105"/>
      <c r="EQ1085" s="105"/>
      <c r="ER1085" s="105"/>
      <c r="ES1085" s="105"/>
      <c r="ET1085" s="105"/>
      <c r="EU1085" s="105"/>
      <c r="EV1085" s="105"/>
      <c r="EW1085" s="105"/>
      <c r="EX1085" s="105"/>
      <c r="EY1085" s="105"/>
      <c r="EZ1085" s="105"/>
      <c r="FA1085" s="105"/>
      <c r="FB1085" s="105"/>
      <c r="FC1085" s="105"/>
      <c r="FD1085" s="105"/>
      <c r="FE1085" s="105"/>
      <c r="FF1085" s="105"/>
      <c r="FG1085" s="105"/>
      <c r="FH1085" s="105"/>
      <c r="FI1085" s="105"/>
      <c r="FJ1085" s="105"/>
      <c r="FK1085" s="105"/>
      <c r="FL1085" s="105"/>
      <c r="FM1085" s="105"/>
      <c r="FN1085" s="105"/>
      <c r="FO1085" s="105"/>
      <c r="FP1085" s="105"/>
    </row>
    <row r="1086" spans="19:172" ht="6.95" customHeight="1" x14ac:dyDescent="0.15">
      <c r="AD1086" s="93"/>
      <c r="AE1086" s="93"/>
      <c r="AF1086" s="93"/>
      <c r="AG1086" s="93"/>
      <c r="AH1086" s="93"/>
      <c r="AI1086" s="93"/>
      <c r="AJ1086" s="93"/>
      <c r="AK1086" s="93"/>
      <c r="AL1086" s="93"/>
      <c r="AM1086" s="93"/>
      <c r="AN1086" s="93"/>
      <c r="AO1086" s="93"/>
      <c r="AP1086" s="93"/>
      <c r="AQ1086" s="93"/>
      <c r="AR1086" s="93"/>
      <c r="AS1086" s="93"/>
      <c r="AT1086" s="93"/>
      <c r="AU1086" s="93"/>
      <c r="AV1086" s="93"/>
      <c r="AW1086" s="93"/>
      <c r="AX1086" s="93"/>
      <c r="AY1086" s="93"/>
      <c r="AZ1086" s="93"/>
      <c r="BA1086" s="93"/>
      <c r="BB1086" s="93"/>
      <c r="BC1086" s="93"/>
      <c r="BD1086" s="93"/>
      <c r="BE1086" s="93"/>
      <c r="BF1086" s="93"/>
      <c r="BG1086" s="93"/>
      <c r="BH1086" s="93"/>
      <c r="BI1086" s="93"/>
      <c r="BJ1086" s="93"/>
      <c r="BK1086" s="93"/>
      <c r="BL1086" s="93"/>
      <c r="BM1086" s="93"/>
      <c r="BN1086" s="93"/>
      <c r="BO1086" s="93"/>
      <c r="BP1086" s="93"/>
      <c r="BQ1086" s="93"/>
      <c r="BR1086" s="93"/>
      <c r="BS1086" s="93"/>
      <c r="BT1086" s="93"/>
      <c r="BU1086" s="93"/>
      <c r="BV1086" s="93"/>
      <c r="BW1086" s="93"/>
      <c r="BX1086" s="93"/>
      <c r="BY1086" s="93"/>
      <c r="BZ1086" s="93"/>
      <c r="CA1086" s="93"/>
      <c r="CB1086" s="93"/>
      <c r="CC1086" s="93"/>
      <c r="CD1086" s="93"/>
      <c r="CE1086" s="93"/>
      <c r="CF1086" s="93"/>
      <c r="CG1086" s="93"/>
      <c r="CH1086" s="93"/>
      <c r="CI1086" s="93"/>
      <c r="CJ1086" s="93"/>
      <c r="CK1086" s="93"/>
      <c r="CL1086" s="93"/>
      <c r="CM1086" s="93"/>
      <c r="CN1086" s="93"/>
      <c r="CO1086" s="93"/>
      <c r="CP1086" s="93"/>
      <c r="CQ1086" s="93"/>
      <c r="CR1086" s="93"/>
      <c r="CS1086" s="93"/>
      <c r="CT1086" s="93"/>
      <c r="CU1086" s="93"/>
      <c r="CV1086" s="93"/>
      <c r="CW1086" s="93"/>
      <c r="CX1086" s="93"/>
      <c r="CY1086" s="93"/>
      <c r="CZ1086" s="93"/>
      <c r="DA1086" s="93"/>
      <c r="DB1086" s="93"/>
      <c r="DC1086" s="105"/>
      <c r="DD1086" s="105"/>
      <c r="DE1086" s="105"/>
      <c r="DF1086" s="105"/>
      <c r="DG1086" s="105"/>
      <c r="DH1086" s="105"/>
      <c r="DI1086" s="105"/>
      <c r="DJ1086" s="105"/>
      <c r="DK1086" s="105"/>
      <c r="DL1086" s="105"/>
      <c r="DM1086" s="105"/>
      <c r="DN1086" s="105"/>
      <c r="DO1086" s="105"/>
      <c r="DP1086" s="105"/>
      <c r="DQ1086" s="105"/>
      <c r="DR1086" s="105"/>
      <c r="DS1086" s="105"/>
      <c r="DT1086" s="105"/>
      <c r="DU1086" s="105"/>
      <c r="DV1086" s="105"/>
      <c r="DW1086" s="105"/>
      <c r="DX1086" s="105"/>
      <c r="DY1086" s="105"/>
      <c r="DZ1086" s="105"/>
      <c r="EA1086" s="105"/>
      <c r="EB1086" s="105"/>
      <c r="EC1086" s="105"/>
      <c r="ED1086" s="105"/>
      <c r="EE1086" s="105"/>
      <c r="EF1086" s="105"/>
      <c r="EG1086" s="105"/>
      <c r="EH1086" s="105"/>
      <c r="EI1086" s="105"/>
      <c r="EJ1086" s="105"/>
      <c r="EK1086" s="105"/>
      <c r="EL1086" s="105"/>
      <c r="EM1086" s="105"/>
      <c r="EN1086" s="105"/>
      <c r="EO1086" s="105"/>
      <c r="EP1086" s="105"/>
      <c r="EQ1086" s="105"/>
      <c r="ER1086" s="105"/>
      <c r="ES1086" s="105"/>
      <c r="ET1086" s="105"/>
      <c r="EU1086" s="105"/>
      <c r="EV1086" s="105"/>
      <c r="EW1086" s="105"/>
      <c r="EX1086" s="105"/>
      <c r="EY1086" s="105"/>
      <c r="EZ1086" s="105"/>
      <c r="FA1086" s="105"/>
      <c r="FB1086" s="105"/>
      <c r="FC1086" s="105"/>
      <c r="FD1086" s="105"/>
      <c r="FE1086" s="105"/>
      <c r="FF1086" s="105"/>
      <c r="FG1086" s="105"/>
      <c r="FH1086" s="105"/>
      <c r="FI1086" s="105"/>
      <c r="FJ1086" s="105"/>
      <c r="FK1086" s="105"/>
      <c r="FL1086" s="105"/>
      <c r="FM1086" s="105"/>
      <c r="FN1086" s="105"/>
      <c r="FO1086" s="105"/>
      <c r="FP1086" s="105"/>
    </row>
    <row r="1087" spans="19:172" ht="6.95" customHeight="1" x14ac:dyDescent="0.15">
      <c r="S1087" s="89"/>
      <c r="T1087" s="89"/>
      <c r="U1087" s="89"/>
      <c r="V1087" s="89"/>
      <c r="W1087" s="89"/>
      <c r="X1087" s="89"/>
      <c r="Y1087" s="89"/>
      <c r="Z1087" s="89"/>
      <c r="AA1087" s="89"/>
      <c r="AB1087" s="89"/>
      <c r="AC1087" s="89"/>
      <c r="AD1087" s="89"/>
      <c r="AE1087" s="89"/>
      <c r="AF1087" s="89"/>
      <c r="AG1087" s="89"/>
      <c r="AH1087" s="89"/>
      <c r="AI1087" s="89"/>
      <c r="AJ1087" s="89"/>
      <c r="AK1087" s="89"/>
      <c r="AL1087" s="89"/>
      <c r="AM1087" s="89"/>
      <c r="AN1087" s="89"/>
      <c r="AO1087" s="89"/>
      <c r="AP1087" s="89"/>
      <c r="AQ1087" s="89"/>
      <c r="AR1087" s="89"/>
      <c r="AS1087" s="89"/>
      <c r="AT1087" s="89"/>
      <c r="AU1087" s="89"/>
      <c r="AV1087" s="89"/>
      <c r="AW1087" s="89"/>
      <c r="AX1087" s="93"/>
      <c r="AY1087" s="93"/>
      <c r="AZ1087" s="93"/>
      <c r="BA1087" s="93"/>
      <c r="BB1087" s="93"/>
      <c r="BC1087" s="93"/>
      <c r="BD1087" s="93"/>
      <c r="BE1087" s="93"/>
      <c r="BF1087" s="93"/>
      <c r="BG1087" s="93"/>
      <c r="BH1087" s="93"/>
      <c r="BI1087" s="93"/>
      <c r="BJ1087" s="93"/>
      <c r="BK1087" s="93"/>
      <c r="BL1087" s="93"/>
      <c r="BM1087" s="93"/>
      <c r="BN1087" s="93"/>
      <c r="BO1087" s="93"/>
      <c r="BP1087" s="93"/>
      <c r="BQ1087" s="93"/>
      <c r="BR1087" s="93"/>
      <c r="BS1087" s="93"/>
      <c r="BT1087" s="93"/>
      <c r="BU1087" s="93"/>
      <c r="BV1087" s="93"/>
      <c r="BW1087" s="93"/>
      <c r="BX1087" s="93"/>
      <c r="BY1087" s="93"/>
      <c r="BZ1087" s="93"/>
      <c r="CA1087" s="93"/>
      <c r="CB1087" s="93"/>
      <c r="CC1087" s="93"/>
      <c r="CD1087" s="93"/>
      <c r="CE1087" s="93"/>
      <c r="CF1087" s="93"/>
      <c r="CG1087" s="93"/>
      <c r="CH1087" s="93"/>
      <c r="CI1087" s="93"/>
      <c r="CJ1087" s="93"/>
      <c r="CK1087" s="93"/>
      <c r="CL1087" s="93"/>
      <c r="CM1087" s="93"/>
      <c r="CN1087" s="93"/>
      <c r="CO1087" s="93"/>
      <c r="CP1087" s="93"/>
      <c r="CQ1087" s="93"/>
      <c r="CR1087" s="93"/>
      <c r="CS1087" s="93"/>
      <c r="CT1087" s="93"/>
      <c r="CU1087" s="93"/>
      <c r="CV1087" s="93"/>
      <c r="CW1087" s="93"/>
      <c r="CX1087" s="93"/>
      <c r="CY1087" s="93"/>
      <c r="CZ1087" s="93"/>
      <c r="DA1087" s="93"/>
      <c r="DB1087" s="93"/>
      <c r="DC1087" s="105"/>
      <c r="DD1087" s="105"/>
      <c r="DE1087" s="105"/>
      <c r="DF1087" s="105"/>
      <c r="DG1087" s="105"/>
      <c r="DH1087" s="105"/>
      <c r="DI1087" s="105"/>
      <c r="DJ1087" s="105"/>
      <c r="DK1087" s="105"/>
      <c r="DL1087" s="105"/>
      <c r="DM1087" s="105"/>
      <c r="DN1087" s="105"/>
      <c r="DO1087" s="105"/>
      <c r="DP1087" s="105"/>
      <c r="DQ1087" s="105"/>
      <c r="DR1087" s="105"/>
      <c r="DS1087" s="105"/>
      <c r="DT1087" s="105"/>
      <c r="DU1087" s="105"/>
      <c r="DV1087" s="105"/>
      <c r="DW1087" s="105"/>
      <c r="DX1087" s="105"/>
      <c r="DY1087" s="105"/>
      <c r="DZ1087" s="105"/>
      <c r="EA1087" s="105"/>
      <c r="EB1087" s="105"/>
      <c r="EC1087" s="105"/>
      <c r="ED1087" s="105"/>
      <c r="EE1087" s="105"/>
      <c r="EF1087" s="105"/>
      <c r="EG1087" s="105"/>
      <c r="EH1087" s="105"/>
      <c r="EI1087" s="105"/>
      <c r="EJ1087" s="105"/>
      <c r="EK1087" s="105"/>
      <c r="EL1087" s="105"/>
      <c r="EM1087" s="105"/>
      <c r="EN1087" s="105"/>
      <c r="EO1087" s="105"/>
      <c r="EP1087" s="105"/>
      <c r="EQ1087" s="105"/>
      <c r="ER1087" s="105"/>
      <c r="ES1087" s="105"/>
      <c r="ET1087" s="105"/>
      <c r="EU1087" s="105"/>
      <c r="EV1087" s="105"/>
      <c r="EW1087" s="105"/>
      <c r="EX1087" s="105"/>
      <c r="EY1087" s="105"/>
      <c r="EZ1087" s="105"/>
      <c r="FA1087" s="105"/>
      <c r="FB1087" s="105"/>
      <c r="FC1087" s="105"/>
      <c r="FD1087" s="105"/>
      <c r="FE1087" s="105"/>
      <c r="FF1087" s="105"/>
      <c r="FG1087" s="105"/>
      <c r="FH1087" s="105"/>
      <c r="FI1087" s="105"/>
      <c r="FJ1087" s="105"/>
      <c r="FK1087" s="105"/>
      <c r="FL1087" s="105"/>
      <c r="FM1087" s="105"/>
      <c r="FN1087" s="105"/>
      <c r="FO1087" s="105"/>
      <c r="FP1087" s="105"/>
    </row>
    <row r="1088" spans="19:172" ht="6.95" customHeight="1" x14ac:dyDescent="0.15">
      <c r="S1088" s="89"/>
      <c r="T1088" s="89"/>
      <c r="U1088" s="89"/>
      <c r="V1088" s="89"/>
      <c r="W1088" s="89"/>
      <c r="X1088" s="89"/>
      <c r="Y1088" s="89"/>
      <c r="Z1088" s="89"/>
      <c r="AA1088" s="89"/>
      <c r="AB1088" s="89"/>
      <c r="AC1088" s="89"/>
      <c r="AD1088" s="89"/>
      <c r="AE1088" s="89"/>
      <c r="AF1088" s="89"/>
      <c r="AG1088" s="89"/>
      <c r="AH1088" s="89"/>
      <c r="AI1088" s="89"/>
      <c r="AJ1088" s="89"/>
      <c r="AK1088" s="89"/>
      <c r="AL1088" s="89"/>
      <c r="AM1088" s="89"/>
      <c r="AN1088" s="89"/>
      <c r="AO1088" s="89"/>
      <c r="AP1088" s="89"/>
      <c r="AQ1088" s="89"/>
      <c r="AR1088" s="89"/>
      <c r="AS1088" s="89"/>
      <c r="AT1088" s="89"/>
      <c r="AU1088" s="89"/>
      <c r="AV1088" s="89"/>
      <c r="AW1088" s="89"/>
      <c r="AX1088" s="93"/>
      <c r="AY1088" s="93"/>
      <c r="AZ1088" s="93"/>
      <c r="BA1088" s="93"/>
      <c r="BB1088" s="93"/>
      <c r="BC1088" s="93"/>
      <c r="BD1088" s="93"/>
      <c r="BE1088" s="93"/>
      <c r="BF1088" s="93"/>
      <c r="BG1088" s="93"/>
      <c r="BH1088" s="93"/>
      <c r="BI1088" s="93"/>
      <c r="BJ1088" s="93"/>
      <c r="BK1088" s="93"/>
      <c r="BL1088" s="93"/>
      <c r="BM1088" s="93"/>
      <c r="BN1088" s="93"/>
      <c r="BO1088" s="93"/>
      <c r="BP1088" s="93"/>
      <c r="BQ1088" s="93"/>
      <c r="BR1088" s="93"/>
      <c r="BS1088" s="93"/>
      <c r="BT1088" s="93"/>
      <c r="BU1088" s="93"/>
      <c r="BV1088" s="93"/>
      <c r="BW1088" s="93"/>
      <c r="BX1088" s="93"/>
      <c r="BY1088" s="93"/>
      <c r="BZ1088" s="93"/>
      <c r="CA1088" s="93"/>
      <c r="CB1088" s="93"/>
      <c r="CC1088" s="93"/>
      <c r="CD1088" s="93"/>
      <c r="CE1088" s="93"/>
      <c r="CF1088" s="93"/>
      <c r="CG1088" s="93"/>
      <c r="CH1088" s="93"/>
      <c r="CI1088" s="93"/>
      <c r="CJ1088" s="93"/>
      <c r="CK1088" s="93"/>
      <c r="CL1088" s="93"/>
      <c r="CM1088" s="93"/>
      <c r="CN1088" s="93"/>
      <c r="CO1088" s="93"/>
      <c r="CP1088" s="93"/>
      <c r="CQ1088" s="93"/>
      <c r="CR1088" s="93"/>
      <c r="CS1088" s="93"/>
      <c r="CT1088" s="93"/>
      <c r="CU1088" s="93"/>
      <c r="CV1088" s="93"/>
      <c r="CW1088" s="93"/>
      <c r="CX1088" s="93"/>
      <c r="CY1088" s="93"/>
      <c r="CZ1088" s="93"/>
      <c r="DA1088" s="93"/>
      <c r="DB1088" s="93"/>
      <c r="DC1088" s="105"/>
      <c r="DD1088" s="105"/>
      <c r="DE1088" s="105"/>
      <c r="DF1088" s="105"/>
      <c r="DG1088" s="105"/>
      <c r="DH1088" s="105"/>
      <c r="DI1088" s="105"/>
      <c r="DJ1088" s="105"/>
      <c r="DK1088" s="105"/>
      <c r="DL1088" s="105"/>
      <c r="DM1088" s="105"/>
      <c r="DN1088" s="105"/>
      <c r="DO1088" s="105"/>
      <c r="DP1088" s="105"/>
      <c r="DQ1088" s="105"/>
      <c r="DR1088" s="105"/>
      <c r="DS1088" s="105"/>
      <c r="DT1088" s="105"/>
      <c r="DU1088" s="105"/>
      <c r="DV1088" s="105"/>
      <c r="DW1088" s="105"/>
      <c r="DX1088" s="105"/>
      <c r="DY1088" s="105"/>
      <c r="DZ1088" s="105"/>
      <c r="EA1088" s="105"/>
      <c r="EB1088" s="105"/>
      <c r="EC1088" s="105"/>
      <c r="ED1088" s="105"/>
      <c r="EE1088" s="105"/>
      <c r="EF1088" s="105"/>
      <c r="EG1088" s="105"/>
      <c r="EH1088" s="105"/>
      <c r="EI1088" s="105"/>
      <c r="EJ1088" s="105"/>
      <c r="EK1088" s="105"/>
      <c r="EL1088" s="105"/>
      <c r="EM1088" s="105"/>
      <c r="EN1088" s="105"/>
      <c r="EO1088" s="105"/>
      <c r="EP1088" s="105"/>
      <c r="EQ1088" s="105"/>
      <c r="ER1088" s="105"/>
      <c r="ES1088" s="105"/>
      <c r="ET1088" s="105"/>
      <c r="EU1088" s="105"/>
      <c r="EV1088" s="105"/>
      <c r="EW1088" s="105"/>
      <c r="EX1088" s="105"/>
      <c r="EY1088" s="105"/>
      <c r="EZ1088" s="105"/>
      <c r="FA1088" s="105"/>
      <c r="FB1088" s="105"/>
      <c r="FC1088" s="105"/>
      <c r="FD1088" s="105"/>
      <c r="FE1088" s="105"/>
      <c r="FF1088" s="105"/>
      <c r="FG1088" s="105"/>
      <c r="FH1088" s="105"/>
      <c r="FI1088" s="105"/>
      <c r="FJ1088" s="105"/>
      <c r="FK1088" s="105"/>
      <c r="FL1088" s="105"/>
      <c r="FM1088" s="105"/>
      <c r="FN1088" s="105"/>
      <c r="FO1088" s="105"/>
      <c r="FP1088" s="105"/>
    </row>
    <row r="1089" spans="19:172" ht="6.95" customHeight="1" x14ac:dyDescent="0.15">
      <c r="S1089" s="89"/>
      <c r="T1089" s="89"/>
      <c r="U1089" s="89"/>
      <c r="V1089" s="89"/>
      <c r="W1089" s="89"/>
      <c r="X1089" s="89"/>
      <c r="Y1089" s="89"/>
      <c r="Z1089" s="89"/>
      <c r="AA1089" s="89"/>
      <c r="AB1089" s="89"/>
      <c r="AC1089" s="89"/>
      <c r="AD1089" s="89"/>
      <c r="AE1089" s="89"/>
      <c r="AF1089" s="89"/>
      <c r="AG1089" s="89"/>
      <c r="AH1089" s="89"/>
      <c r="AI1089" s="89"/>
      <c r="AJ1089" s="89"/>
      <c r="AK1089" s="89"/>
      <c r="AL1089" s="89"/>
      <c r="AM1089" s="89"/>
      <c r="AN1089" s="89"/>
      <c r="AO1089" s="89"/>
      <c r="AP1089" s="89"/>
      <c r="AQ1089" s="89"/>
      <c r="AR1089" s="89"/>
      <c r="AS1089" s="89"/>
      <c r="AT1089" s="89"/>
      <c r="AU1089" s="89"/>
      <c r="AV1089" s="89"/>
      <c r="AW1089" s="89"/>
      <c r="AX1089" s="93"/>
      <c r="AY1089" s="93"/>
      <c r="AZ1089" s="93"/>
      <c r="BA1089" s="93"/>
      <c r="BB1089" s="93"/>
      <c r="BC1089" s="93"/>
      <c r="BD1089" s="93"/>
      <c r="BE1089" s="93"/>
      <c r="BF1089" s="93"/>
      <c r="BG1089" s="93"/>
      <c r="BH1089" s="93"/>
      <c r="BI1089" s="93"/>
      <c r="BJ1089" s="93"/>
      <c r="BK1089" s="93"/>
      <c r="BL1089" s="93"/>
      <c r="BM1089" s="93"/>
      <c r="BN1089" s="93"/>
      <c r="BO1089" s="93"/>
      <c r="BP1089" s="93"/>
      <c r="BQ1089" s="93"/>
      <c r="BR1089" s="93"/>
      <c r="BS1089" s="93"/>
      <c r="BT1089" s="93"/>
      <c r="BU1089" s="93"/>
      <c r="BV1089" s="93"/>
      <c r="BW1089" s="93"/>
      <c r="BX1089" s="93"/>
      <c r="BY1089" s="93"/>
      <c r="BZ1089" s="93"/>
      <c r="CA1089" s="93"/>
      <c r="CB1089" s="93"/>
      <c r="CC1089" s="93"/>
      <c r="CD1089" s="93"/>
      <c r="CE1089" s="93"/>
      <c r="CF1089" s="93"/>
      <c r="CG1089" s="93"/>
      <c r="CH1089" s="93"/>
      <c r="CI1089" s="93"/>
      <c r="CJ1089" s="93"/>
      <c r="CK1089" s="93"/>
      <c r="CL1089" s="93"/>
      <c r="CM1089" s="93"/>
      <c r="CN1089" s="93"/>
      <c r="CO1089" s="93"/>
      <c r="CP1089" s="93"/>
      <c r="CQ1089" s="93"/>
      <c r="CR1089" s="93"/>
      <c r="CS1089" s="93"/>
      <c r="CT1089" s="93"/>
      <c r="CU1089" s="93"/>
      <c r="CV1089" s="93"/>
      <c r="CW1089" s="93"/>
      <c r="CX1089" s="93"/>
      <c r="CY1089" s="93"/>
      <c r="CZ1089" s="93"/>
      <c r="DA1089" s="93"/>
      <c r="DB1089" s="93"/>
      <c r="DC1089" s="105"/>
      <c r="DD1089" s="105"/>
      <c r="DE1089" s="105"/>
      <c r="DF1089" s="105"/>
      <c r="DG1089" s="105"/>
      <c r="DH1089" s="105"/>
      <c r="DI1089" s="105"/>
      <c r="DJ1089" s="105"/>
      <c r="DK1089" s="105"/>
      <c r="DL1089" s="105"/>
      <c r="DM1089" s="105"/>
      <c r="DN1089" s="105"/>
      <c r="DO1089" s="105"/>
      <c r="DP1089" s="105"/>
      <c r="DQ1089" s="105"/>
      <c r="DR1089" s="105"/>
      <c r="DS1089" s="105"/>
      <c r="DT1089" s="105"/>
      <c r="DU1089" s="105"/>
      <c r="DV1089" s="105"/>
      <c r="DW1089" s="105"/>
      <c r="DX1089" s="105"/>
      <c r="DY1089" s="105"/>
      <c r="DZ1089" s="105"/>
      <c r="EA1089" s="105"/>
      <c r="EB1089" s="105"/>
      <c r="EC1089" s="105"/>
      <c r="ED1089" s="105"/>
      <c r="EE1089" s="105"/>
      <c r="EF1089" s="105"/>
      <c r="EG1089" s="105"/>
      <c r="EH1089" s="105"/>
      <c r="EI1089" s="105"/>
      <c r="EJ1089" s="105"/>
      <c r="EK1089" s="105"/>
      <c r="EL1089" s="105"/>
      <c r="EM1089" s="105"/>
      <c r="EN1089" s="105"/>
      <c r="EO1089" s="105"/>
      <c r="EP1089" s="105"/>
      <c r="EQ1089" s="105"/>
      <c r="ER1089" s="105"/>
      <c r="ES1089" s="105"/>
      <c r="ET1089" s="105"/>
      <c r="EU1089" s="105"/>
      <c r="EV1089" s="105"/>
      <c r="EW1089" s="105"/>
      <c r="EX1089" s="105"/>
      <c r="EY1089" s="105"/>
      <c r="EZ1089" s="105"/>
      <c r="FA1089" s="105"/>
      <c r="FB1089" s="105"/>
      <c r="FC1089" s="105"/>
      <c r="FD1089" s="105"/>
      <c r="FE1089" s="105"/>
      <c r="FF1089" s="105"/>
      <c r="FG1089" s="105"/>
      <c r="FH1089" s="105"/>
      <c r="FI1089" s="105"/>
      <c r="FJ1089" s="105"/>
      <c r="FK1089" s="105"/>
      <c r="FL1089" s="105"/>
      <c r="FM1089" s="105"/>
      <c r="FN1089" s="105"/>
      <c r="FO1089" s="105"/>
      <c r="FP1089" s="105"/>
    </row>
    <row r="1090" spans="19:172" ht="6.95" customHeight="1" x14ac:dyDescent="0.15">
      <c r="S1090" s="89"/>
      <c r="T1090" s="89"/>
      <c r="U1090" s="89"/>
      <c r="V1090" s="89"/>
      <c r="W1090" s="89"/>
      <c r="X1090" s="89"/>
      <c r="Y1090" s="89"/>
      <c r="Z1090" s="89"/>
      <c r="AA1090" s="89"/>
      <c r="AB1090" s="89"/>
      <c r="AC1090" s="89"/>
      <c r="AD1090" s="89"/>
      <c r="AE1090" s="89"/>
      <c r="AF1090" s="89"/>
      <c r="AG1090" s="89"/>
      <c r="AH1090" s="89"/>
      <c r="AI1090" s="89"/>
      <c r="AJ1090" s="89"/>
      <c r="AK1090" s="89"/>
      <c r="AL1090" s="89"/>
      <c r="AM1090" s="89"/>
      <c r="AN1090" s="89"/>
      <c r="AO1090" s="89"/>
      <c r="AP1090" s="89"/>
      <c r="AQ1090" s="89"/>
      <c r="AR1090" s="89"/>
      <c r="AS1090" s="89"/>
      <c r="AT1090" s="89"/>
      <c r="AU1090" s="89"/>
      <c r="AV1090" s="89"/>
      <c r="AW1090" s="89"/>
      <c r="AX1090" s="93"/>
      <c r="AY1090" s="93"/>
      <c r="AZ1090" s="93"/>
      <c r="BA1090" s="93"/>
      <c r="BB1090" s="93"/>
      <c r="BC1090" s="93"/>
      <c r="BD1090" s="93"/>
      <c r="BE1090" s="93"/>
      <c r="BF1090" s="93"/>
      <c r="BG1090" s="93"/>
      <c r="BH1090" s="93"/>
      <c r="BI1090" s="93"/>
      <c r="BJ1090" s="93"/>
      <c r="BK1090" s="93"/>
      <c r="BL1090" s="93"/>
      <c r="BM1090" s="93"/>
      <c r="BN1090" s="93"/>
      <c r="BO1090" s="93"/>
      <c r="BP1090" s="93"/>
      <c r="BQ1090" s="93"/>
      <c r="BR1090" s="93"/>
      <c r="BS1090" s="93"/>
      <c r="BT1090" s="93"/>
      <c r="BU1090" s="93"/>
      <c r="BV1090" s="93"/>
      <c r="BW1090" s="93"/>
      <c r="BX1090" s="93"/>
      <c r="BY1090" s="93"/>
      <c r="BZ1090" s="93"/>
      <c r="CA1090" s="93"/>
      <c r="CB1090" s="93"/>
      <c r="CC1090" s="93"/>
      <c r="CD1090" s="93"/>
      <c r="CE1090" s="93"/>
      <c r="CF1090" s="93"/>
      <c r="CG1090" s="93"/>
      <c r="CH1090" s="93"/>
      <c r="CI1090" s="93"/>
      <c r="CJ1090" s="93"/>
      <c r="CK1090" s="93"/>
      <c r="CL1090" s="93"/>
      <c r="CM1090" s="93"/>
      <c r="CN1090" s="93"/>
      <c r="CO1090" s="93"/>
      <c r="CP1090" s="93"/>
      <c r="CQ1090" s="93"/>
      <c r="CR1090" s="93"/>
      <c r="CS1090" s="93"/>
      <c r="CT1090" s="93"/>
      <c r="CU1090" s="93"/>
      <c r="CV1090" s="93"/>
      <c r="CW1090" s="93"/>
      <c r="CX1090" s="93"/>
      <c r="CY1090" s="93"/>
      <c r="CZ1090" s="93"/>
      <c r="DA1090" s="93"/>
      <c r="DB1090" s="93"/>
      <c r="DC1090" s="105"/>
      <c r="DD1090" s="105"/>
      <c r="DE1090" s="105"/>
      <c r="DF1090" s="105"/>
      <c r="DG1090" s="105"/>
      <c r="DH1090" s="105"/>
      <c r="DI1090" s="105"/>
      <c r="DJ1090" s="105"/>
      <c r="DK1090" s="105"/>
      <c r="DL1090" s="105"/>
      <c r="DM1090" s="105"/>
      <c r="DN1090" s="105"/>
      <c r="DO1090" s="105"/>
      <c r="DP1090" s="105"/>
      <c r="DQ1090" s="105"/>
      <c r="DR1090" s="105"/>
      <c r="DS1090" s="105"/>
      <c r="DT1090" s="105"/>
      <c r="DU1090" s="105"/>
      <c r="DV1090" s="105"/>
      <c r="DW1090" s="105"/>
      <c r="DX1090" s="105"/>
      <c r="DY1090" s="105"/>
      <c r="DZ1090" s="105"/>
      <c r="EA1090" s="105"/>
      <c r="EB1090" s="105"/>
      <c r="EC1090" s="105"/>
      <c r="ED1090" s="105"/>
      <c r="EE1090" s="105"/>
      <c r="EF1090" s="105"/>
      <c r="EG1090" s="105"/>
      <c r="EH1090" s="105"/>
      <c r="EI1090" s="105"/>
      <c r="EJ1090" s="105"/>
      <c r="EK1090" s="105"/>
      <c r="EL1090" s="105"/>
      <c r="EM1090" s="105"/>
      <c r="EN1090" s="105"/>
      <c r="EO1090" s="105"/>
      <c r="EP1090" s="105"/>
      <c r="EQ1090" s="105"/>
      <c r="ER1090" s="105"/>
      <c r="ES1090" s="105"/>
      <c r="ET1090" s="105"/>
      <c r="EU1090" s="105"/>
      <c r="EV1090" s="105"/>
      <c r="EW1090" s="105"/>
      <c r="EX1090" s="105"/>
      <c r="EY1090" s="105"/>
      <c r="EZ1090" s="105"/>
      <c r="FA1090" s="105"/>
      <c r="FB1090" s="105"/>
      <c r="FC1090" s="105"/>
      <c r="FD1090" s="105"/>
      <c r="FE1090" s="105"/>
      <c r="FF1090" s="105"/>
      <c r="FG1090" s="105"/>
      <c r="FH1090" s="105"/>
      <c r="FI1090" s="105"/>
      <c r="FJ1090" s="105"/>
      <c r="FK1090" s="105"/>
      <c r="FL1090" s="105"/>
      <c r="FM1090" s="105"/>
      <c r="FN1090" s="105"/>
      <c r="FO1090" s="105"/>
      <c r="FP1090" s="105"/>
    </row>
    <row r="1091" spans="19:172" ht="6.95" customHeight="1" x14ac:dyDescent="0.15">
      <c r="S1091" s="89"/>
      <c r="T1091" s="89"/>
      <c r="U1091" s="89"/>
      <c r="V1091" s="89"/>
      <c r="W1091" s="89"/>
      <c r="X1091" s="89"/>
      <c r="Y1091" s="89"/>
      <c r="Z1091" s="89"/>
      <c r="AA1091" s="89"/>
      <c r="AB1091" s="89"/>
      <c r="AC1091" s="89"/>
      <c r="AD1091" s="89"/>
      <c r="AE1091" s="89"/>
      <c r="AF1091" s="89"/>
      <c r="AG1091" s="89"/>
      <c r="AH1091" s="89"/>
      <c r="AI1091" s="89"/>
      <c r="AJ1091" s="89"/>
      <c r="AK1091" s="89"/>
      <c r="AL1091" s="89"/>
      <c r="AM1091" s="89"/>
      <c r="AN1091" s="89"/>
      <c r="AO1091" s="89"/>
      <c r="AP1091" s="89"/>
      <c r="AQ1091" s="89"/>
      <c r="AR1091" s="89"/>
      <c r="AS1091" s="89"/>
      <c r="AT1091" s="89"/>
      <c r="AU1091" s="89"/>
      <c r="AV1091" s="89"/>
      <c r="AW1091" s="89"/>
      <c r="AX1091" s="93"/>
      <c r="AY1091" s="93"/>
      <c r="AZ1091" s="93"/>
      <c r="BA1091" s="93"/>
      <c r="BB1091" s="93"/>
      <c r="BC1091" s="93"/>
      <c r="BD1091" s="93"/>
      <c r="BE1091" s="93"/>
      <c r="BF1091" s="93"/>
      <c r="BG1091" s="93"/>
      <c r="BH1091" s="93"/>
      <c r="BI1091" s="93"/>
      <c r="BJ1091" s="93"/>
      <c r="BK1091" s="93"/>
      <c r="BL1091" s="93"/>
      <c r="BM1091" s="93"/>
      <c r="BN1091" s="93"/>
      <c r="BO1091" s="93"/>
      <c r="BP1091" s="93"/>
      <c r="BQ1091" s="93"/>
      <c r="BR1091" s="93"/>
      <c r="BS1091" s="93"/>
      <c r="BT1091" s="93"/>
      <c r="BU1091" s="93"/>
      <c r="BV1091" s="93"/>
      <c r="BW1091" s="93"/>
      <c r="BX1091" s="93"/>
      <c r="BY1091" s="93"/>
      <c r="BZ1091" s="93"/>
      <c r="CA1091" s="93"/>
      <c r="CB1091" s="93"/>
      <c r="CC1091" s="93"/>
      <c r="CD1091" s="93"/>
      <c r="CE1091" s="93"/>
      <c r="CF1091" s="93"/>
      <c r="CG1091" s="93"/>
      <c r="CH1091" s="93"/>
      <c r="CI1091" s="93"/>
      <c r="CJ1091" s="93"/>
      <c r="CK1091" s="93"/>
      <c r="CL1091" s="93"/>
      <c r="CM1091" s="93"/>
      <c r="CN1091" s="93"/>
      <c r="CO1091" s="93"/>
      <c r="CP1091" s="93"/>
      <c r="CQ1091" s="93"/>
      <c r="CR1091" s="93"/>
      <c r="CS1091" s="93"/>
      <c r="CT1091" s="93"/>
      <c r="CU1091" s="93"/>
      <c r="CV1091" s="93"/>
      <c r="CW1091" s="93"/>
      <c r="CX1091" s="93"/>
      <c r="CY1091" s="93"/>
      <c r="CZ1091" s="93"/>
      <c r="DA1091" s="93"/>
      <c r="DB1091" s="93"/>
      <c r="DC1091" s="105"/>
      <c r="DD1091" s="105"/>
      <c r="DE1091" s="105"/>
      <c r="DF1091" s="105"/>
      <c r="DG1091" s="105"/>
      <c r="DH1091" s="105"/>
      <c r="DI1091" s="105"/>
      <c r="DJ1091" s="105"/>
      <c r="DK1091" s="105"/>
      <c r="DL1091" s="105"/>
      <c r="DM1091" s="105"/>
      <c r="DN1091" s="105"/>
      <c r="DO1091" s="105"/>
      <c r="DP1091" s="105"/>
      <c r="DQ1091" s="105"/>
      <c r="DR1091" s="105"/>
      <c r="DS1091" s="105"/>
      <c r="DT1091" s="105"/>
      <c r="DU1091" s="105"/>
      <c r="DV1091" s="105"/>
      <c r="DW1091" s="105"/>
      <c r="DX1091" s="105"/>
      <c r="DY1091" s="105"/>
      <c r="DZ1091" s="105"/>
      <c r="EA1091" s="105"/>
      <c r="EB1091" s="105"/>
      <c r="EC1091" s="105"/>
      <c r="ED1091" s="105"/>
      <c r="EE1091" s="105"/>
      <c r="EF1091" s="105"/>
      <c r="EG1091" s="105"/>
      <c r="EH1091" s="105"/>
      <c r="EI1091" s="105"/>
      <c r="EJ1091" s="105"/>
      <c r="EK1091" s="105"/>
      <c r="EL1091" s="105"/>
      <c r="EM1091" s="105"/>
      <c r="EN1091" s="105"/>
      <c r="EO1091" s="105"/>
      <c r="EP1091" s="105"/>
      <c r="EQ1091" s="105"/>
      <c r="ER1091" s="105"/>
      <c r="ES1091" s="105"/>
      <c r="ET1091" s="105"/>
      <c r="EU1091" s="105"/>
      <c r="EV1091" s="105"/>
      <c r="EW1091" s="105"/>
      <c r="EX1091" s="105"/>
      <c r="EY1091" s="105"/>
      <c r="EZ1091" s="105"/>
      <c r="FA1091" s="105"/>
      <c r="FB1091" s="105"/>
      <c r="FC1091" s="105"/>
      <c r="FD1091" s="105"/>
      <c r="FE1091" s="105"/>
      <c r="FF1091" s="105"/>
      <c r="FG1091" s="105"/>
      <c r="FH1091" s="105"/>
      <c r="FI1091" s="105"/>
      <c r="FJ1091" s="105"/>
      <c r="FK1091" s="105"/>
      <c r="FL1091" s="105"/>
      <c r="FM1091" s="105"/>
      <c r="FN1091" s="105"/>
      <c r="FO1091" s="105"/>
      <c r="FP1091" s="105"/>
    </row>
    <row r="1092" spans="19:172" ht="6.95" customHeight="1" x14ac:dyDescent="0.15">
      <c r="S1092" s="89"/>
      <c r="T1092" s="89"/>
      <c r="U1092" s="89"/>
      <c r="V1092" s="89"/>
      <c r="W1092" s="89"/>
      <c r="X1092" s="89"/>
      <c r="Y1092" s="89"/>
      <c r="Z1092" s="89"/>
      <c r="AA1092" s="89"/>
      <c r="AB1092" s="89"/>
      <c r="AC1092" s="89"/>
      <c r="AD1092" s="89"/>
      <c r="AE1092" s="89"/>
      <c r="AF1092" s="89"/>
      <c r="AG1092" s="89"/>
      <c r="AH1092" s="89"/>
      <c r="AI1092" s="89"/>
      <c r="AJ1092" s="89"/>
      <c r="AK1092" s="89"/>
      <c r="AL1092" s="89"/>
      <c r="AM1092" s="89"/>
      <c r="AN1092" s="89"/>
      <c r="AO1092" s="89"/>
      <c r="AP1092" s="89"/>
      <c r="AQ1092" s="89"/>
      <c r="AR1092" s="89"/>
      <c r="AS1092" s="89"/>
      <c r="AT1092" s="89"/>
      <c r="AU1092" s="89"/>
      <c r="AV1092" s="89"/>
      <c r="AW1092" s="89"/>
      <c r="AX1092" s="93"/>
      <c r="AY1092" s="93"/>
      <c r="AZ1092" s="93"/>
      <c r="BA1092" s="93"/>
      <c r="BB1092" s="93"/>
      <c r="BC1092" s="93"/>
      <c r="BD1092" s="93"/>
      <c r="BE1092" s="93"/>
      <c r="BF1092" s="93"/>
      <c r="BG1092" s="93"/>
      <c r="BH1092" s="93"/>
      <c r="BI1092" s="93"/>
      <c r="BJ1092" s="93"/>
      <c r="BK1092" s="93"/>
      <c r="BL1092" s="93"/>
      <c r="BM1092" s="93"/>
      <c r="BN1092" s="93"/>
      <c r="BO1092" s="93"/>
      <c r="BP1092" s="93"/>
      <c r="BQ1092" s="93"/>
      <c r="BR1092" s="93"/>
      <c r="BS1092" s="93"/>
      <c r="BT1092" s="93"/>
      <c r="BU1092" s="93"/>
      <c r="BV1092" s="93"/>
      <c r="BW1092" s="93"/>
      <c r="BX1092" s="93"/>
      <c r="BY1092" s="93"/>
      <c r="BZ1092" s="93"/>
      <c r="CA1092" s="93"/>
      <c r="CB1092" s="93"/>
      <c r="CC1092" s="93"/>
      <c r="CD1092" s="93"/>
      <c r="CE1092" s="93"/>
      <c r="CF1092" s="93"/>
      <c r="CG1092" s="93"/>
      <c r="CH1092" s="93"/>
      <c r="CI1092" s="93"/>
      <c r="CJ1092" s="93"/>
      <c r="CK1092" s="93"/>
      <c r="CL1092" s="93"/>
      <c r="CM1092" s="93"/>
      <c r="CN1092" s="93"/>
      <c r="CO1092" s="93"/>
      <c r="CP1092" s="93"/>
      <c r="CQ1092" s="93"/>
      <c r="CR1092" s="93"/>
      <c r="CS1092" s="93"/>
      <c r="CT1092" s="93"/>
      <c r="CU1092" s="93"/>
      <c r="CV1092" s="93"/>
      <c r="CW1092" s="93"/>
      <c r="CX1092" s="93"/>
      <c r="CY1092" s="93"/>
      <c r="CZ1092" s="93"/>
      <c r="DA1092" s="93"/>
      <c r="DB1092" s="93"/>
      <c r="DC1092" s="105"/>
      <c r="DD1092" s="105"/>
      <c r="DE1092" s="105"/>
      <c r="DF1092" s="105"/>
      <c r="DG1092" s="105"/>
      <c r="DH1092" s="105"/>
      <c r="DI1092" s="105"/>
      <c r="DJ1092" s="105"/>
      <c r="DK1092" s="105"/>
      <c r="DL1092" s="105"/>
      <c r="DM1092" s="105"/>
      <c r="DN1092" s="105"/>
      <c r="DO1092" s="105"/>
      <c r="DP1092" s="105"/>
      <c r="DQ1092" s="105"/>
      <c r="DR1092" s="105"/>
      <c r="DS1092" s="105"/>
      <c r="DT1092" s="105"/>
      <c r="DU1092" s="105"/>
      <c r="DV1092" s="105"/>
      <c r="DW1092" s="105"/>
      <c r="DX1092" s="105"/>
      <c r="DY1092" s="105"/>
      <c r="DZ1092" s="105"/>
      <c r="EA1092" s="105"/>
      <c r="EB1092" s="105"/>
      <c r="EC1092" s="105"/>
      <c r="ED1092" s="105"/>
      <c r="EE1092" s="105"/>
      <c r="EF1092" s="105"/>
      <c r="EG1092" s="105"/>
      <c r="EH1092" s="105"/>
      <c r="EI1092" s="105"/>
      <c r="EJ1092" s="105"/>
      <c r="EK1092" s="105"/>
      <c r="EL1092" s="105"/>
      <c r="EM1092" s="105"/>
      <c r="EN1092" s="105"/>
      <c r="EO1092" s="105"/>
      <c r="EP1092" s="105"/>
      <c r="EQ1092" s="105"/>
      <c r="ER1092" s="105"/>
      <c r="ES1092" s="105"/>
      <c r="ET1092" s="105"/>
      <c r="EU1092" s="105"/>
      <c r="EV1092" s="105"/>
      <c r="EW1092" s="105"/>
      <c r="EX1092" s="105"/>
      <c r="EY1092" s="105"/>
      <c r="EZ1092" s="105"/>
      <c r="FA1092" s="105"/>
      <c r="FB1092" s="105"/>
      <c r="FC1092" s="105"/>
      <c r="FD1092" s="105"/>
      <c r="FE1092" s="105"/>
      <c r="FF1092" s="105"/>
      <c r="FG1092" s="105"/>
      <c r="FH1092" s="105"/>
      <c r="FI1092" s="105"/>
      <c r="FJ1092" s="105"/>
      <c r="FK1092" s="105"/>
      <c r="FL1092" s="105"/>
      <c r="FM1092" s="105"/>
      <c r="FN1092" s="105"/>
      <c r="FO1092" s="105"/>
      <c r="FP1092" s="105"/>
    </row>
    <row r="1093" spans="19:172" ht="6.95" customHeight="1" x14ac:dyDescent="0.15">
      <c r="S1093" s="89"/>
      <c r="T1093" s="89"/>
      <c r="U1093" s="89"/>
      <c r="V1093" s="89"/>
      <c r="W1093" s="89"/>
      <c r="X1093" s="89"/>
      <c r="Y1093" s="89"/>
      <c r="Z1093" s="89"/>
      <c r="AA1093" s="89"/>
      <c r="AB1093" s="89"/>
      <c r="AC1093" s="89"/>
      <c r="AD1093" s="89"/>
      <c r="AE1093" s="89"/>
      <c r="AF1093" s="89"/>
      <c r="AG1093" s="89"/>
      <c r="AH1093" s="89"/>
      <c r="AI1093" s="89"/>
      <c r="AJ1093" s="89"/>
      <c r="AK1093" s="89"/>
      <c r="AL1093" s="89"/>
      <c r="AM1093" s="89"/>
      <c r="AN1093" s="89"/>
      <c r="AO1093" s="89"/>
      <c r="AP1093" s="89"/>
      <c r="AQ1093" s="89"/>
      <c r="AR1093" s="89"/>
      <c r="AS1093" s="89"/>
      <c r="AT1093" s="89"/>
      <c r="AU1093" s="89"/>
      <c r="AV1093" s="89"/>
      <c r="AW1093" s="89"/>
      <c r="AX1093" s="93"/>
      <c r="AY1093" s="93"/>
      <c r="AZ1093" s="93"/>
      <c r="BA1093" s="93"/>
      <c r="BB1093" s="93"/>
      <c r="BC1093" s="93"/>
      <c r="BD1093" s="93"/>
      <c r="BE1093" s="93"/>
      <c r="BF1093" s="93"/>
      <c r="BG1093" s="93"/>
      <c r="BH1093" s="93"/>
      <c r="BI1093" s="93"/>
      <c r="BJ1093" s="93"/>
      <c r="BK1093" s="93"/>
      <c r="BL1093" s="93"/>
      <c r="BM1093" s="93"/>
      <c r="BN1093" s="93"/>
      <c r="BO1093" s="93"/>
      <c r="BP1093" s="93"/>
      <c r="BQ1093" s="93"/>
      <c r="BR1093" s="93"/>
      <c r="BS1093" s="93"/>
      <c r="BT1093" s="93"/>
      <c r="BU1093" s="93"/>
      <c r="BV1093" s="93"/>
      <c r="BW1093" s="93"/>
      <c r="BX1093" s="93"/>
      <c r="BY1093" s="93"/>
      <c r="BZ1093" s="93"/>
      <c r="CA1093" s="93"/>
      <c r="CB1093" s="93"/>
      <c r="CC1093" s="93"/>
      <c r="CD1093" s="93"/>
      <c r="CE1093" s="93"/>
      <c r="CF1093" s="93"/>
      <c r="CG1093" s="93"/>
      <c r="CH1093" s="93"/>
      <c r="CI1093" s="93"/>
      <c r="CJ1093" s="93"/>
      <c r="CK1093" s="93"/>
      <c r="CL1093" s="93"/>
      <c r="CM1093" s="93"/>
      <c r="CN1093" s="93"/>
      <c r="CO1093" s="93"/>
      <c r="CP1093" s="93"/>
      <c r="CQ1093" s="93"/>
      <c r="CR1093" s="93"/>
      <c r="CS1093" s="93"/>
      <c r="CT1093" s="93"/>
      <c r="CU1093" s="93"/>
      <c r="CV1093" s="93"/>
      <c r="CW1093" s="93"/>
      <c r="CX1093" s="93"/>
      <c r="CY1093" s="93"/>
      <c r="CZ1093" s="93"/>
      <c r="DA1093" s="93"/>
      <c r="DB1093" s="93"/>
      <c r="DC1093" s="105"/>
      <c r="DD1093" s="105"/>
      <c r="DE1093" s="105"/>
      <c r="DF1093" s="105"/>
      <c r="DG1093" s="105"/>
      <c r="DH1093" s="105"/>
      <c r="DI1093" s="105"/>
      <c r="DJ1093" s="105"/>
      <c r="DK1093" s="105"/>
      <c r="DL1093" s="105"/>
      <c r="DM1093" s="105"/>
      <c r="DN1093" s="105"/>
      <c r="DO1093" s="105"/>
      <c r="DP1093" s="105"/>
      <c r="DQ1093" s="105"/>
      <c r="DR1093" s="105"/>
      <c r="DS1093" s="105"/>
      <c r="DT1093" s="105"/>
      <c r="DU1093" s="105"/>
      <c r="DV1093" s="105"/>
      <c r="DW1093" s="105"/>
      <c r="DX1093" s="105"/>
      <c r="DY1093" s="105"/>
      <c r="DZ1093" s="105"/>
      <c r="EA1093" s="105"/>
      <c r="EB1093" s="105"/>
      <c r="EC1093" s="105"/>
      <c r="ED1093" s="105"/>
      <c r="EE1093" s="105"/>
      <c r="EF1093" s="105"/>
      <c r="EG1093" s="105"/>
      <c r="EH1093" s="105"/>
      <c r="EI1093" s="105"/>
      <c r="EJ1093" s="105"/>
      <c r="EK1093" s="105"/>
      <c r="EL1093" s="105"/>
      <c r="EM1093" s="105"/>
      <c r="EN1093" s="105"/>
      <c r="EO1093" s="105"/>
      <c r="EP1093" s="105"/>
      <c r="EQ1093" s="105"/>
      <c r="ER1093" s="105"/>
      <c r="ES1093" s="105"/>
      <c r="ET1093" s="105"/>
      <c r="EU1093" s="105"/>
      <c r="EV1093" s="105"/>
      <c r="EW1093" s="105"/>
      <c r="EX1093" s="105"/>
      <c r="EY1093" s="105"/>
      <c r="EZ1093" s="105"/>
      <c r="FA1093" s="105"/>
      <c r="FB1093" s="105"/>
      <c r="FC1093" s="105"/>
      <c r="FD1093" s="105"/>
      <c r="FE1093" s="105"/>
      <c r="FF1093" s="105"/>
      <c r="FG1093" s="105"/>
      <c r="FH1093" s="105"/>
      <c r="FI1093" s="105"/>
      <c r="FJ1093" s="105"/>
      <c r="FK1093" s="105"/>
      <c r="FL1093" s="105"/>
      <c r="FM1093" s="105"/>
      <c r="FN1093" s="105"/>
      <c r="FO1093" s="105"/>
      <c r="FP1093" s="105"/>
    </row>
    <row r="1094" spans="19:172" ht="6.95" customHeight="1" x14ac:dyDescent="0.15">
      <c r="S1094" s="89"/>
      <c r="T1094" s="89"/>
      <c r="U1094" s="89"/>
      <c r="V1094" s="89"/>
      <c r="W1094" s="89"/>
      <c r="X1094" s="89"/>
      <c r="Y1094" s="89"/>
      <c r="Z1094" s="89"/>
      <c r="AA1094" s="89"/>
      <c r="AB1094" s="89"/>
      <c r="AC1094" s="89"/>
      <c r="AD1094" s="89"/>
      <c r="AE1094" s="89"/>
      <c r="AF1094" s="89"/>
      <c r="AG1094" s="89"/>
      <c r="AH1094" s="89"/>
      <c r="AI1094" s="89"/>
      <c r="AJ1094" s="89"/>
      <c r="AK1094" s="89"/>
      <c r="AL1094" s="89"/>
      <c r="AM1094" s="89"/>
      <c r="AN1094" s="89"/>
      <c r="AO1094" s="89"/>
      <c r="AP1094" s="89"/>
      <c r="AQ1094" s="89"/>
      <c r="AR1094" s="89"/>
      <c r="AS1094" s="89"/>
      <c r="AT1094" s="89"/>
      <c r="AU1094" s="89"/>
      <c r="AV1094" s="89"/>
      <c r="AW1094" s="89"/>
      <c r="AX1094" s="93"/>
      <c r="AY1094" s="93"/>
      <c r="AZ1094" s="93"/>
      <c r="BA1094" s="93"/>
      <c r="BB1094" s="93"/>
      <c r="BC1094" s="93"/>
      <c r="BD1094" s="93"/>
      <c r="BE1094" s="93"/>
      <c r="BF1094" s="93"/>
      <c r="BG1094" s="93"/>
      <c r="BH1094" s="93"/>
      <c r="BI1094" s="93"/>
      <c r="BJ1094" s="93"/>
      <c r="BK1094" s="93"/>
      <c r="BL1094" s="93"/>
      <c r="BM1094" s="93"/>
      <c r="BN1094" s="93"/>
      <c r="BO1094" s="93"/>
      <c r="BP1094" s="93"/>
      <c r="BQ1094" s="93"/>
      <c r="BR1094" s="93"/>
      <c r="BS1094" s="93"/>
      <c r="BT1094" s="93"/>
      <c r="BU1094" s="93"/>
      <c r="BV1094" s="93"/>
      <c r="BW1094" s="93"/>
      <c r="BX1094" s="93"/>
      <c r="BY1094" s="93"/>
      <c r="BZ1094" s="93"/>
      <c r="CA1094" s="93"/>
      <c r="CB1094" s="93"/>
      <c r="CC1094" s="93"/>
      <c r="CD1094" s="93"/>
      <c r="CE1094" s="93"/>
      <c r="CF1094" s="93"/>
      <c r="CG1094" s="93"/>
      <c r="CH1094" s="93"/>
      <c r="CI1094" s="93"/>
      <c r="CJ1094" s="93"/>
      <c r="CK1094" s="93"/>
      <c r="CL1094" s="93"/>
      <c r="CM1094" s="93"/>
      <c r="CN1094" s="93"/>
      <c r="CO1094" s="93"/>
      <c r="CP1094" s="93"/>
      <c r="CQ1094" s="93"/>
      <c r="CR1094" s="93"/>
      <c r="CS1094" s="93"/>
      <c r="CT1094" s="93"/>
      <c r="CU1094" s="93"/>
      <c r="CV1094" s="93"/>
      <c r="CW1094" s="93"/>
      <c r="CX1094" s="93"/>
      <c r="CY1094" s="93"/>
      <c r="CZ1094" s="93"/>
      <c r="DA1094" s="93"/>
      <c r="DB1094" s="93"/>
      <c r="DC1094" s="105"/>
      <c r="DD1094" s="105"/>
      <c r="DE1094" s="105"/>
      <c r="DF1094" s="105"/>
      <c r="DG1094" s="105"/>
      <c r="DH1094" s="105"/>
      <c r="DI1094" s="105"/>
      <c r="DJ1094" s="105"/>
      <c r="DK1094" s="105"/>
      <c r="DL1094" s="105"/>
      <c r="DM1094" s="105"/>
      <c r="DN1094" s="105"/>
      <c r="DO1094" s="105"/>
      <c r="DP1094" s="105"/>
      <c r="DQ1094" s="105"/>
      <c r="DR1094" s="105"/>
      <c r="DS1094" s="105"/>
      <c r="DT1094" s="105"/>
      <c r="DU1094" s="105"/>
      <c r="DV1094" s="105"/>
      <c r="DW1094" s="105"/>
      <c r="DX1094" s="105"/>
      <c r="DY1094" s="105"/>
      <c r="DZ1094" s="105"/>
      <c r="EA1094" s="105"/>
      <c r="EB1094" s="105"/>
      <c r="EC1094" s="105"/>
      <c r="ED1094" s="105"/>
      <c r="EE1094" s="105"/>
      <c r="EF1094" s="105"/>
      <c r="EG1094" s="105"/>
      <c r="EH1094" s="105"/>
      <c r="EI1094" s="105"/>
      <c r="EJ1094" s="105"/>
      <c r="EK1094" s="105"/>
      <c r="EL1094" s="105"/>
      <c r="EM1094" s="105"/>
      <c r="EN1094" s="105"/>
      <c r="EO1094" s="105"/>
      <c r="EP1094" s="105"/>
      <c r="EQ1094" s="105"/>
      <c r="ER1094" s="105"/>
      <c r="ES1094" s="105"/>
      <c r="ET1094" s="105"/>
      <c r="EU1094" s="105"/>
      <c r="EV1094" s="105"/>
      <c r="EW1094" s="105"/>
      <c r="EX1094" s="105"/>
      <c r="EY1094" s="105"/>
      <c r="EZ1094" s="105"/>
      <c r="FA1094" s="105"/>
      <c r="FB1094" s="105"/>
      <c r="FC1094" s="105"/>
      <c r="FD1094" s="105"/>
      <c r="FE1094" s="105"/>
      <c r="FF1094" s="105"/>
      <c r="FG1094" s="105"/>
      <c r="FH1094" s="105"/>
      <c r="FI1094" s="105"/>
      <c r="FJ1094" s="105"/>
      <c r="FK1094" s="105"/>
      <c r="FL1094" s="105"/>
      <c r="FM1094" s="105"/>
      <c r="FN1094" s="105"/>
      <c r="FO1094" s="105"/>
      <c r="FP1094" s="105"/>
    </row>
    <row r="1095" spans="19:172" ht="6.95" customHeight="1" x14ac:dyDescent="0.15">
      <c r="S1095" s="89"/>
      <c r="T1095" s="89"/>
      <c r="U1095" s="89"/>
      <c r="V1095" s="89"/>
      <c r="W1095" s="89"/>
      <c r="X1095" s="89"/>
      <c r="Y1095" s="89"/>
      <c r="Z1095" s="89"/>
      <c r="AA1095" s="89"/>
      <c r="AB1095" s="89"/>
      <c r="AC1095" s="89"/>
      <c r="AD1095" s="89"/>
      <c r="AE1095" s="89"/>
      <c r="AF1095" s="89"/>
      <c r="AG1095" s="89"/>
      <c r="AH1095" s="89"/>
      <c r="AI1095" s="89"/>
      <c r="AJ1095" s="89"/>
      <c r="AK1095" s="89"/>
      <c r="AL1095" s="89"/>
      <c r="AM1095" s="89"/>
      <c r="AN1095" s="89"/>
      <c r="AO1095" s="89"/>
      <c r="AP1095" s="89"/>
      <c r="AQ1095" s="89"/>
      <c r="AR1095" s="89"/>
      <c r="AS1095" s="89"/>
      <c r="AT1095" s="89"/>
      <c r="AU1095" s="89"/>
      <c r="AV1095" s="89"/>
      <c r="AW1095" s="89"/>
      <c r="AX1095" s="93"/>
      <c r="AY1095" s="93"/>
      <c r="AZ1095" s="93"/>
      <c r="BA1095" s="93"/>
      <c r="BB1095" s="93"/>
      <c r="BC1095" s="93"/>
      <c r="BD1095" s="93"/>
      <c r="BE1095" s="93"/>
      <c r="BF1095" s="93"/>
      <c r="BG1095" s="93"/>
      <c r="BH1095" s="93"/>
      <c r="BI1095" s="93"/>
      <c r="BJ1095" s="93"/>
      <c r="BK1095" s="93"/>
      <c r="BL1095" s="93"/>
      <c r="BM1095" s="93"/>
      <c r="BN1095" s="93"/>
      <c r="BO1095" s="93"/>
      <c r="BP1095" s="93"/>
      <c r="BQ1095" s="93"/>
      <c r="BR1095" s="93"/>
      <c r="BS1095" s="93"/>
      <c r="BT1095" s="93"/>
      <c r="BU1095" s="93"/>
      <c r="BV1095" s="93"/>
      <c r="BW1095" s="93"/>
      <c r="BX1095" s="93"/>
      <c r="BY1095" s="93"/>
      <c r="BZ1095" s="93"/>
      <c r="CA1095" s="93"/>
      <c r="CB1095" s="93"/>
      <c r="CC1095" s="93"/>
      <c r="CD1095" s="93"/>
      <c r="CE1095" s="93"/>
      <c r="CF1095" s="93"/>
      <c r="CG1095" s="93"/>
      <c r="CH1095" s="93"/>
      <c r="CI1095" s="93"/>
      <c r="CJ1095" s="93"/>
      <c r="CK1095" s="93"/>
      <c r="CL1095" s="93"/>
      <c r="CM1095" s="93"/>
      <c r="CN1095" s="93"/>
      <c r="CO1095" s="93"/>
      <c r="CP1095" s="93"/>
      <c r="CQ1095" s="93"/>
      <c r="CR1095" s="93"/>
      <c r="CS1095" s="93"/>
      <c r="CT1095" s="93"/>
      <c r="CU1095" s="93"/>
      <c r="CV1095" s="93"/>
      <c r="CW1095" s="93"/>
      <c r="CX1095" s="93"/>
      <c r="CY1095" s="93"/>
      <c r="CZ1095" s="93"/>
      <c r="DA1095" s="93"/>
      <c r="DB1095" s="93"/>
      <c r="DC1095" s="105"/>
      <c r="DD1095" s="105"/>
      <c r="DE1095" s="105"/>
      <c r="DF1095" s="105"/>
      <c r="DG1095" s="105"/>
      <c r="DH1095" s="105"/>
      <c r="DI1095" s="105"/>
      <c r="DJ1095" s="105"/>
      <c r="DK1095" s="105"/>
      <c r="DL1095" s="105"/>
      <c r="DM1095" s="105"/>
      <c r="DN1095" s="105"/>
      <c r="DO1095" s="105"/>
      <c r="DP1095" s="105"/>
      <c r="DQ1095" s="105"/>
      <c r="DR1095" s="105"/>
      <c r="DS1095" s="105"/>
      <c r="DT1095" s="105"/>
      <c r="DU1095" s="105"/>
      <c r="DV1095" s="105"/>
      <c r="DW1095" s="105"/>
      <c r="DX1095" s="105"/>
      <c r="DY1095" s="105"/>
      <c r="DZ1095" s="105"/>
      <c r="EA1095" s="105"/>
      <c r="EB1095" s="105"/>
      <c r="EC1095" s="105"/>
      <c r="ED1095" s="105"/>
      <c r="EE1095" s="105"/>
      <c r="EF1095" s="105"/>
      <c r="EG1095" s="105"/>
      <c r="EH1095" s="105"/>
      <c r="EI1095" s="105"/>
      <c r="EJ1095" s="105"/>
      <c r="EK1095" s="105"/>
      <c r="EL1095" s="105"/>
      <c r="EM1095" s="105"/>
      <c r="EN1095" s="105"/>
      <c r="EO1095" s="105"/>
      <c r="EP1095" s="105"/>
      <c r="EQ1095" s="105"/>
      <c r="ER1095" s="105"/>
      <c r="ES1095" s="105"/>
      <c r="ET1095" s="105"/>
      <c r="EU1095" s="105"/>
      <c r="EV1095" s="105"/>
      <c r="EW1095" s="105"/>
      <c r="EX1095" s="105"/>
      <c r="EY1095" s="105"/>
      <c r="EZ1095" s="105"/>
      <c r="FA1095" s="105"/>
      <c r="FB1095" s="105"/>
      <c r="FC1095" s="105"/>
      <c r="FD1095" s="105"/>
      <c r="FE1095" s="105"/>
      <c r="FF1095" s="105"/>
      <c r="FG1095" s="105"/>
      <c r="FH1095" s="105"/>
      <c r="FI1095" s="105"/>
      <c r="FJ1095" s="105"/>
      <c r="FK1095" s="105"/>
      <c r="FL1095" s="105"/>
      <c r="FM1095" s="105"/>
      <c r="FN1095" s="105"/>
      <c r="FO1095" s="105"/>
      <c r="FP1095" s="105"/>
    </row>
    <row r="1096" spans="19:172" ht="6.95" customHeight="1" x14ac:dyDescent="0.15">
      <c r="S1096" s="89"/>
      <c r="T1096" s="89"/>
      <c r="U1096" s="89"/>
      <c r="V1096" s="89"/>
      <c r="W1096" s="89"/>
      <c r="X1096" s="89"/>
      <c r="Y1096" s="89"/>
      <c r="Z1096" s="89"/>
      <c r="AA1096" s="89"/>
      <c r="AB1096" s="89"/>
      <c r="AC1096" s="89"/>
      <c r="AD1096" s="89"/>
      <c r="AE1096" s="89"/>
      <c r="AF1096" s="89"/>
      <c r="AG1096" s="89"/>
      <c r="AH1096" s="89"/>
      <c r="AI1096" s="89"/>
      <c r="AJ1096" s="89"/>
      <c r="AK1096" s="89"/>
      <c r="AL1096" s="89"/>
      <c r="AM1096" s="89"/>
      <c r="AN1096" s="89"/>
      <c r="AO1096" s="89"/>
      <c r="AP1096" s="89"/>
      <c r="AQ1096" s="89"/>
      <c r="AR1096" s="89"/>
      <c r="AS1096" s="89"/>
      <c r="AT1096" s="89"/>
      <c r="AU1096" s="89"/>
      <c r="AV1096" s="89"/>
      <c r="AW1096" s="89"/>
      <c r="AX1096" s="93"/>
      <c r="AY1096" s="93"/>
      <c r="AZ1096" s="93"/>
      <c r="BA1096" s="93"/>
      <c r="BB1096" s="93"/>
      <c r="BC1096" s="93"/>
      <c r="BD1096" s="93"/>
      <c r="BE1096" s="93"/>
      <c r="BF1096" s="93"/>
      <c r="BG1096" s="93"/>
      <c r="BH1096" s="93"/>
      <c r="BI1096" s="93"/>
      <c r="BJ1096" s="93"/>
      <c r="BK1096" s="93"/>
      <c r="BL1096" s="93"/>
      <c r="BM1096" s="93"/>
      <c r="BN1096" s="93"/>
      <c r="BO1096" s="93"/>
      <c r="BP1096" s="93"/>
      <c r="BQ1096" s="93"/>
      <c r="BR1096" s="93"/>
      <c r="BS1096" s="93"/>
      <c r="BT1096" s="93"/>
      <c r="BU1096" s="93"/>
      <c r="BV1096" s="93"/>
      <c r="BW1096" s="93"/>
      <c r="BX1096" s="93"/>
      <c r="BY1096" s="93"/>
      <c r="BZ1096" s="93"/>
      <c r="CA1096" s="93"/>
      <c r="CB1096" s="93"/>
      <c r="CC1096" s="93"/>
      <c r="CD1096" s="93"/>
      <c r="CE1096" s="93"/>
      <c r="CF1096" s="93"/>
      <c r="CG1096" s="93"/>
      <c r="CH1096" s="93"/>
      <c r="CI1096" s="93"/>
      <c r="CJ1096" s="93"/>
      <c r="CK1096" s="93"/>
      <c r="CL1096" s="93"/>
      <c r="CM1096" s="93"/>
      <c r="CN1096" s="93"/>
      <c r="CO1096" s="93"/>
      <c r="CP1096" s="93"/>
      <c r="CQ1096" s="93"/>
      <c r="CR1096" s="93"/>
      <c r="CS1096" s="93"/>
      <c r="CT1096" s="93"/>
      <c r="CU1096" s="93"/>
      <c r="CV1096" s="93"/>
      <c r="CW1096" s="93"/>
      <c r="CX1096" s="93"/>
      <c r="CY1096" s="93"/>
      <c r="CZ1096" s="93"/>
      <c r="DA1096" s="93"/>
      <c r="DB1096" s="93"/>
      <c r="DC1096" s="105"/>
      <c r="DD1096" s="105"/>
      <c r="DE1096" s="105"/>
      <c r="DF1096" s="105"/>
      <c r="DG1096" s="105"/>
      <c r="DH1096" s="105"/>
      <c r="DI1096" s="105"/>
      <c r="DJ1096" s="105"/>
      <c r="DK1096" s="105"/>
      <c r="DL1096" s="105"/>
      <c r="DM1096" s="105"/>
      <c r="DN1096" s="105"/>
      <c r="DO1096" s="105"/>
      <c r="DP1096" s="105"/>
      <c r="DQ1096" s="105"/>
      <c r="DR1096" s="105"/>
      <c r="DS1096" s="105"/>
      <c r="DT1096" s="105"/>
      <c r="DU1096" s="105"/>
      <c r="DV1096" s="105"/>
      <c r="DW1096" s="105"/>
      <c r="DX1096" s="105"/>
      <c r="DY1096" s="105"/>
      <c r="DZ1096" s="105"/>
      <c r="EA1096" s="105"/>
      <c r="EB1096" s="105"/>
      <c r="EC1096" s="105"/>
      <c r="ED1096" s="105"/>
      <c r="EE1096" s="105"/>
      <c r="EF1096" s="105"/>
      <c r="EG1096" s="105"/>
      <c r="EH1096" s="105"/>
      <c r="EI1096" s="105"/>
      <c r="EJ1096" s="105"/>
      <c r="EK1096" s="105"/>
      <c r="EL1096" s="105"/>
      <c r="EM1096" s="105"/>
      <c r="EN1096" s="105"/>
      <c r="EO1096" s="105"/>
      <c r="EP1096" s="105"/>
      <c r="EQ1096" s="105"/>
      <c r="ER1096" s="105"/>
      <c r="ES1096" s="105"/>
      <c r="ET1096" s="105"/>
      <c r="EU1096" s="105"/>
      <c r="EV1096" s="105"/>
      <c r="EW1096" s="105"/>
      <c r="EX1096" s="105"/>
      <c r="EY1096" s="105"/>
      <c r="EZ1096" s="105"/>
      <c r="FA1096" s="105"/>
      <c r="FB1096" s="105"/>
      <c r="FC1096" s="105"/>
      <c r="FD1096" s="105"/>
      <c r="FE1096" s="105"/>
      <c r="FF1096" s="105"/>
      <c r="FG1096" s="105"/>
      <c r="FH1096" s="105"/>
      <c r="FI1096" s="105"/>
      <c r="FJ1096" s="105"/>
      <c r="FK1096" s="105"/>
      <c r="FL1096" s="105"/>
      <c r="FM1096" s="105"/>
      <c r="FN1096" s="105"/>
      <c r="FO1096" s="105"/>
      <c r="FP1096" s="105"/>
    </row>
    <row r="1097" spans="19:172" ht="6.95" customHeight="1" x14ac:dyDescent="0.15">
      <c r="S1097" s="89"/>
      <c r="T1097" s="89"/>
      <c r="U1097" s="89"/>
      <c r="V1097" s="89"/>
      <c r="W1097" s="89"/>
      <c r="X1097" s="89"/>
      <c r="Y1097" s="89"/>
      <c r="Z1097" s="89"/>
      <c r="AA1097" s="89"/>
      <c r="AB1097" s="89"/>
      <c r="AC1097" s="89"/>
      <c r="AD1097" s="89"/>
      <c r="AE1097" s="89"/>
      <c r="AF1097" s="89"/>
      <c r="AG1097" s="89"/>
      <c r="AH1097" s="89"/>
      <c r="AI1097" s="89"/>
      <c r="AJ1097" s="89"/>
      <c r="AK1097" s="89"/>
      <c r="AL1097" s="89"/>
      <c r="AM1097" s="89"/>
      <c r="AN1097" s="89"/>
      <c r="AO1097" s="89"/>
      <c r="AP1097" s="89"/>
      <c r="AQ1097" s="89"/>
      <c r="AR1097" s="89"/>
      <c r="AS1097" s="89"/>
      <c r="AT1097" s="89"/>
      <c r="AU1097" s="89"/>
      <c r="AV1097" s="89"/>
      <c r="AW1097" s="89"/>
      <c r="AX1097" s="93"/>
      <c r="AY1097" s="93"/>
      <c r="AZ1097" s="93"/>
      <c r="BA1097" s="93"/>
      <c r="BB1097" s="93"/>
      <c r="BC1097" s="93"/>
      <c r="BD1097" s="93"/>
      <c r="BE1097" s="93"/>
      <c r="BF1097" s="93"/>
      <c r="BG1097" s="93"/>
      <c r="BH1097" s="93"/>
      <c r="BI1097" s="93"/>
      <c r="BJ1097" s="93"/>
      <c r="BK1097" s="93"/>
      <c r="BL1097" s="93"/>
      <c r="BM1097" s="93"/>
      <c r="BN1097" s="93"/>
      <c r="BO1097" s="93"/>
      <c r="BP1097" s="93"/>
      <c r="BQ1097" s="93"/>
      <c r="BR1097" s="93"/>
      <c r="BS1097" s="93"/>
      <c r="BT1097" s="93"/>
      <c r="BU1097" s="93"/>
      <c r="BV1097" s="93"/>
      <c r="BW1097" s="93"/>
      <c r="BX1097" s="93"/>
      <c r="BY1097" s="93"/>
      <c r="BZ1097" s="93"/>
      <c r="CA1097" s="93"/>
      <c r="CB1097" s="93"/>
      <c r="CC1097" s="93"/>
      <c r="CD1097" s="93"/>
      <c r="CE1097" s="93"/>
      <c r="CF1097" s="93"/>
      <c r="CG1097" s="93"/>
      <c r="CH1097" s="93"/>
      <c r="CI1097" s="93"/>
      <c r="CJ1097" s="93"/>
      <c r="CK1097" s="93"/>
      <c r="CL1097" s="93"/>
      <c r="CM1097" s="93"/>
      <c r="CN1097" s="93"/>
      <c r="CO1097" s="93"/>
      <c r="CP1097" s="93"/>
      <c r="CQ1097" s="93"/>
      <c r="CR1097" s="93"/>
      <c r="CS1097" s="93"/>
      <c r="CT1097" s="93"/>
      <c r="CU1097" s="93"/>
      <c r="CV1097" s="93"/>
      <c r="CW1097" s="93"/>
      <c r="CX1097" s="93"/>
      <c r="CY1097" s="93"/>
      <c r="CZ1097" s="93"/>
      <c r="DA1097" s="93"/>
      <c r="DB1097" s="93"/>
      <c r="DC1097" s="105"/>
      <c r="DD1097" s="105"/>
      <c r="DE1097" s="105"/>
      <c r="DF1097" s="105"/>
      <c r="DG1097" s="105"/>
      <c r="DH1097" s="105"/>
      <c r="DI1097" s="105"/>
      <c r="DJ1097" s="105"/>
      <c r="DK1097" s="105"/>
      <c r="DL1097" s="105"/>
      <c r="DM1097" s="105"/>
      <c r="DN1097" s="105"/>
      <c r="DO1097" s="105"/>
      <c r="DP1097" s="105"/>
      <c r="DQ1097" s="105"/>
      <c r="DR1097" s="105"/>
      <c r="DS1097" s="105"/>
      <c r="DT1097" s="105"/>
      <c r="DU1097" s="105"/>
      <c r="DV1097" s="105"/>
      <c r="DW1097" s="105"/>
      <c r="DX1097" s="105"/>
      <c r="DY1097" s="105"/>
      <c r="DZ1097" s="105"/>
      <c r="EA1097" s="105"/>
      <c r="EB1097" s="105"/>
      <c r="EC1097" s="105"/>
      <c r="ED1097" s="105"/>
      <c r="EE1097" s="105"/>
      <c r="EF1097" s="105"/>
      <c r="EG1097" s="105"/>
      <c r="EH1097" s="105"/>
      <c r="EI1097" s="105"/>
      <c r="EJ1097" s="105"/>
      <c r="EK1097" s="105"/>
      <c r="EL1097" s="105"/>
      <c r="EM1097" s="105"/>
      <c r="EN1097" s="105"/>
      <c r="EO1097" s="105"/>
      <c r="EP1097" s="105"/>
      <c r="EQ1097" s="105"/>
      <c r="ER1097" s="105"/>
      <c r="ES1097" s="105"/>
      <c r="ET1097" s="105"/>
      <c r="EU1097" s="105"/>
      <c r="EV1097" s="105"/>
      <c r="EW1097" s="105"/>
      <c r="EX1097" s="105"/>
      <c r="EY1097" s="105"/>
      <c r="EZ1097" s="105"/>
      <c r="FA1097" s="105"/>
      <c r="FB1097" s="105"/>
      <c r="FC1097" s="105"/>
      <c r="FD1097" s="105"/>
      <c r="FE1097" s="105"/>
      <c r="FF1097" s="105"/>
      <c r="FG1097" s="105"/>
      <c r="FH1097" s="105"/>
      <c r="FI1097" s="105"/>
      <c r="FJ1097" s="105"/>
      <c r="FK1097" s="105"/>
      <c r="FL1097" s="105"/>
      <c r="FM1097" s="105"/>
      <c r="FN1097" s="105"/>
      <c r="FO1097" s="105"/>
      <c r="FP1097" s="105"/>
    </row>
    <row r="1098" spans="19:172" ht="6.95" customHeight="1" x14ac:dyDescent="0.15">
      <c r="S1098" s="89"/>
      <c r="T1098" s="89"/>
      <c r="U1098" s="89"/>
      <c r="V1098" s="89"/>
      <c r="W1098" s="89"/>
      <c r="X1098" s="89"/>
      <c r="Y1098" s="89"/>
      <c r="Z1098" s="89"/>
      <c r="AA1098" s="89"/>
      <c r="AB1098" s="89"/>
      <c r="AC1098" s="89"/>
      <c r="AD1098" s="89"/>
      <c r="AE1098" s="89"/>
      <c r="AF1098" s="89"/>
      <c r="AG1098" s="89"/>
      <c r="AH1098" s="89"/>
      <c r="AI1098" s="89"/>
      <c r="AJ1098" s="89"/>
      <c r="AK1098" s="89"/>
      <c r="AL1098" s="89"/>
      <c r="AM1098" s="89"/>
      <c r="AN1098" s="89"/>
      <c r="AO1098" s="89"/>
      <c r="AP1098" s="89"/>
      <c r="AQ1098" s="89"/>
      <c r="AR1098" s="89"/>
      <c r="AS1098" s="89"/>
      <c r="AT1098" s="89"/>
      <c r="AU1098" s="89"/>
      <c r="AV1098" s="89"/>
      <c r="AW1098" s="89"/>
      <c r="AX1098" s="93"/>
      <c r="AY1098" s="93"/>
      <c r="AZ1098" s="93"/>
      <c r="BA1098" s="93"/>
      <c r="BB1098" s="93"/>
      <c r="BC1098" s="93"/>
      <c r="BD1098" s="93"/>
      <c r="BE1098" s="93"/>
      <c r="BF1098" s="93"/>
      <c r="BG1098" s="93"/>
      <c r="BH1098" s="93"/>
      <c r="BI1098" s="93"/>
      <c r="BJ1098" s="93"/>
      <c r="BK1098" s="93"/>
      <c r="BL1098" s="93"/>
      <c r="BM1098" s="93"/>
      <c r="BN1098" s="93"/>
      <c r="BO1098" s="93"/>
      <c r="BP1098" s="93"/>
      <c r="BQ1098" s="93"/>
      <c r="BR1098" s="93"/>
      <c r="BS1098" s="93"/>
      <c r="BT1098" s="93"/>
      <c r="BU1098" s="93"/>
      <c r="BV1098" s="93"/>
      <c r="BW1098" s="93"/>
      <c r="BX1098" s="93"/>
      <c r="BY1098" s="93"/>
      <c r="BZ1098" s="93"/>
      <c r="CA1098" s="93"/>
      <c r="CB1098" s="93"/>
      <c r="CC1098" s="93"/>
      <c r="CD1098" s="93"/>
      <c r="CE1098" s="93"/>
      <c r="CF1098" s="93"/>
      <c r="CG1098" s="93"/>
      <c r="CH1098" s="93"/>
      <c r="CI1098" s="93"/>
      <c r="CJ1098" s="93"/>
      <c r="CK1098" s="93"/>
      <c r="CL1098" s="93"/>
      <c r="CM1098" s="93"/>
      <c r="CN1098" s="93"/>
      <c r="CO1098" s="93"/>
      <c r="CP1098" s="93"/>
      <c r="CQ1098" s="93"/>
      <c r="CR1098" s="93"/>
      <c r="CS1098" s="93"/>
      <c r="CT1098" s="93"/>
      <c r="CU1098" s="93"/>
      <c r="CV1098" s="93"/>
      <c r="CW1098" s="93"/>
      <c r="CX1098" s="93"/>
      <c r="CY1098" s="93"/>
      <c r="CZ1098" s="93"/>
      <c r="DA1098" s="93"/>
      <c r="DB1098" s="93"/>
      <c r="DC1098" s="105"/>
      <c r="DD1098" s="105"/>
      <c r="DE1098" s="105"/>
      <c r="DF1098" s="105"/>
      <c r="DG1098" s="105"/>
      <c r="DH1098" s="105"/>
      <c r="DI1098" s="105"/>
      <c r="DJ1098" s="105"/>
      <c r="DK1098" s="105"/>
      <c r="DL1098" s="105"/>
      <c r="DM1098" s="105"/>
      <c r="DN1098" s="105"/>
      <c r="DO1098" s="105"/>
      <c r="DP1098" s="105"/>
      <c r="DQ1098" s="105"/>
      <c r="DR1098" s="105"/>
      <c r="DS1098" s="105"/>
      <c r="DT1098" s="105"/>
      <c r="DU1098" s="105"/>
      <c r="DV1098" s="105"/>
      <c r="DW1098" s="105"/>
      <c r="DX1098" s="105"/>
      <c r="DY1098" s="105"/>
      <c r="DZ1098" s="105"/>
      <c r="EA1098" s="105"/>
      <c r="EB1098" s="105"/>
      <c r="EC1098" s="105"/>
      <c r="ED1098" s="105"/>
      <c r="EE1098" s="105"/>
      <c r="EF1098" s="105"/>
      <c r="EG1098" s="105"/>
      <c r="EH1098" s="105"/>
      <c r="EI1098" s="105"/>
      <c r="EJ1098" s="105"/>
      <c r="EK1098" s="105"/>
      <c r="EL1098" s="105"/>
      <c r="EM1098" s="105"/>
      <c r="EN1098" s="105"/>
      <c r="EO1098" s="105"/>
      <c r="EP1098" s="105"/>
      <c r="EQ1098" s="105"/>
      <c r="ER1098" s="105"/>
      <c r="ES1098" s="105"/>
      <c r="ET1098" s="105"/>
      <c r="EU1098" s="105"/>
      <c r="EV1098" s="105"/>
      <c r="EW1098" s="105"/>
      <c r="EX1098" s="105"/>
      <c r="EY1098" s="105"/>
      <c r="EZ1098" s="105"/>
      <c r="FA1098" s="105"/>
      <c r="FB1098" s="105"/>
      <c r="FC1098" s="105"/>
      <c r="FD1098" s="105"/>
      <c r="FE1098" s="105"/>
      <c r="FF1098" s="105"/>
      <c r="FG1098" s="105"/>
      <c r="FH1098" s="105"/>
      <c r="FI1098" s="105"/>
      <c r="FJ1098" s="105"/>
      <c r="FK1098" s="105"/>
      <c r="FL1098" s="105"/>
      <c r="FM1098" s="105"/>
      <c r="FN1098" s="105"/>
      <c r="FO1098" s="105"/>
      <c r="FP1098" s="105"/>
    </row>
    <row r="1099" spans="19:172" ht="6.95" customHeight="1" x14ac:dyDescent="0.15">
      <c r="S1099" s="89"/>
      <c r="T1099" s="89"/>
      <c r="U1099" s="89"/>
      <c r="V1099" s="89"/>
      <c r="W1099" s="89"/>
      <c r="X1099" s="89"/>
      <c r="Y1099" s="89"/>
      <c r="Z1099" s="89"/>
      <c r="AA1099" s="89"/>
      <c r="AB1099" s="89"/>
      <c r="AC1099" s="89"/>
      <c r="AD1099" s="89"/>
      <c r="AE1099" s="89"/>
      <c r="AF1099" s="89"/>
      <c r="AG1099" s="89"/>
      <c r="AH1099" s="89"/>
      <c r="AI1099" s="89"/>
      <c r="AJ1099" s="89"/>
      <c r="AK1099" s="89"/>
      <c r="AL1099" s="89"/>
      <c r="AM1099" s="89"/>
      <c r="AN1099" s="89"/>
      <c r="AO1099" s="89"/>
      <c r="AP1099" s="89"/>
      <c r="AQ1099" s="89"/>
      <c r="AR1099" s="89"/>
      <c r="AS1099" s="89"/>
      <c r="AT1099" s="89"/>
      <c r="AU1099" s="89"/>
      <c r="AV1099" s="89"/>
      <c r="AW1099" s="89"/>
      <c r="AX1099" s="93"/>
      <c r="AY1099" s="93"/>
      <c r="AZ1099" s="93"/>
      <c r="BA1099" s="93"/>
      <c r="BB1099" s="93"/>
      <c r="BC1099" s="93"/>
      <c r="BD1099" s="93"/>
      <c r="BE1099" s="93"/>
      <c r="BF1099" s="93"/>
      <c r="BG1099" s="93"/>
      <c r="BH1099" s="93"/>
      <c r="BI1099" s="93"/>
      <c r="BJ1099" s="93"/>
      <c r="BK1099" s="93"/>
      <c r="BL1099" s="93"/>
      <c r="BM1099" s="93"/>
      <c r="BN1099" s="93"/>
      <c r="BO1099" s="93"/>
      <c r="BP1099" s="93"/>
      <c r="BQ1099" s="93"/>
      <c r="BR1099" s="93"/>
      <c r="BS1099" s="93"/>
      <c r="BT1099" s="93"/>
      <c r="BU1099" s="93"/>
      <c r="BV1099" s="93"/>
      <c r="BW1099" s="93"/>
      <c r="BX1099" s="93"/>
      <c r="BY1099" s="93"/>
      <c r="BZ1099" s="93"/>
      <c r="CA1099" s="93"/>
      <c r="CB1099" s="93"/>
      <c r="CC1099" s="93"/>
      <c r="CD1099" s="93"/>
      <c r="CE1099" s="93"/>
      <c r="CF1099" s="93"/>
      <c r="CG1099" s="93"/>
      <c r="CH1099" s="93"/>
      <c r="CI1099" s="93"/>
      <c r="CJ1099" s="93"/>
      <c r="CK1099" s="93"/>
      <c r="CL1099" s="93"/>
      <c r="CM1099" s="93"/>
      <c r="CN1099" s="93"/>
      <c r="CO1099" s="93"/>
      <c r="CP1099" s="93"/>
      <c r="CQ1099" s="93"/>
      <c r="CR1099" s="93"/>
      <c r="CS1099" s="93"/>
      <c r="CT1099" s="93"/>
      <c r="CU1099" s="93"/>
      <c r="CV1099" s="93"/>
      <c r="CW1099" s="93"/>
      <c r="CX1099" s="93"/>
      <c r="CY1099" s="93"/>
      <c r="CZ1099" s="93"/>
      <c r="DA1099" s="93"/>
      <c r="DB1099" s="93"/>
      <c r="DC1099" s="105"/>
      <c r="DD1099" s="105"/>
      <c r="DE1099" s="105"/>
      <c r="DF1099" s="105"/>
      <c r="DG1099" s="105"/>
      <c r="DH1099" s="105"/>
      <c r="DI1099" s="105"/>
      <c r="DJ1099" s="105"/>
      <c r="DK1099" s="105"/>
      <c r="DL1099" s="105"/>
      <c r="DM1099" s="105"/>
      <c r="DN1099" s="105"/>
      <c r="DO1099" s="105"/>
      <c r="DP1099" s="105"/>
      <c r="DQ1099" s="105"/>
      <c r="DR1099" s="105"/>
      <c r="DS1099" s="105"/>
      <c r="DT1099" s="105"/>
      <c r="DU1099" s="105"/>
      <c r="DV1099" s="105"/>
      <c r="DW1099" s="105"/>
      <c r="DX1099" s="105"/>
      <c r="DY1099" s="105"/>
      <c r="DZ1099" s="105"/>
      <c r="EA1099" s="105"/>
      <c r="EB1099" s="105"/>
      <c r="EC1099" s="105"/>
      <c r="ED1099" s="105"/>
      <c r="EE1099" s="105"/>
      <c r="EF1099" s="105"/>
      <c r="EG1099" s="105"/>
      <c r="EH1099" s="105"/>
      <c r="EI1099" s="105"/>
      <c r="EJ1099" s="105"/>
      <c r="EK1099" s="105"/>
      <c r="EL1099" s="105"/>
      <c r="EM1099" s="105"/>
      <c r="EN1099" s="105"/>
      <c r="EO1099" s="105"/>
      <c r="EP1099" s="105"/>
      <c r="EQ1099" s="105"/>
      <c r="ER1099" s="105"/>
      <c r="ES1099" s="105"/>
      <c r="ET1099" s="105"/>
      <c r="EU1099" s="105"/>
      <c r="EV1099" s="105"/>
      <c r="EW1099" s="105"/>
      <c r="EX1099" s="105"/>
      <c r="EY1099" s="105"/>
      <c r="EZ1099" s="105"/>
      <c r="FA1099" s="105"/>
      <c r="FB1099" s="105"/>
      <c r="FC1099" s="105"/>
      <c r="FD1099" s="105"/>
      <c r="FE1099" s="105"/>
      <c r="FF1099" s="105"/>
      <c r="FG1099" s="105"/>
      <c r="FH1099" s="105"/>
      <c r="FI1099" s="105"/>
      <c r="FJ1099" s="105"/>
      <c r="FK1099" s="105"/>
      <c r="FL1099" s="105"/>
      <c r="FM1099" s="105"/>
      <c r="FN1099" s="105"/>
      <c r="FO1099" s="105"/>
      <c r="FP1099" s="105"/>
    </row>
    <row r="1100" spans="19:172" ht="6.95" customHeight="1" x14ac:dyDescent="0.15">
      <c r="S1100" s="89"/>
      <c r="T1100" s="89"/>
      <c r="U1100" s="89"/>
      <c r="V1100" s="89"/>
      <c r="W1100" s="89"/>
      <c r="X1100" s="89"/>
      <c r="Y1100" s="89"/>
      <c r="Z1100" s="89"/>
      <c r="AA1100" s="89"/>
      <c r="AB1100" s="89"/>
      <c r="AC1100" s="89"/>
      <c r="AD1100" s="89"/>
      <c r="AE1100" s="89"/>
      <c r="AF1100" s="89"/>
      <c r="AG1100" s="89"/>
      <c r="AH1100" s="89"/>
      <c r="AI1100" s="89"/>
      <c r="AJ1100" s="89"/>
      <c r="AK1100" s="89"/>
      <c r="AL1100" s="89"/>
      <c r="AM1100" s="89"/>
      <c r="AN1100" s="89"/>
      <c r="AO1100" s="89"/>
      <c r="AP1100" s="89"/>
      <c r="AQ1100" s="89"/>
      <c r="AR1100" s="89"/>
      <c r="AS1100" s="89"/>
      <c r="AT1100" s="89"/>
      <c r="AU1100" s="89"/>
      <c r="AV1100" s="89"/>
      <c r="AW1100" s="89"/>
      <c r="AX1100" s="93"/>
      <c r="AY1100" s="93"/>
      <c r="AZ1100" s="93"/>
      <c r="BA1100" s="93"/>
      <c r="BB1100" s="93"/>
      <c r="BC1100" s="93"/>
      <c r="BD1100" s="93"/>
      <c r="BE1100" s="93"/>
      <c r="BF1100" s="93"/>
      <c r="BG1100" s="93"/>
      <c r="BH1100" s="93"/>
      <c r="BI1100" s="93"/>
      <c r="BJ1100" s="93"/>
      <c r="BK1100" s="93"/>
      <c r="BL1100" s="93"/>
      <c r="BM1100" s="93"/>
      <c r="BN1100" s="93"/>
      <c r="BO1100" s="93"/>
      <c r="BP1100" s="93"/>
      <c r="BQ1100" s="93"/>
      <c r="BR1100" s="93"/>
      <c r="BS1100" s="93"/>
      <c r="BT1100" s="93"/>
      <c r="BU1100" s="93"/>
      <c r="BV1100" s="93"/>
      <c r="BW1100" s="93"/>
      <c r="BX1100" s="93"/>
      <c r="BY1100" s="93"/>
      <c r="BZ1100" s="93"/>
      <c r="CA1100" s="93"/>
      <c r="CB1100" s="93"/>
      <c r="CC1100" s="93"/>
      <c r="CD1100" s="93"/>
      <c r="CE1100" s="93"/>
      <c r="CF1100" s="93"/>
      <c r="CG1100" s="93"/>
      <c r="CH1100" s="93"/>
      <c r="CI1100" s="93"/>
      <c r="CJ1100" s="93"/>
      <c r="CK1100" s="93"/>
      <c r="CL1100" s="93"/>
      <c r="CM1100" s="93"/>
      <c r="CN1100" s="93"/>
      <c r="CO1100" s="93"/>
      <c r="CP1100" s="93"/>
      <c r="CQ1100" s="93"/>
      <c r="CR1100" s="93"/>
      <c r="CS1100" s="93"/>
      <c r="CT1100" s="93"/>
      <c r="CU1100" s="93"/>
      <c r="CV1100" s="93"/>
      <c r="CW1100" s="93"/>
      <c r="CX1100" s="93"/>
      <c r="CY1100" s="93"/>
      <c r="CZ1100" s="93"/>
      <c r="DA1100" s="93"/>
      <c r="DB1100" s="93"/>
      <c r="DC1100" s="105"/>
      <c r="DD1100" s="105"/>
      <c r="DE1100" s="105"/>
      <c r="DF1100" s="105"/>
      <c r="DG1100" s="105"/>
      <c r="DH1100" s="105"/>
      <c r="DI1100" s="105"/>
      <c r="DJ1100" s="105"/>
      <c r="DK1100" s="105"/>
      <c r="DL1100" s="105"/>
      <c r="DM1100" s="105"/>
      <c r="DN1100" s="105"/>
      <c r="DO1100" s="105"/>
      <c r="DP1100" s="105"/>
      <c r="DQ1100" s="105"/>
      <c r="DR1100" s="105"/>
      <c r="DS1100" s="105"/>
      <c r="DT1100" s="105"/>
      <c r="DU1100" s="105"/>
      <c r="DV1100" s="105"/>
      <c r="DW1100" s="105"/>
      <c r="DX1100" s="105"/>
      <c r="DY1100" s="105"/>
      <c r="DZ1100" s="105"/>
      <c r="EA1100" s="105"/>
      <c r="EB1100" s="105"/>
      <c r="EC1100" s="105"/>
      <c r="ED1100" s="105"/>
      <c r="EE1100" s="105"/>
      <c r="EF1100" s="105"/>
      <c r="EG1100" s="105"/>
      <c r="EH1100" s="105"/>
      <c r="EI1100" s="105"/>
      <c r="EJ1100" s="105"/>
      <c r="EK1100" s="105"/>
      <c r="EL1100" s="105"/>
      <c r="EM1100" s="105"/>
      <c r="EN1100" s="105"/>
      <c r="EO1100" s="105"/>
      <c r="EP1100" s="105"/>
      <c r="EQ1100" s="105"/>
      <c r="ER1100" s="105"/>
      <c r="ES1100" s="105"/>
      <c r="ET1100" s="105"/>
      <c r="EU1100" s="105"/>
      <c r="EV1100" s="105"/>
      <c r="EW1100" s="105"/>
      <c r="EX1100" s="105"/>
      <c r="EY1100" s="105"/>
      <c r="EZ1100" s="105"/>
      <c r="FA1100" s="105"/>
      <c r="FB1100" s="105"/>
      <c r="FC1100" s="105"/>
      <c r="FD1100" s="105"/>
      <c r="FE1100" s="105"/>
      <c r="FF1100" s="105"/>
      <c r="FG1100" s="105"/>
      <c r="FH1100" s="105"/>
      <c r="FI1100" s="105"/>
      <c r="FJ1100" s="105"/>
      <c r="FK1100" s="105"/>
      <c r="FL1100" s="105"/>
      <c r="FM1100" s="105"/>
      <c r="FN1100" s="105"/>
      <c r="FO1100" s="105"/>
      <c r="FP1100" s="105"/>
    </row>
    <row r="1101" spans="19:172" ht="6.95" customHeight="1" x14ac:dyDescent="0.15">
      <c r="S1101" s="89"/>
      <c r="T1101" s="89"/>
      <c r="U1101" s="89"/>
      <c r="V1101" s="89"/>
      <c r="W1101" s="89"/>
      <c r="X1101" s="89"/>
      <c r="Y1101" s="89"/>
      <c r="Z1101" s="89"/>
      <c r="AA1101" s="89"/>
      <c r="AB1101" s="89"/>
      <c r="AC1101" s="89"/>
      <c r="AD1101" s="89"/>
      <c r="AE1101" s="89"/>
      <c r="AF1101" s="89"/>
      <c r="AG1101" s="89"/>
      <c r="AH1101" s="89"/>
      <c r="AI1101" s="89"/>
      <c r="AJ1101" s="89"/>
      <c r="AK1101" s="89"/>
      <c r="AL1101" s="89"/>
      <c r="AM1101" s="89"/>
      <c r="AN1101" s="89"/>
      <c r="AO1101" s="89"/>
      <c r="AP1101" s="89"/>
      <c r="AQ1101" s="89"/>
      <c r="AR1101" s="89"/>
      <c r="AS1101" s="89"/>
      <c r="AT1101" s="89"/>
      <c r="AU1101" s="89"/>
      <c r="AV1101" s="89"/>
      <c r="AW1101" s="89"/>
      <c r="AX1101" s="93"/>
      <c r="AY1101" s="93"/>
      <c r="AZ1101" s="93"/>
      <c r="BA1101" s="93"/>
      <c r="BB1101" s="93"/>
      <c r="BC1101" s="93"/>
      <c r="BD1101" s="93"/>
      <c r="BE1101" s="93"/>
      <c r="BF1101" s="93"/>
      <c r="BG1101" s="93"/>
      <c r="BH1101" s="93"/>
      <c r="BI1101" s="93"/>
      <c r="BJ1101" s="93"/>
      <c r="BK1101" s="93"/>
      <c r="BL1101" s="93"/>
      <c r="BM1101" s="93"/>
      <c r="BN1101" s="93"/>
      <c r="BO1101" s="93"/>
      <c r="BP1101" s="93"/>
      <c r="BQ1101" s="93"/>
      <c r="BR1101" s="93"/>
      <c r="BS1101" s="93"/>
      <c r="BT1101" s="93"/>
      <c r="BU1101" s="93"/>
      <c r="BV1101" s="93"/>
      <c r="BW1101" s="93"/>
      <c r="BX1101" s="93"/>
      <c r="BY1101" s="93"/>
      <c r="BZ1101" s="93"/>
      <c r="CA1101" s="93"/>
      <c r="CB1101" s="93"/>
      <c r="CC1101" s="93"/>
      <c r="CD1101" s="93"/>
      <c r="CE1101" s="93"/>
      <c r="CF1101" s="93"/>
      <c r="CG1101" s="93"/>
      <c r="CH1101" s="93"/>
      <c r="CI1101" s="93"/>
      <c r="CJ1101" s="93"/>
      <c r="CK1101" s="93"/>
      <c r="CL1101" s="93"/>
      <c r="CM1101" s="93"/>
      <c r="CN1101" s="93"/>
      <c r="CO1101" s="93"/>
      <c r="CP1101" s="93"/>
      <c r="CQ1101" s="93"/>
      <c r="CR1101" s="93"/>
      <c r="CS1101" s="93"/>
      <c r="CT1101" s="93"/>
      <c r="CU1101" s="93"/>
      <c r="CV1101" s="93"/>
      <c r="CW1101" s="93"/>
      <c r="CX1101" s="93"/>
      <c r="CY1101" s="93"/>
      <c r="CZ1101" s="93"/>
      <c r="DA1101" s="93"/>
      <c r="DB1101" s="93"/>
      <c r="DC1101" s="105"/>
      <c r="DD1101" s="105"/>
      <c r="DE1101" s="105"/>
      <c r="DF1101" s="105"/>
      <c r="DG1101" s="105"/>
      <c r="DH1101" s="105"/>
      <c r="DI1101" s="105"/>
      <c r="DJ1101" s="105"/>
      <c r="DK1101" s="105"/>
      <c r="DL1101" s="105"/>
      <c r="DM1101" s="105"/>
      <c r="DN1101" s="105"/>
      <c r="DO1101" s="105"/>
      <c r="DP1101" s="105"/>
      <c r="DQ1101" s="105"/>
      <c r="DR1101" s="105"/>
      <c r="DS1101" s="105"/>
      <c r="DT1101" s="105"/>
      <c r="DU1101" s="105"/>
      <c r="DV1101" s="105"/>
      <c r="DW1101" s="105"/>
      <c r="DX1101" s="105"/>
      <c r="DY1101" s="105"/>
      <c r="DZ1101" s="105"/>
      <c r="EA1101" s="105"/>
      <c r="EB1101" s="105"/>
      <c r="EC1101" s="105"/>
      <c r="ED1101" s="105"/>
      <c r="EE1101" s="105"/>
      <c r="EF1101" s="105"/>
      <c r="EG1101" s="105"/>
      <c r="EH1101" s="105"/>
      <c r="EI1101" s="105"/>
      <c r="EJ1101" s="105"/>
      <c r="EK1101" s="105"/>
      <c r="EL1101" s="105"/>
      <c r="EM1101" s="105"/>
      <c r="EN1101" s="105"/>
      <c r="EO1101" s="105"/>
      <c r="EP1101" s="105"/>
      <c r="EQ1101" s="105"/>
      <c r="ER1101" s="105"/>
      <c r="ES1101" s="105"/>
      <c r="ET1101" s="105"/>
      <c r="EU1101" s="105"/>
      <c r="EV1101" s="105"/>
      <c r="EW1101" s="105"/>
      <c r="EX1101" s="105"/>
      <c r="EY1101" s="105"/>
      <c r="EZ1101" s="105"/>
      <c r="FA1101" s="105"/>
      <c r="FB1101" s="105"/>
      <c r="FC1101" s="105"/>
      <c r="FD1101" s="105"/>
      <c r="FE1101" s="105"/>
      <c r="FF1101" s="105"/>
      <c r="FG1101" s="105"/>
      <c r="FH1101" s="105"/>
      <c r="FI1101" s="105"/>
      <c r="FJ1101" s="105"/>
      <c r="FK1101" s="105"/>
      <c r="FL1101" s="105"/>
      <c r="FM1101" s="105"/>
      <c r="FN1101" s="105"/>
      <c r="FO1101" s="105"/>
      <c r="FP1101" s="105"/>
    </row>
    <row r="1102" spans="19:172" ht="6.95" customHeight="1" x14ac:dyDescent="0.15">
      <c r="S1102" s="89"/>
      <c r="T1102" s="89"/>
      <c r="U1102" s="89"/>
      <c r="V1102" s="89"/>
      <c r="W1102" s="89"/>
      <c r="X1102" s="89"/>
      <c r="Y1102" s="89"/>
      <c r="Z1102" s="89"/>
      <c r="AA1102" s="89"/>
      <c r="AB1102" s="89"/>
      <c r="AC1102" s="89"/>
      <c r="AD1102" s="89"/>
      <c r="AE1102" s="89"/>
      <c r="AF1102" s="89"/>
      <c r="AG1102" s="89"/>
      <c r="AH1102" s="89"/>
      <c r="AI1102" s="89"/>
      <c r="AJ1102" s="89"/>
      <c r="AK1102" s="89"/>
      <c r="AL1102" s="89"/>
      <c r="AM1102" s="89"/>
      <c r="AN1102" s="89"/>
      <c r="AO1102" s="89"/>
      <c r="AP1102" s="89"/>
      <c r="AQ1102" s="89"/>
      <c r="AR1102" s="89"/>
      <c r="AS1102" s="89"/>
      <c r="AT1102" s="89"/>
      <c r="AU1102" s="89"/>
      <c r="AV1102" s="89"/>
      <c r="AW1102" s="89"/>
      <c r="AX1102" s="93"/>
      <c r="AY1102" s="93"/>
      <c r="AZ1102" s="93"/>
      <c r="BA1102" s="93"/>
      <c r="BB1102" s="93"/>
      <c r="BC1102" s="93"/>
      <c r="BD1102" s="93"/>
      <c r="BE1102" s="93"/>
      <c r="BF1102" s="93"/>
      <c r="BG1102" s="93"/>
      <c r="BH1102" s="93"/>
      <c r="BI1102" s="93"/>
      <c r="BJ1102" s="93"/>
      <c r="BK1102" s="93"/>
      <c r="BL1102" s="93"/>
      <c r="BM1102" s="93"/>
      <c r="BN1102" s="93"/>
      <c r="BO1102" s="93"/>
      <c r="BP1102" s="93"/>
      <c r="BQ1102" s="93"/>
      <c r="BR1102" s="93"/>
      <c r="BS1102" s="93"/>
      <c r="BT1102" s="93"/>
      <c r="BU1102" s="93"/>
      <c r="BV1102" s="93"/>
      <c r="BW1102" s="93"/>
      <c r="BX1102" s="93"/>
      <c r="BY1102" s="93"/>
      <c r="BZ1102" s="93"/>
      <c r="CA1102" s="93"/>
      <c r="CB1102" s="93"/>
      <c r="CC1102" s="93"/>
      <c r="CD1102" s="93"/>
      <c r="CE1102" s="93"/>
      <c r="CF1102" s="93"/>
      <c r="CG1102" s="93"/>
      <c r="CH1102" s="93"/>
      <c r="CI1102" s="93"/>
      <c r="CJ1102" s="93"/>
      <c r="CK1102" s="93"/>
      <c r="CL1102" s="93"/>
      <c r="CM1102" s="93"/>
      <c r="CN1102" s="93"/>
      <c r="CO1102" s="93"/>
      <c r="CP1102" s="93"/>
      <c r="CQ1102" s="93"/>
      <c r="CR1102" s="93"/>
      <c r="CS1102" s="93"/>
      <c r="CT1102" s="93"/>
      <c r="CU1102" s="93"/>
      <c r="CV1102" s="93"/>
      <c r="CW1102" s="93"/>
      <c r="CX1102" s="93"/>
      <c r="CY1102" s="93"/>
      <c r="CZ1102" s="93"/>
      <c r="DA1102" s="93"/>
      <c r="DB1102" s="93"/>
      <c r="DC1102" s="105"/>
      <c r="DD1102" s="105"/>
      <c r="DE1102" s="105"/>
      <c r="DF1102" s="105"/>
      <c r="DG1102" s="105"/>
      <c r="DH1102" s="105"/>
      <c r="DI1102" s="105"/>
      <c r="DJ1102" s="105"/>
      <c r="DK1102" s="105"/>
      <c r="DL1102" s="105"/>
      <c r="DM1102" s="105"/>
      <c r="DN1102" s="105"/>
      <c r="DO1102" s="105"/>
      <c r="DP1102" s="105"/>
      <c r="DQ1102" s="105"/>
      <c r="DR1102" s="105"/>
      <c r="DS1102" s="105"/>
      <c r="DT1102" s="105"/>
      <c r="DU1102" s="105"/>
      <c r="DV1102" s="105"/>
      <c r="DW1102" s="105"/>
      <c r="DX1102" s="105"/>
      <c r="DY1102" s="105"/>
      <c r="DZ1102" s="105"/>
      <c r="EA1102" s="105"/>
      <c r="EB1102" s="105"/>
      <c r="EC1102" s="105"/>
      <c r="ED1102" s="105"/>
      <c r="EE1102" s="105"/>
      <c r="EF1102" s="105"/>
      <c r="EG1102" s="105"/>
      <c r="EH1102" s="105"/>
      <c r="EI1102" s="105"/>
      <c r="EJ1102" s="105"/>
      <c r="EK1102" s="105"/>
      <c r="EL1102" s="105"/>
      <c r="EM1102" s="105"/>
      <c r="EN1102" s="105"/>
      <c r="EO1102" s="105"/>
      <c r="EP1102" s="105"/>
      <c r="EQ1102" s="105"/>
      <c r="ER1102" s="105"/>
      <c r="ES1102" s="105"/>
      <c r="ET1102" s="105"/>
      <c r="EU1102" s="105"/>
      <c r="EV1102" s="105"/>
      <c r="EW1102" s="105"/>
      <c r="EX1102" s="105"/>
      <c r="EY1102" s="105"/>
      <c r="EZ1102" s="105"/>
      <c r="FA1102" s="105"/>
      <c r="FB1102" s="105"/>
      <c r="FC1102" s="105"/>
      <c r="FD1102" s="105"/>
      <c r="FE1102" s="105"/>
      <c r="FF1102" s="105"/>
      <c r="FG1102" s="105"/>
      <c r="FH1102" s="105"/>
      <c r="FI1102" s="105"/>
      <c r="FJ1102" s="105"/>
      <c r="FK1102" s="105"/>
      <c r="FL1102" s="105"/>
      <c r="FM1102" s="105"/>
      <c r="FN1102" s="105"/>
      <c r="FO1102" s="105"/>
      <c r="FP1102" s="105"/>
    </row>
    <row r="1103" spans="19:172" ht="6.95" customHeight="1" x14ac:dyDescent="0.15">
      <c r="S1103" s="89"/>
      <c r="T1103" s="89"/>
      <c r="U1103" s="89"/>
      <c r="V1103" s="89"/>
      <c r="W1103" s="89"/>
      <c r="X1103" s="89"/>
      <c r="Y1103" s="89"/>
      <c r="Z1103" s="89"/>
      <c r="AA1103" s="89"/>
      <c r="AB1103" s="89"/>
      <c r="AC1103" s="89"/>
      <c r="AD1103" s="89"/>
      <c r="AE1103" s="89"/>
      <c r="AF1103" s="89"/>
      <c r="AG1103" s="89"/>
      <c r="AH1103" s="89"/>
      <c r="AI1103" s="89"/>
      <c r="AJ1103" s="89"/>
      <c r="AK1103" s="89"/>
      <c r="AL1103" s="89"/>
      <c r="AM1103" s="89"/>
      <c r="AN1103" s="89"/>
      <c r="AO1103" s="89"/>
      <c r="AP1103" s="89"/>
      <c r="AQ1103" s="89"/>
      <c r="AR1103" s="89"/>
      <c r="AS1103" s="89"/>
      <c r="AT1103" s="89"/>
      <c r="AU1103" s="89"/>
      <c r="AV1103" s="89"/>
      <c r="AW1103" s="89"/>
      <c r="AX1103" s="93"/>
      <c r="AY1103" s="93"/>
      <c r="AZ1103" s="93"/>
      <c r="BA1103" s="93"/>
      <c r="BB1103" s="93"/>
      <c r="BC1103" s="93"/>
      <c r="BD1103" s="93"/>
      <c r="BE1103" s="93"/>
      <c r="BF1103" s="93"/>
      <c r="BG1103" s="93"/>
      <c r="BH1103" s="93"/>
      <c r="BI1103" s="93"/>
      <c r="BJ1103" s="93"/>
      <c r="BK1103" s="93"/>
      <c r="BL1103" s="93"/>
      <c r="BM1103" s="93"/>
      <c r="BN1103" s="93"/>
      <c r="BO1103" s="93"/>
      <c r="BP1103" s="93"/>
      <c r="BQ1103" s="93"/>
      <c r="BR1103" s="93"/>
      <c r="BS1103" s="93"/>
      <c r="BT1103" s="93"/>
      <c r="BU1103" s="93"/>
      <c r="BV1103" s="93"/>
      <c r="BW1103" s="93"/>
      <c r="BX1103" s="93"/>
      <c r="BY1103" s="93"/>
      <c r="BZ1103" s="93"/>
      <c r="CA1103" s="93"/>
      <c r="CB1103" s="93"/>
      <c r="CC1103" s="93"/>
      <c r="CD1103" s="93"/>
      <c r="CE1103" s="93"/>
      <c r="CF1103" s="93"/>
      <c r="CG1103" s="93"/>
      <c r="CH1103" s="93"/>
      <c r="CI1103" s="93"/>
      <c r="CJ1103" s="93"/>
      <c r="CK1103" s="93"/>
      <c r="CL1103" s="93"/>
      <c r="CM1103" s="93"/>
      <c r="CN1103" s="93"/>
      <c r="CO1103" s="93"/>
      <c r="CP1103" s="93"/>
      <c r="CQ1103" s="93"/>
      <c r="CR1103" s="93"/>
      <c r="CS1103" s="93"/>
      <c r="CT1103" s="93"/>
      <c r="CU1103" s="93"/>
      <c r="CV1103" s="93"/>
      <c r="CW1103" s="93"/>
      <c r="CX1103" s="93"/>
      <c r="CY1103" s="93"/>
      <c r="CZ1103" s="93"/>
      <c r="DA1103" s="93"/>
      <c r="DB1103" s="93"/>
      <c r="DC1103" s="105"/>
      <c r="DD1103" s="105"/>
      <c r="DE1103" s="105"/>
      <c r="DF1103" s="105"/>
      <c r="DG1103" s="105"/>
      <c r="DH1103" s="105"/>
      <c r="DI1103" s="105"/>
      <c r="DJ1103" s="105"/>
      <c r="DK1103" s="105"/>
      <c r="DL1103" s="105"/>
      <c r="DM1103" s="105"/>
      <c r="DN1103" s="105"/>
      <c r="DO1103" s="105"/>
      <c r="DP1103" s="105"/>
      <c r="DQ1103" s="105"/>
      <c r="DR1103" s="105"/>
      <c r="DS1103" s="105"/>
      <c r="DT1103" s="105"/>
      <c r="DU1103" s="105"/>
      <c r="DV1103" s="105"/>
      <c r="DW1103" s="105"/>
      <c r="DX1103" s="105"/>
      <c r="DY1103" s="105"/>
      <c r="DZ1103" s="105"/>
      <c r="EA1103" s="105"/>
      <c r="EB1103" s="105"/>
      <c r="EC1103" s="105"/>
      <c r="ED1103" s="105"/>
      <c r="EE1103" s="105"/>
      <c r="EF1103" s="105"/>
      <c r="EG1103" s="105"/>
      <c r="EH1103" s="105"/>
      <c r="EI1103" s="105"/>
      <c r="EJ1103" s="105"/>
      <c r="EK1103" s="105"/>
      <c r="EL1103" s="105"/>
      <c r="EM1103" s="105"/>
      <c r="EN1103" s="105"/>
      <c r="EO1103" s="105"/>
      <c r="EP1103" s="105"/>
      <c r="EQ1103" s="105"/>
      <c r="ER1103" s="105"/>
      <c r="ES1103" s="105"/>
      <c r="ET1103" s="105"/>
      <c r="EU1103" s="105"/>
      <c r="EV1103" s="105"/>
      <c r="EW1103" s="105"/>
      <c r="EX1103" s="105"/>
      <c r="EY1103" s="105"/>
      <c r="EZ1103" s="105"/>
      <c r="FA1103" s="105"/>
      <c r="FB1103" s="105"/>
      <c r="FC1103" s="105"/>
      <c r="FD1103" s="105"/>
      <c r="FE1103" s="105"/>
      <c r="FF1103" s="105"/>
      <c r="FG1103" s="105"/>
      <c r="FH1103" s="105"/>
      <c r="FI1103" s="105"/>
      <c r="FJ1103" s="105"/>
      <c r="FK1103" s="105"/>
      <c r="FL1103" s="105"/>
      <c r="FM1103" s="105"/>
      <c r="FN1103" s="105"/>
      <c r="FO1103" s="105"/>
      <c r="FP1103" s="105"/>
    </row>
    <row r="1104" spans="19:172" ht="6.95" customHeight="1" x14ac:dyDescent="0.15">
      <c r="S1104" s="89"/>
      <c r="T1104" s="89"/>
      <c r="U1104" s="89"/>
      <c r="V1104" s="89"/>
      <c r="W1104" s="89"/>
      <c r="X1104" s="89"/>
      <c r="Y1104" s="89"/>
      <c r="Z1104" s="89"/>
      <c r="AA1104" s="89"/>
      <c r="AB1104" s="89"/>
      <c r="AC1104" s="89"/>
      <c r="AD1104" s="89"/>
      <c r="AE1104" s="89"/>
      <c r="AF1104" s="89"/>
      <c r="AG1104" s="89"/>
      <c r="AH1104" s="89"/>
      <c r="AI1104" s="89"/>
      <c r="AJ1104" s="89"/>
      <c r="AK1104" s="89"/>
      <c r="AL1104" s="89"/>
      <c r="AM1104" s="89"/>
      <c r="AN1104" s="89"/>
      <c r="AO1104" s="89"/>
      <c r="AP1104" s="89"/>
      <c r="AQ1104" s="89"/>
      <c r="AR1104" s="89"/>
      <c r="AS1104" s="89"/>
      <c r="AT1104" s="89"/>
      <c r="AU1104" s="89"/>
      <c r="AV1104" s="89"/>
      <c r="AW1104" s="89"/>
      <c r="AX1104" s="93"/>
      <c r="AY1104" s="93"/>
      <c r="AZ1104" s="93"/>
      <c r="BA1104" s="93"/>
      <c r="BB1104" s="93"/>
      <c r="BC1104" s="93"/>
      <c r="BD1104" s="93"/>
      <c r="BE1104" s="93"/>
      <c r="BF1104" s="93"/>
      <c r="BG1104" s="93"/>
      <c r="BH1104" s="93"/>
      <c r="BI1104" s="93"/>
      <c r="BJ1104" s="93"/>
      <c r="BK1104" s="93"/>
      <c r="BL1104" s="93"/>
      <c r="BM1104" s="93"/>
      <c r="BN1104" s="93"/>
      <c r="BO1104" s="93"/>
      <c r="BP1104" s="93"/>
      <c r="BQ1104" s="93"/>
      <c r="BR1104" s="93"/>
      <c r="BS1104" s="93"/>
      <c r="BT1104" s="93"/>
      <c r="BU1104" s="93"/>
      <c r="BV1104" s="93"/>
      <c r="BW1104" s="93"/>
      <c r="BX1104" s="93"/>
      <c r="BY1104" s="93"/>
      <c r="BZ1104" s="93"/>
      <c r="CA1104" s="93"/>
      <c r="CB1104" s="93"/>
      <c r="CC1104" s="93"/>
      <c r="CD1104" s="93"/>
      <c r="CE1104" s="93"/>
      <c r="CF1104" s="93"/>
      <c r="CG1104" s="93"/>
      <c r="CH1104" s="93"/>
      <c r="CI1104" s="93"/>
      <c r="CJ1104" s="93"/>
      <c r="CK1104" s="93"/>
      <c r="CL1104" s="93"/>
      <c r="CM1104" s="93"/>
      <c r="CN1104" s="93"/>
      <c r="CO1104" s="93"/>
      <c r="CP1104" s="93"/>
      <c r="CQ1104" s="93"/>
      <c r="CR1104" s="93"/>
      <c r="CS1104" s="93"/>
      <c r="CT1104" s="93"/>
      <c r="CU1104" s="93"/>
      <c r="CV1104" s="93"/>
      <c r="CW1104" s="93"/>
      <c r="CX1104" s="93"/>
      <c r="CY1104" s="93"/>
      <c r="CZ1104" s="93"/>
      <c r="DA1104" s="93"/>
      <c r="DB1104" s="93"/>
      <c r="DC1104" s="105"/>
      <c r="DD1104" s="105"/>
      <c r="DE1104" s="105"/>
      <c r="DF1104" s="105"/>
      <c r="DG1104" s="105"/>
      <c r="DH1104" s="105"/>
      <c r="DI1104" s="105"/>
      <c r="DJ1104" s="105"/>
      <c r="DK1104" s="105"/>
      <c r="DL1104" s="105"/>
      <c r="DM1104" s="105"/>
      <c r="DN1104" s="105"/>
      <c r="DO1104" s="105"/>
      <c r="DP1104" s="105"/>
      <c r="DQ1104" s="105"/>
      <c r="DR1104" s="105"/>
      <c r="DS1104" s="105"/>
      <c r="DT1104" s="105"/>
      <c r="DU1104" s="105"/>
      <c r="DV1104" s="105"/>
      <c r="DW1104" s="105"/>
      <c r="DX1104" s="105"/>
      <c r="DY1104" s="105"/>
      <c r="DZ1104" s="105"/>
      <c r="EA1104" s="105"/>
      <c r="EB1104" s="105"/>
      <c r="EC1104" s="105"/>
      <c r="ED1104" s="105"/>
      <c r="EE1104" s="105"/>
      <c r="EF1104" s="105"/>
      <c r="EG1104" s="105"/>
      <c r="EH1104" s="105"/>
      <c r="EI1104" s="105"/>
      <c r="EJ1104" s="105"/>
      <c r="EK1104" s="105"/>
      <c r="EL1104" s="105"/>
      <c r="EM1104" s="105"/>
      <c r="EN1104" s="105"/>
      <c r="EO1104" s="105"/>
      <c r="EP1104" s="105"/>
      <c r="EQ1104" s="105"/>
      <c r="ER1104" s="105"/>
      <c r="ES1104" s="105"/>
      <c r="ET1104" s="105"/>
      <c r="EU1104" s="105"/>
      <c r="EV1104" s="105"/>
      <c r="EW1104" s="105"/>
      <c r="EX1104" s="105"/>
      <c r="EY1104" s="105"/>
      <c r="EZ1104" s="105"/>
      <c r="FA1104" s="105"/>
      <c r="FB1104" s="105"/>
      <c r="FC1104" s="105"/>
      <c r="FD1104" s="105"/>
      <c r="FE1104" s="105"/>
      <c r="FF1104" s="105"/>
      <c r="FG1104" s="105"/>
      <c r="FH1104" s="105"/>
      <c r="FI1104" s="105"/>
      <c r="FJ1104" s="105"/>
      <c r="FK1104" s="105"/>
      <c r="FL1104" s="105"/>
      <c r="FM1104" s="105"/>
      <c r="FN1104" s="105"/>
      <c r="FO1104" s="105"/>
      <c r="FP1104" s="105"/>
    </row>
    <row r="1105" spans="19:172" ht="6.95" customHeight="1" x14ac:dyDescent="0.15"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93"/>
      <c r="AY1105" s="93"/>
      <c r="AZ1105" s="93"/>
      <c r="BA1105" s="93"/>
      <c r="BB1105" s="93"/>
      <c r="BC1105" s="93"/>
      <c r="BD1105" s="93"/>
      <c r="BE1105" s="93"/>
      <c r="BF1105" s="93"/>
      <c r="BG1105" s="93"/>
      <c r="BH1105" s="93"/>
      <c r="BI1105" s="93"/>
      <c r="BJ1105" s="93"/>
      <c r="BK1105" s="93"/>
      <c r="BL1105" s="93"/>
      <c r="BM1105" s="93"/>
      <c r="BN1105" s="93"/>
      <c r="BO1105" s="93"/>
      <c r="BP1105" s="93"/>
      <c r="BQ1105" s="93"/>
      <c r="BR1105" s="93"/>
      <c r="BS1105" s="93"/>
      <c r="BT1105" s="93"/>
      <c r="BU1105" s="93"/>
      <c r="BV1105" s="93"/>
      <c r="BW1105" s="93"/>
      <c r="BX1105" s="93"/>
      <c r="BY1105" s="93"/>
      <c r="BZ1105" s="93"/>
      <c r="CA1105" s="93"/>
      <c r="CB1105" s="93"/>
      <c r="CC1105" s="93"/>
      <c r="CD1105" s="93"/>
      <c r="CE1105" s="93"/>
      <c r="CF1105" s="93"/>
      <c r="CG1105" s="93"/>
      <c r="CH1105" s="93"/>
      <c r="CI1105" s="93"/>
      <c r="CJ1105" s="93"/>
      <c r="CK1105" s="93"/>
      <c r="CL1105" s="93"/>
      <c r="CM1105" s="93"/>
      <c r="CN1105" s="93"/>
      <c r="CO1105" s="93"/>
      <c r="CP1105" s="93"/>
      <c r="CQ1105" s="93"/>
      <c r="CR1105" s="93"/>
      <c r="CS1105" s="93"/>
      <c r="CT1105" s="93"/>
      <c r="CU1105" s="93"/>
      <c r="CV1105" s="93"/>
      <c r="CW1105" s="93"/>
      <c r="CX1105" s="93"/>
      <c r="CY1105" s="93"/>
      <c r="CZ1105" s="93"/>
      <c r="DA1105" s="93"/>
      <c r="DB1105" s="93"/>
      <c r="DC1105" s="105"/>
      <c r="DD1105" s="105"/>
      <c r="DE1105" s="105"/>
      <c r="DF1105" s="105"/>
      <c r="DG1105" s="105"/>
      <c r="DH1105" s="105"/>
      <c r="DI1105" s="105"/>
      <c r="DJ1105" s="105"/>
      <c r="DK1105" s="105"/>
      <c r="DL1105" s="105"/>
      <c r="DM1105" s="105"/>
      <c r="DN1105" s="105"/>
      <c r="DO1105" s="105"/>
      <c r="DP1105" s="105"/>
      <c r="DQ1105" s="105"/>
      <c r="DR1105" s="105"/>
      <c r="DS1105" s="105"/>
      <c r="DT1105" s="105"/>
      <c r="DU1105" s="105"/>
      <c r="DV1105" s="105"/>
      <c r="DW1105" s="105"/>
      <c r="DX1105" s="105"/>
      <c r="DY1105" s="105"/>
      <c r="DZ1105" s="105"/>
      <c r="EA1105" s="105"/>
      <c r="EB1105" s="105"/>
      <c r="EC1105" s="105"/>
      <c r="ED1105" s="105"/>
      <c r="EE1105" s="105"/>
      <c r="EF1105" s="105"/>
      <c r="EG1105" s="105"/>
      <c r="EH1105" s="105"/>
      <c r="EI1105" s="105"/>
      <c r="EJ1105" s="105"/>
      <c r="EK1105" s="105"/>
      <c r="EL1105" s="105"/>
      <c r="EM1105" s="105"/>
      <c r="EN1105" s="105"/>
      <c r="EO1105" s="105"/>
      <c r="EP1105" s="105"/>
      <c r="EQ1105" s="105"/>
      <c r="ER1105" s="105"/>
      <c r="ES1105" s="105"/>
      <c r="ET1105" s="105"/>
      <c r="EU1105" s="105"/>
      <c r="EV1105" s="105"/>
      <c r="EW1105" s="105"/>
      <c r="EX1105" s="105"/>
      <c r="EY1105" s="105"/>
      <c r="EZ1105" s="105"/>
      <c r="FA1105" s="105"/>
      <c r="FB1105" s="105"/>
      <c r="FC1105" s="105"/>
      <c r="FD1105" s="105"/>
      <c r="FE1105" s="105"/>
      <c r="FF1105" s="105"/>
      <c r="FG1105" s="105"/>
      <c r="FH1105" s="105"/>
      <c r="FI1105" s="105"/>
      <c r="FJ1105" s="105"/>
      <c r="FK1105" s="105"/>
      <c r="FL1105" s="105"/>
      <c r="FM1105" s="105"/>
      <c r="FN1105" s="105"/>
      <c r="FO1105" s="105"/>
      <c r="FP1105" s="105"/>
    </row>
    <row r="1106" spans="19:172" ht="6.95" customHeight="1" x14ac:dyDescent="0.15">
      <c r="S1106" s="89"/>
      <c r="T1106" s="89"/>
      <c r="U1106" s="89"/>
      <c r="V1106" s="89"/>
      <c r="W1106" s="89"/>
      <c r="X1106" s="89"/>
      <c r="Y1106" s="89"/>
      <c r="Z1106" s="89"/>
      <c r="AA1106" s="89"/>
      <c r="AB1106" s="89"/>
      <c r="AC1106" s="89"/>
      <c r="AD1106" s="89"/>
      <c r="AE1106" s="89"/>
      <c r="AF1106" s="89"/>
      <c r="AG1106" s="89"/>
      <c r="AH1106" s="89"/>
      <c r="AI1106" s="89"/>
      <c r="AJ1106" s="89"/>
      <c r="AK1106" s="89"/>
      <c r="AL1106" s="89"/>
      <c r="AM1106" s="89"/>
      <c r="AN1106" s="89"/>
      <c r="AO1106" s="89"/>
      <c r="AP1106" s="89"/>
      <c r="AQ1106" s="89"/>
      <c r="AR1106" s="89"/>
      <c r="AS1106" s="89"/>
      <c r="AT1106" s="89"/>
      <c r="AU1106" s="89"/>
      <c r="AV1106" s="89"/>
      <c r="AW1106" s="89"/>
      <c r="AX1106" s="93"/>
      <c r="AY1106" s="93"/>
      <c r="AZ1106" s="93"/>
      <c r="BA1106" s="93"/>
      <c r="BB1106" s="93"/>
      <c r="BC1106" s="93"/>
      <c r="BD1106" s="93"/>
      <c r="BE1106" s="93"/>
      <c r="BF1106" s="93"/>
      <c r="BG1106" s="93"/>
      <c r="BH1106" s="93"/>
      <c r="BI1106" s="93"/>
      <c r="BJ1106" s="93"/>
      <c r="BK1106" s="93"/>
      <c r="BL1106" s="93"/>
      <c r="BM1106" s="93"/>
      <c r="BN1106" s="93"/>
      <c r="BO1106" s="93"/>
      <c r="BP1106" s="93"/>
      <c r="BQ1106" s="93"/>
      <c r="BR1106" s="93"/>
      <c r="BS1106" s="93"/>
      <c r="BT1106" s="93"/>
      <c r="BU1106" s="93"/>
      <c r="BV1106" s="93"/>
      <c r="BW1106" s="93"/>
      <c r="BX1106" s="93"/>
      <c r="BY1106" s="93"/>
      <c r="BZ1106" s="93"/>
      <c r="CA1106" s="93"/>
      <c r="CB1106" s="93"/>
      <c r="CC1106" s="93"/>
      <c r="CD1106" s="93"/>
      <c r="CE1106" s="93"/>
      <c r="CF1106" s="93"/>
      <c r="CG1106" s="93"/>
      <c r="CH1106" s="93"/>
      <c r="CI1106" s="93"/>
      <c r="CJ1106" s="93"/>
      <c r="CK1106" s="93"/>
      <c r="CL1106" s="93"/>
      <c r="CM1106" s="93"/>
      <c r="CN1106" s="93"/>
      <c r="CO1106" s="93"/>
      <c r="CP1106" s="93"/>
      <c r="CQ1106" s="93"/>
      <c r="CR1106" s="93"/>
      <c r="CS1106" s="93"/>
      <c r="CT1106" s="93"/>
      <c r="CU1106" s="93"/>
      <c r="CV1106" s="93"/>
      <c r="CW1106" s="93"/>
      <c r="CX1106" s="93"/>
      <c r="CY1106" s="93"/>
      <c r="CZ1106" s="93"/>
      <c r="DA1106" s="93"/>
      <c r="DB1106" s="93"/>
      <c r="DC1106" s="105"/>
      <c r="DD1106" s="105"/>
      <c r="DE1106" s="105"/>
      <c r="DF1106" s="105"/>
      <c r="DG1106" s="105"/>
      <c r="DH1106" s="105"/>
      <c r="DI1106" s="105"/>
      <c r="DJ1106" s="105"/>
      <c r="DK1106" s="105"/>
      <c r="DL1106" s="105"/>
      <c r="DM1106" s="105"/>
      <c r="DN1106" s="105"/>
      <c r="DO1106" s="105"/>
      <c r="DP1106" s="105"/>
      <c r="DQ1106" s="105"/>
      <c r="DR1106" s="105"/>
      <c r="DS1106" s="105"/>
      <c r="DT1106" s="105"/>
      <c r="DU1106" s="105"/>
      <c r="DV1106" s="105"/>
      <c r="DW1106" s="105"/>
      <c r="DX1106" s="105"/>
      <c r="DY1106" s="105"/>
      <c r="DZ1106" s="105"/>
      <c r="EA1106" s="105"/>
      <c r="EB1106" s="105"/>
      <c r="EC1106" s="105"/>
      <c r="ED1106" s="105"/>
      <c r="EE1106" s="105"/>
      <c r="EF1106" s="105"/>
      <c r="EG1106" s="105"/>
      <c r="EH1106" s="105"/>
      <c r="EI1106" s="105"/>
      <c r="EJ1106" s="105"/>
      <c r="EK1106" s="105"/>
      <c r="EL1106" s="105"/>
      <c r="EM1106" s="105"/>
      <c r="EN1106" s="105"/>
      <c r="EO1106" s="105"/>
      <c r="EP1106" s="105"/>
      <c r="EQ1106" s="105"/>
      <c r="ER1106" s="105"/>
      <c r="ES1106" s="105"/>
      <c r="ET1106" s="105"/>
      <c r="EU1106" s="105"/>
      <c r="EV1106" s="105"/>
      <c r="EW1106" s="105"/>
      <c r="EX1106" s="105"/>
      <c r="EY1106" s="105"/>
      <c r="EZ1106" s="105"/>
      <c r="FA1106" s="105"/>
      <c r="FB1106" s="105"/>
      <c r="FC1106" s="105"/>
      <c r="FD1106" s="105"/>
      <c r="FE1106" s="105"/>
      <c r="FF1106" s="105"/>
      <c r="FG1106" s="105"/>
      <c r="FH1106" s="105"/>
      <c r="FI1106" s="105"/>
      <c r="FJ1106" s="105"/>
      <c r="FK1106" s="105"/>
      <c r="FL1106" s="105"/>
      <c r="FM1106" s="105"/>
      <c r="FN1106" s="105"/>
      <c r="FO1106" s="105"/>
      <c r="FP1106" s="105"/>
    </row>
    <row r="1107" spans="19:172" ht="6.95" customHeight="1" x14ac:dyDescent="0.15">
      <c r="S1107" s="89"/>
      <c r="T1107" s="89"/>
      <c r="U1107" s="89"/>
      <c r="V1107" s="89"/>
      <c r="W1107" s="89"/>
      <c r="X1107" s="89"/>
      <c r="Y1107" s="89"/>
      <c r="Z1107" s="89"/>
      <c r="AA1107" s="89"/>
      <c r="AB1107" s="89"/>
      <c r="AC1107" s="89"/>
      <c r="AD1107" s="89"/>
      <c r="AE1107" s="89"/>
      <c r="AF1107" s="89"/>
      <c r="AG1107" s="89"/>
      <c r="AH1107" s="89"/>
      <c r="AI1107" s="89"/>
      <c r="AJ1107" s="89"/>
      <c r="AK1107" s="89"/>
      <c r="AL1107" s="89"/>
      <c r="AM1107" s="89"/>
      <c r="AN1107" s="89"/>
      <c r="AO1107" s="89"/>
      <c r="AP1107" s="89"/>
      <c r="AQ1107" s="89"/>
      <c r="AR1107" s="89"/>
      <c r="AS1107" s="89"/>
      <c r="AT1107" s="89"/>
      <c r="AU1107" s="89"/>
      <c r="AV1107" s="89"/>
      <c r="AW1107" s="89"/>
      <c r="AX1107" s="93"/>
      <c r="AY1107" s="93"/>
      <c r="AZ1107" s="93"/>
      <c r="BA1107" s="93"/>
      <c r="BB1107" s="93"/>
      <c r="BC1107" s="93"/>
      <c r="BD1107" s="93"/>
      <c r="BE1107" s="93"/>
      <c r="BF1107" s="93"/>
      <c r="BG1107" s="93"/>
      <c r="BH1107" s="93"/>
      <c r="BI1107" s="93"/>
      <c r="BJ1107" s="93"/>
      <c r="BK1107" s="93"/>
      <c r="BL1107" s="93"/>
      <c r="BM1107" s="93"/>
      <c r="BN1107" s="93"/>
      <c r="BO1107" s="93"/>
      <c r="BP1107" s="93"/>
      <c r="BQ1107" s="93"/>
      <c r="BR1107" s="93"/>
      <c r="BS1107" s="93"/>
      <c r="BT1107" s="93"/>
      <c r="BU1107" s="93"/>
      <c r="BV1107" s="93"/>
      <c r="BW1107" s="93"/>
      <c r="BX1107" s="93"/>
      <c r="BY1107" s="93"/>
      <c r="BZ1107" s="93"/>
      <c r="CA1107" s="93"/>
      <c r="CB1107" s="93"/>
      <c r="CC1107" s="93"/>
      <c r="CD1107" s="93"/>
      <c r="CE1107" s="93"/>
      <c r="CF1107" s="93"/>
      <c r="CG1107" s="93"/>
      <c r="CH1107" s="93"/>
      <c r="CI1107" s="93"/>
      <c r="CJ1107" s="93"/>
      <c r="CK1107" s="93"/>
      <c r="CL1107" s="93"/>
      <c r="CM1107" s="93"/>
      <c r="CN1107" s="93"/>
      <c r="CO1107" s="93"/>
      <c r="CP1107" s="93"/>
      <c r="CQ1107" s="93"/>
      <c r="CR1107" s="93"/>
      <c r="CS1107" s="93"/>
      <c r="CT1107" s="93"/>
      <c r="CU1107" s="93"/>
      <c r="CV1107" s="93"/>
      <c r="CW1107" s="93"/>
      <c r="CX1107" s="93"/>
      <c r="CY1107" s="93"/>
      <c r="CZ1107" s="93"/>
      <c r="DA1107" s="93"/>
      <c r="DB1107" s="93"/>
      <c r="DC1107" s="105"/>
      <c r="DD1107" s="105"/>
      <c r="DE1107" s="105"/>
      <c r="DF1107" s="105"/>
      <c r="DG1107" s="105"/>
      <c r="DH1107" s="105"/>
      <c r="DI1107" s="105"/>
      <c r="DJ1107" s="105"/>
      <c r="DK1107" s="105"/>
      <c r="DL1107" s="105"/>
      <c r="DM1107" s="105"/>
      <c r="DN1107" s="105"/>
      <c r="DO1107" s="105"/>
      <c r="DP1107" s="105"/>
      <c r="DQ1107" s="105"/>
      <c r="DR1107" s="105"/>
      <c r="DS1107" s="105"/>
      <c r="DT1107" s="105"/>
      <c r="DU1107" s="105"/>
      <c r="DV1107" s="105"/>
      <c r="DW1107" s="105"/>
      <c r="DX1107" s="105"/>
      <c r="DY1107" s="105"/>
      <c r="DZ1107" s="105"/>
      <c r="EA1107" s="105"/>
      <c r="EB1107" s="105"/>
      <c r="EC1107" s="105"/>
      <c r="ED1107" s="105"/>
      <c r="EE1107" s="105"/>
      <c r="EF1107" s="105"/>
      <c r="EG1107" s="105"/>
      <c r="EH1107" s="105"/>
      <c r="EI1107" s="105"/>
      <c r="EJ1107" s="105"/>
      <c r="EK1107" s="105"/>
      <c r="EL1107" s="105"/>
      <c r="EM1107" s="105"/>
      <c r="EN1107" s="105"/>
      <c r="EO1107" s="105"/>
      <c r="EP1107" s="105"/>
      <c r="EQ1107" s="105"/>
      <c r="ER1107" s="105"/>
      <c r="ES1107" s="105"/>
      <c r="ET1107" s="105"/>
      <c r="EU1107" s="105"/>
      <c r="EV1107" s="105"/>
      <c r="EW1107" s="105"/>
      <c r="EX1107" s="105"/>
      <c r="EY1107" s="105"/>
      <c r="EZ1107" s="105"/>
      <c r="FA1107" s="105"/>
      <c r="FB1107" s="105"/>
      <c r="FC1107" s="105"/>
      <c r="FD1107" s="105"/>
      <c r="FE1107" s="105"/>
      <c r="FF1107" s="105"/>
      <c r="FG1107" s="105"/>
      <c r="FH1107" s="105"/>
      <c r="FI1107" s="105"/>
      <c r="FJ1107" s="105"/>
      <c r="FK1107" s="105"/>
      <c r="FL1107" s="105"/>
      <c r="FM1107" s="105"/>
      <c r="FN1107" s="105"/>
      <c r="FO1107" s="105"/>
      <c r="FP1107" s="105"/>
    </row>
    <row r="1108" spans="19:172" ht="6.95" customHeight="1" x14ac:dyDescent="0.15">
      <c r="S1108" s="89"/>
      <c r="T1108" s="89"/>
      <c r="U1108" s="89"/>
      <c r="V1108" s="89"/>
      <c r="W1108" s="89"/>
      <c r="X1108" s="89"/>
      <c r="Y1108" s="89"/>
      <c r="Z1108" s="89"/>
      <c r="AA1108" s="89"/>
      <c r="AB1108" s="89"/>
      <c r="AC1108" s="89"/>
      <c r="AD1108" s="89"/>
      <c r="AE1108" s="89"/>
      <c r="AF1108" s="89"/>
      <c r="AG1108" s="89"/>
      <c r="AH1108" s="89"/>
      <c r="AI1108" s="89"/>
      <c r="AJ1108" s="89"/>
      <c r="AK1108" s="89"/>
      <c r="AL1108" s="89"/>
      <c r="AM1108" s="89"/>
      <c r="AN1108" s="89"/>
      <c r="AO1108" s="89"/>
      <c r="AP1108" s="89"/>
      <c r="AQ1108" s="89"/>
      <c r="AR1108" s="89"/>
      <c r="AS1108" s="89"/>
      <c r="AT1108" s="89"/>
      <c r="AU1108" s="89"/>
      <c r="AV1108" s="89"/>
      <c r="AW1108" s="89"/>
      <c r="AX1108" s="93"/>
      <c r="AY1108" s="93"/>
      <c r="AZ1108" s="93"/>
      <c r="BA1108" s="93"/>
      <c r="BB1108" s="93"/>
      <c r="BC1108" s="93"/>
      <c r="BD1108" s="93"/>
      <c r="BE1108" s="93"/>
      <c r="BF1108" s="93"/>
      <c r="BG1108" s="93"/>
      <c r="BH1108" s="93"/>
      <c r="BI1108" s="93"/>
      <c r="BJ1108" s="93"/>
      <c r="BK1108" s="93"/>
      <c r="BL1108" s="93"/>
      <c r="BM1108" s="93"/>
      <c r="BN1108" s="93"/>
      <c r="BO1108" s="93"/>
      <c r="BP1108" s="93"/>
      <c r="BQ1108" s="93"/>
      <c r="BR1108" s="93"/>
      <c r="BS1108" s="93"/>
      <c r="BT1108" s="93"/>
      <c r="BU1108" s="93"/>
      <c r="BV1108" s="93"/>
      <c r="BW1108" s="93"/>
      <c r="BX1108" s="93"/>
      <c r="BY1108" s="93"/>
      <c r="BZ1108" s="93"/>
      <c r="CA1108" s="93"/>
      <c r="CB1108" s="93"/>
      <c r="CC1108" s="93"/>
      <c r="CD1108" s="93"/>
      <c r="CE1108" s="93"/>
      <c r="CF1108" s="93"/>
      <c r="CG1108" s="93"/>
      <c r="CH1108" s="93"/>
      <c r="CI1108" s="93"/>
      <c r="CJ1108" s="93"/>
      <c r="CK1108" s="93"/>
      <c r="CL1108" s="93"/>
      <c r="CM1108" s="93"/>
      <c r="CN1108" s="93"/>
      <c r="CO1108" s="93"/>
      <c r="CP1108" s="93"/>
      <c r="CQ1108" s="93"/>
      <c r="CR1108" s="93"/>
      <c r="CS1108" s="93"/>
      <c r="CT1108" s="93"/>
      <c r="CU1108" s="93"/>
      <c r="CV1108" s="93"/>
      <c r="CW1108" s="93"/>
      <c r="CX1108" s="93"/>
      <c r="CY1108" s="93"/>
      <c r="CZ1108" s="93"/>
      <c r="DA1108" s="93"/>
      <c r="DB1108" s="93"/>
      <c r="DC1108" s="105"/>
      <c r="DD1108" s="105"/>
      <c r="DE1108" s="105"/>
      <c r="DF1108" s="105"/>
      <c r="DG1108" s="105"/>
      <c r="DH1108" s="105"/>
      <c r="DI1108" s="105"/>
      <c r="DJ1108" s="105"/>
      <c r="DK1108" s="105"/>
      <c r="DL1108" s="105"/>
      <c r="DM1108" s="105"/>
      <c r="DN1108" s="105"/>
      <c r="DO1108" s="105"/>
      <c r="DP1108" s="105"/>
      <c r="DQ1108" s="105"/>
      <c r="DR1108" s="105"/>
      <c r="DS1108" s="105"/>
      <c r="DT1108" s="105"/>
      <c r="DU1108" s="105"/>
      <c r="DV1108" s="105"/>
      <c r="DW1108" s="105"/>
      <c r="DX1108" s="105"/>
      <c r="DY1108" s="105"/>
      <c r="DZ1108" s="105"/>
      <c r="EA1108" s="105"/>
      <c r="EB1108" s="105"/>
      <c r="EC1108" s="105"/>
      <c r="ED1108" s="105"/>
      <c r="EE1108" s="105"/>
      <c r="EF1108" s="105"/>
      <c r="EG1108" s="105"/>
      <c r="EH1108" s="105"/>
      <c r="EI1108" s="105"/>
      <c r="EJ1108" s="105"/>
      <c r="EK1108" s="105"/>
      <c r="EL1108" s="105"/>
      <c r="EM1108" s="105"/>
      <c r="EN1108" s="105"/>
      <c r="EO1108" s="105"/>
      <c r="EP1108" s="105"/>
      <c r="EQ1108" s="105"/>
      <c r="ER1108" s="105"/>
      <c r="ES1108" s="105"/>
      <c r="ET1108" s="105"/>
      <c r="EU1108" s="105"/>
      <c r="EV1108" s="105"/>
      <c r="EW1108" s="105"/>
      <c r="EX1108" s="105"/>
      <c r="EY1108" s="105"/>
      <c r="EZ1108" s="105"/>
      <c r="FA1108" s="105"/>
      <c r="FB1108" s="105"/>
      <c r="FC1108" s="105"/>
      <c r="FD1108" s="105"/>
      <c r="FE1108" s="105"/>
      <c r="FF1108" s="105"/>
      <c r="FG1108" s="105"/>
      <c r="FH1108" s="105"/>
      <c r="FI1108" s="105"/>
      <c r="FJ1108" s="105"/>
      <c r="FK1108" s="105"/>
      <c r="FL1108" s="105"/>
      <c r="FM1108" s="105"/>
      <c r="FN1108" s="105"/>
      <c r="FO1108" s="105"/>
      <c r="FP1108" s="105"/>
    </row>
    <row r="1109" spans="19:172" ht="6.95" customHeight="1" x14ac:dyDescent="0.15">
      <c r="S1109" s="89"/>
      <c r="T1109" s="89"/>
      <c r="U1109" s="89"/>
      <c r="V1109" s="89"/>
      <c r="W1109" s="89"/>
      <c r="X1109" s="89"/>
      <c r="Y1109" s="89"/>
      <c r="Z1109" s="89"/>
      <c r="AA1109" s="89"/>
      <c r="AB1109" s="89"/>
      <c r="AC1109" s="89"/>
      <c r="AD1109" s="89"/>
      <c r="AE1109" s="89"/>
      <c r="AF1109" s="89"/>
      <c r="AG1109" s="89"/>
      <c r="AH1109" s="89"/>
      <c r="AI1109" s="89"/>
      <c r="AJ1109" s="89"/>
      <c r="AK1109" s="89"/>
      <c r="AL1109" s="89"/>
      <c r="AM1109" s="89"/>
      <c r="AN1109" s="89"/>
      <c r="AO1109" s="89"/>
      <c r="AP1109" s="89"/>
      <c r="AQ1109" s="89"/>
      <c r="AR1109" s="89"/>
      <c r="AS1109" s="89"/>
      <c r="AT1109" s="89"/>
      <c r="AU1109" s="89"/>
      <c r="AV1109" s="89"/>
      <c r="AW1109" s="89"/>
      <c r="AX1109" s="93"/>
      <c r="AY1109" s="93"/>
      <c r="AZ1109" s="93"/>
      <c r="BA1109" s="93"/>
      <c r="BB1109" s="93"/>
      <c r="BC1109" s="93"/>
      <c r="BD1109" s="93"/>
      <c r="BE1109" s="93"/>
      <c r="BF1109" s="93"/>
      <c r="BG1109" s="93"/>
      <c r="BH1109" s="93"/>
      <c r="BI1109" s="93"/>
      <c r="BJ1109" s="93"/>
      <c r="BK1109" s="93"/>
      <c r="BL1109" s="93"/>
      <c r="BM1109" s="93"/>
      <c r="BN1109" s="93"/>
      <c r="BO1109" s="93"/>
      <c r="BP1109" s="93"/>
      <c r="BQ1109" s="93"/>
      <c r="BR1109" s="93"/>
      <c r="BS1109" s="93"/>
      <c r="BT1109" s="93"/>
      <c r="BU1109" s="93"/>
      <c r="BV1109" s="93"/>
      <c r="BW1109" s="93"/>
      <c r="BX1109" s="93"/>
      <c r="BY1109" s="93"/>
      <c r="BZ1109" s="93"/>
      <c r="CA1109" s="93"/>
      <c r="CB1109" s="93"/>
      <c r="CC1109" s="93"/>
      <c r="CD1109" s="93"/>
      <c r="CE1109" s="93"/>
      <c r="CF1109" s="93"/>
      <c r="CG1109" s="93"/>
      <c r="CH1109" s="93"/>
      <c r="CI1109" s="93"/>
      <c r="CJ1109" s="93"/>
      <c r="CK1109" s="93"/>
      <c r="CL1109" s="93"/>
      <c r="CM1109" s="93"/>
      <c r="CN1109" s="93"/>
      <c r="CO1109" s="93"/>
      <c r="CP1109" s="93"/>
      <c r="CQ1109" s="93"/>
      <c r="CR1109" s="93"/>
      <c r="CS1109" s="93"/>
      <c r="CT1109" s="93"/>
      <c r="CU1109" s="93"/>
      <c r="CV1109" s="93"/>
      <c r="CW1109" s="93"/>
      <c r="CX1109" s="93"/>
      <c r="CY1109" s="93"/>
      <c r="CZ1109" s="93"/>
      <c r="DA1109" s="93"/>
      <c r="DB1109" s="93"/>
      <c r="DC1109" s="105"/>
      <c r="DD1109" s="105"/>
      <c r="DE1109" s="105"/>
      <c r="DF1109" s="105"/>
      <c r="DG1109" s="105"/>
      <c r="DH1109" s="105"/>
      <c r="DI1109" s="105"/>
      <c r="DJ1109" s="105"/>
      <c r="DK1109" s="105"/>
      <c r="DL1109" s="105"/>
      <c r="DM1109" s="105"/>
      <c r="DN1109" s="105"/>
      <c r="DO1109" s="105"/>
      <c r="DP1109" s="105"/>
      <c r="DQ1109" s="105"/>
      <c r="DR1109" s="105"/>
      <c r="DS1109" s="105"/>
      <c r="DT1109" s="105"/>
      <c r="DU1109" s="105"/>
      <c r="DV1109" s="105"/>
      <c r="DW1109" s="105"/>
      <c r="DX1109" s="105"/>
      <c r="DY1109" s="105"/>
      <c r="DZ1109" s="105"/>
      <c r="EA1109" s="105"/>
      <c r="EB1109" s="105"/>
      <c r="EC1109" s="105"/>
      <c r="ED1109" s="105"/>
      <c r="EE1109" s="105"/>
      <c r="EF1109" s="105"/>
      <c r="EG1109" s="105"/>
      <c r="EH1109" s="105"/>
      <c r="EI1109" s="105"/>
      <c r="EJ1109" s="105"/>
      <c r="EK1109" s="105"/>
      <c r="EL1109" s="105"/>
      <c r="EM1109" s="105"/>
      <c r="EN1109" s="105"/>
      <c r="EO1109" s="105"/>
      <c r="EP1109" s="105"/>
      <c r="EQ1109" s="105"/>
      <c r="ER1109" s="105"/>
      <c r="ES1109" s="105"/>
      <c r="ET1109" s="105"/>
      <c r="EU1109" s="105"/>
      <c r="EV1109" s="105"/>
      <c r="EW1109" s="105"/>
      <c r="EX1109" s="105"/>
      <c r="EY1109" s="105"/>
      <c r="EZ1109" s="105"/>
      <c r="FA1109" s="105"/>
      <c r="FB1109" s="105"/>
      <c r="FC1109" s="105"/>
      <c r="FD1109" s="105"/>
      <c r="FE1109" s="105"/>
      <c r="FF1109" s="105"/>
      <c r="FG1109" s="105"/>
      <c r="FH1109" s="105"/>
      <c r="FI1109" s="105"/>
      <c r="FJ1109" s="105"/>
      <c r="FK1109" s="105"/>
      <c r="FL1109" s="105"/>
      <c r="FM1109" s="105"/>
      <c r="FN1109" s="105"/>
      <c r="FO1109" s="105"/>
      <c r="FP1109" s="105"/>
    </row>
    <row r="1110" spans="19:172" ht="6.95" customHeight="1" x14ac:dyDescent="0.15">
      <c r="S1110" s="89"/>
      <c r="T1110" s="89"/>
      <c r="U1110" s="89"/>
      <c r="V1110" s="89"/>
      <c r="W1110" s="89"/>
      <c r="X1110" s="89"/>
      <c r="Y1110" s="89"/>
      <c r="Z1110" s="89"/>
      <c r="AA1110" s="89"/>
      <c r="AB1110" s="89"/>
      <c r="AC1110" s="89"/>
      <c r="AD1110" s="89"/>
      <c r="AE1110" s="89"/>
      <c r="AF1110" s="89"/>
      <c r="AG1110" s="89"/>
      <c r="AH1110" s="89"/>
      <c r="AI1110" s="89"/>
      <c r="AJ1110" s="89"/>
      <c r="AK1110" s="89"/>
      <c r="AL1110" s="89"/>
      <c r="AM1110" s="89"/>
      <c r="AN1110" s="89"/>
      <c r="AO1110" s="89"/>
      <c r="AP1110" s="89"/>
      <c r="AQ1110" s="89"/>
      <c r="AR1110" s="89"/>
      <c r="AS1110" s="89"/>
      <c r="AT1110" s="89"/>
      <c r="AU1110" s="89"/>
      <c r="AV1110" s="89"/>
      <c r="AW1110" s="89"/>
      <c r="AX1110" s="93"/>
      <c r="AY1110" s="93"/>
      <c r="AZ1110" s="93"/>
      <c r="BA1110" s="93"/>
      <c r="BB1110" s="93"/>
      <c r="BC1110" s="93"/>
      <c r="BD1110" s="93"/>
      <c r="BE1110" s="93"/>
      <c r="BF1110" s="93"/>
      <c r="BG1110" s="93"/>
      <c r="BH1110" s="93"/>
      <c r="BI1110" s="93"/>
      <c r="BJ1110" s="93"/>
      <c r="BK1110" s="93"/>
      <c r="BL1110" s="93"/>
      <c r="BM1110" s="93"/>
      <c r="BN1110" s="93"/>
      <c r="BO1110" s="93"/>
      <c r="BP1110" s="93"/>
      <c r="BQ1110" s="93"/>
      <c r="BR1110" s="93"/>
      <c r="BS1110" s="93"/>
      <c r="BT1110" s="93"/>
      <c r="BU1110" s="93"/>
      <c r="BV1110" s="93"/>
      <c r="BW1110" s="93"/>
      <c r="BX1110" s="93"/>
      <c r="BY1110" s="93"/>
      <c r="BZ1110" s="93"/>
      <c r="CA1110" s="93"/>
      <c r="CB1110" s="93"/>
      <c r="CC1110" s="93"/>
      <c r="CD1110" s="93"/>
      <c r="CE1110" s="93"/>
      <c r="CF1110" s="93"/>
      <c r="CG1110" s="93"/>
      <c r="CH1110" s="93"/>
      <c r="CI1110" s="93"/>
      <c r="CJ1110" s="93"/>
      <c r="CK1110" s="93"/>
      <c r="CL1110" s="93"/>
      <c r="CM1110" s="93"/>
      <c r="CN1110" s="93"/>
      <c r="CO1110" s="93"/>
      <c r="CP1110" s="93"/>
      <c r="CQ1110" s="93"/>
      <c r="CR1110" s="93"/>
      <c r="CS1110" s="93"/>
      <c r="CT1110" s="93"/>
      <c r="CU1110" s="93"/>
      <c r="CV1110" s="93"/>
      <c r="CW1110" s="93"/>
      <c r="CX1110" s="93"/>
      <c r="CY1110" s="93"/>
      <c r="CZ1110" s="93"/>
      <c r="DA1110" s="93"/>
      <c r="DB1110" s="93"/>
      <c r="DC1110" s="105"/>
      <c r="DD1110" s="105"/>
      <c r="DE1110" s="105"/>
      <c r="DF1110" s="105"/>
      <c r="DG1110" s="105"/>
      <c r="DH1110" s="105"/>
      <c r="DI1110" s="105"/>
      <c r="DJ1110" s="105"/>
      <c r="DK1110" s="105"/>
      <c r="DL1110" s="105"/>
      <c r="DM1110" s="105"/>
      <c r="DN1110" s="105"/>
      <c r="DO1110" s="105"/>
      <c r="DP1110" s="105"/>
      <c r="DQ1110" s="105"/>
      <c r="DR1110" s="105"/>
      <c r="DS1110" s="105"/>
      <c r="DT1110" s="105"/>
      <c r="DU1110" s="105"/>
      <c r="DV1110" s="105"/>
      <c r="DW1110" s="105"/>
      <c r="DX1110" s="105"/>
      <c r="DY1110" s="105"/>
      <c r="DZ1110" s="105"/>
      <c r="EA1110" s="105"/>
      <c r="EB1110" s="105"/>
      <c r="EC1110" s="105"/>
      <c r="ED1110" s="105"/>
      <c r="EE1110" s="105"/>
      <c r="EF1110" s="105"/>
      <c r="EG1110" s="105"/>
      <c r="EH1110" s="105"/>
      <c r="EI1110" s="105"/>
      <c r="EJ1110" s="105"/>
      <c r="EK1110" s="105"/>
      <c r="EL1110" s="105"/>
      <c r="EM1110" s="105"/>
      <c r="EN1110" s="105"/>
      <c r="EO1110" s="105"/>
      <c r="EP1110" s="105"/>
      <c r="EQ1110" s="105"/>
      <c r="ER1110" s="105"/>
      <c r="ES1110" s="105"/>
      <c r="ET1110" s="105"/>
      <c r="EU1110" s="105"/>
      <c r="EV1110" s="105"/>
      <c r="EW1110" s="105"/>
      <c r="EX1110" s="105"/>
      <c r="EY1110" s="105"/>
      <c r="EZ1110" s="105"/>
      <c r="FA1110" s="105"/>
      <c r="FB1110" s="105"/>
      <c r="FC1110" s="105"/>
      <c r="FD1110" s="105"/>
      <c r="FE1110" s="105"/>
      <c r="FF1110" s="105"/>
      <c r="FG1110" s="105"/>
      <c r="FH1110" s="105"/>
      <c r="FI1110" s="105"/>
      <c r="FJ1110" s="105"/>
      <c r="FK1110" s="105"/>
      <c r="FL1110" s="105"/>
      <c r="FM1110" s="105"/>
      <c r="FN1110" s="105"/>
      <c r="FO1110" s="105"/>
      <c r="FP1110" s="105"/>
    </row>
    <row r="1111" spans="19:172" ht="6.95" customHeight="1" x14ac:dyDescent="0.15">
      <c r="S1111" s="89"/>
      <c r="T1111" s="89"/>
      <c r="U1111" s="89"/>
      <c r="V1111" s="89"/>
      <c r="W1111" s="89"/>
      <c r="X1111" s="89"/>
      <c r="Y1111" s="89"/>
      <c r="Z1111" s="89"/>
      <c r="AA1111" s="89"/>
      <c r="AB1111" s="89"/>
      <c r="AC1111" s="89"/>
      <c r="AD1111" s="89"/>
      <c r="AE1111" s="89"/>
      <c r="AF1111" s="89"/>
      <c r="AG1111" s="89"/>
      <c r="AH1111" s="89"/>
      <c r="AI1111" s="89"/>
      <c r="AJ1111" s="89"/>
      <c r="AK1111" s="89"/>
      <c r="AL1111" s="89"/>
      <c r="AM1111" s="89"/>
      <c r="AN1111" s="89"/>
      <c r="AO1111" s="89"/>
      <c r="AP1111" s="89"/>
      <c r="AQ1111" s="89"/>
      <c r="AR1111" s="89"/>
      <c r="AS1111" s="89"/>
      <c r="AT1111" s="89"/>
      <c r="AU1111" s="89"/>
      <c r="AV1111" s="89"/>
      <c r="AW1111" s="89"/>
      <c r="AX1111" s="93"/>
      <c r="AY1111" s="93"/>
      <c r="AZ1111" s="93"/>
      <c r="BA1111" s="93"/>
      <c r="BB1111" s="93"/>
      <c r="BC1111" s="93"/>
      <c r="BD1111" s="93"/>
      <c r="BE1111" s="93"/>
      <c r="BF1111" s="93"/>
      <c r="BG1111" s="93"/>
      <c r="BH1111" s="93"/>
      <c r="BI1111" s="93"/>
      <c r="BJ1111" s="93"/>
      <c r="BK1111" s="93"/>
      <c r="BL1111" s="93"/>
      <c r="BM1111" s="93"/>
      <c r="BN1111" s="93"/>
      <c r="BO1111" s="93"/>
      <c r="BP1111" s="93"/>
      <c r="BQ1111" s="93"/>
      <c r="BR1111" s="93"/>
      <c r="BS1111" s="93"/>
      <c r="BT1111" s="93"/>
      <c r="BU1111" s="93"/>
      <c r="BV1111" s="93"/>
      <c r="BW1111" s="93"/>
      <c r="BX1111" s="93"/>
      <c r="BY1111" s="93"/>
      <c r="BZ1111" s="93"/>
      <c r="CA1111" s="93"/>
      <c r="CB1111" s="93"/>
      <c r="CC1111" s="93"/>
      <c r="CD1111" s="93"/>
      <c r="CE1111" s="93"/>
      <c r="CF1111" s="93"/>
      <c r="CG1111" s="93"/>
      <c r="CH1111" s="93"/>
      <c r="CI1111" s="93"/>
      <c r="CJ1111" s="93"/>
      <c r="CK1111" s="93"/>
      <c r="CL1111" s="93"/>
      <c r="CM1111" s="93"/>
      <c r="CN1111" s="93"/>
      <c r="CO1111" s="93"/>
      <c r="CP1111" s="93"/>
      <c r="CQ1111" s="93"/>
      <c r="CR1111" s="93"/>
      <c r="CS1111" s="93"/>
      <c r="CT1111" s="93"/>
      <c r="CU1111" s="93"/>
      <c r="CV1111" s="93"/>
      <c r="CW1111" s="93"/>
      <c r="CX1111" s="93"/>
      <c r="CY1111" s="93"/>
      <c r="CZ1111" s="93"/>
      <c r="DA1111" s="93"/>
      <c r="DB1111" s="93"/>
      <c r="DC1111" s="105"/>
      <c r="DD1111" s="105"/>
      <c r="DE1111" s="105"/>
      <c r="DF1111" s="105"/>
      <c r="DG1111" s="105"/>
      <c r="DH1111" s="105"/>
      <c r="DI1111" s="105"/>
      <c r="DJ1111" s="105"/>
      <c r="DK1111" s="105"/>
      <c r="DL1111" s="105"/>
      <c r="DM1111" s="105"/>
      <c r="DN1111" s="105"/>
      <c r="DO1111" s="105"/>
      <c r="DP1111" s="105"/>
      <c r="DQ1111" s="105"/>
      <c r="DR1111" s="105"/>
      <c r="DS1111" s="105"/>
      <c r="DT1111" s="105"/>
      <c r="DU1111" s="105"/>
      <c r="DV1111" s="105"/>
      <c r="DW1111" s="105"/>
      <c r="DX1111" s="105"/>
      <c r="DY1111" s="105"/>
      <c r="DZ1111" s="105"/>
      <c r="EA1111" s="105"/>
      <c r="EB1111" s="105"/>
      <c r="EC1111" s="105"/>
      <c r="ED1111" s="105"/>
      <c r="EE1111" s="105"/>
      <c r="EF1111" s="105"/>
      <c r="EG1111" s="105"/>
      <c r="EH1111" s="105"/>
      <c r="EI1111" s="105"/>
      <c r="EJ1111" s="105"/>
      <c r="EK1111" s="105"/>
      <c r="EL1111" s="105"/>
      <c r="EM1111" s="105"/>
      <c r="EN1111" s="105"/>
      <c r="EO1111" s="105"/>
      <c r="EP1111" s="105"/>
      <c r="EQ1111" s="105"/>
      <c r="ER1111" s="105"/>
      <c r="ES1111" s="105"/>
      <c r="ET1111" s="105"/>
      <c r="EU1111" s="105"/>
      <c r="EV1111" s="105"/>
      <c r="EW1111" s="105"/>
      <c r="EX1111" s="105"/>
      <c r="EY1111" s="105"/>
      <c r="EZ1111" s="105"/>
      <c r="FA1111" s="105"/>
      <c r="FB1111" s="105"/>
      <c r="FC1111" s="105"/>
      <c r="FD1111" s="105"/>
      <c r="FE1111" s="105"/>
      <c r="FF1111" s="105"/>
      <c r="FG1111" s="105"/>
      <c r="FH1111" s="105"/>
      <c r="FI1111" s="105"/>
      <c r="FJ1111" s="105"/>
      <c r="FK1111" s="105"/>
      <c r="FL1111" s="105"/>
      <c r="FM1111" s="105"/>
      <c r="FN1111" s="105"/>
      <c r="FO1111" s="105"/>
      <c r="FP1111" s="105"/>
    </row>
    <row r="1112" spans="19:172" ht="6.95" customHeight="1" x14ac:dyDescent="0.15">
      <c r="S1112" s="89"/>
      <c r="T1112" s="89"/>
      <c r="U1112" s="89"/>
      <c r="V1112" s="89"/>
      <c r="W1112" s="89"/>
      <c r="X1112" s="89"/>
      <c r="Y1112" s="89"/>
      <c r="Z1112" s="89"/>
      <c r="AA1112" s="89"/>
      <c r="AB1112" s="89"/>
      <c r="AC1112" s="89"/>
      <c r="AD1112" s="89"/>
      <c r="AE1112" s="89"/>
      <c r="AF1112" s="89"/>
      <c r="AG1112" s="89"/>
      <c r="AH1112" s="89"/>
      <c r="AI1112" s="89"/>
      <c r="AJ1112" s="89"/>
      <c r="AK1112" s="89"/>
      <c r="AL1112" s="89"/>
      <c r="AM1112" s="89"/>
      <c r="AN1112" s="89"/>
      <c r="AO1112" s="89"/>
      <c r="AP1112" s="89"/>
      <c r="AQ1112" s="89"/>
      <c r="AR1112" s="89"/>
      <c r="AS1112" s="89"/>
      <c r="AT1112" s="89"/>
      <c r="AU1112" s="89"/>
      <c r="AV1112" s="89"/>
      <c r="AW1112" s="89"/>
      <c r="AX1112" s="93"/>
      <c r="AY1112" s="93"/>
      <c r="AZ1112" s="93"/>
      <c r="BA1112" s="93"/>
      <c r="BB1112" s="93"/>
      <c r="BC1112" s="93"/>
      <c r="BD1112" s="93"/>
      <c r="BE1112" s="93"/>
      <c r="BF1112" s="93"/>
      <c r="BG1112" s="93"/>
      <c r="BH1112" s="93"/>
      <c r="BI1112" s="93"/>
      <c r="BJ1112" s="93"/>
      <c r="BK1112" s="93"/>
      <c r="BL1112" s="93"/>
      <c r="BM1112" s="93"/>
      <c r="BN1112" s="93"/>
      <c r="BO1112" s="93"/>
      <c r="BP1112" s="93"/>
      <c r="BQ1112" s="93"/>
      <c r="BR1112" s="93"/>
      <c r="BS1112" s="93"/>
      <c r="BT1112" s="93"/>
      <c r="BU1112" s="93"/>
      <c r="BV1112" s="93"/>
      <c r="BW1112" s="93"/>
      <c r="BX1112" s="93"/>
      <c r="BY1112" s="93"/>
      <c r="BZ1112" s="93"/>
      <c r="CA1112" s="93"/>
      <c r="CB1112" s="93"/>
      <c r="CC1112" s="93"/>
      <c r="CD1112" s="93"/>
      <c r="CE1112" s="93"/>
      <c r="CF1112" s="93"/>
      <c r="CG1112" s="93"/>
      <c r="CH1112" s="93"/>
      <c r="CI1112" s="93"/>
      <c r="CJ1112" s="93"/>
      <c r="CK1112" s="93"/>
      <c r="CL1112" s="93"/>
      <c r="CM1112" s="93"/>
      <c r="CN1112" s="93"/>
      <c r="CO1112" s="93"/>
      <c r="CP1112" s="93"/>
      <c r="CQ1112" s="93"/>
      <c r="CR1112" s="93"/>
      <c r="CS1112" s="93"/>
      <c r="CT1112" s="93"/>
      <c r="CU1112" s="93"/>
      <c r="CV1112" s="93"/>
      <c r="CW1112" s="93"/>
      <c r="CX1112" s="93"/>
      <c r="CY1112" s="93"/>
      <c r="CZ1112" s="93"/>
      <c r="DA1112" s="93"/>
      <c r="DB1112" s="93"/>
      <c r="DC1112" s="105"/>
      <c r="DD1112" s="105"/>
      <c r="DE1112" s="105"/>
      <c r="DF1112" s="105"/>
      <c r="DG1112" s="105"/>
      <c r="DH1112" s="105"/>
      <c r="DI1112" s="105"/>
      <c r="DJ1112" s="105"/>
      <c r="DK1112" s="105"/>
      <c r="DL1112" s="105"/>
      <c r="DM1112" s="105"/>
      <c r="DN1112" s="105"/>
      <c r="DO1112" s="105"/>
      <c r="DP1112" s="105"/>
      <c r="DQ1112" s="105"/>
      <c r="DR1112" s="105"/>
      <c r="DS1112" s="105"/>
      <c r="DT1112" s="105"/>
      <c r="DU1112" s="105"/>
      <c r="DV1112" s="105"/>
      <c r="DW1112" s="105"/>
      <c r="DX1112" s="105"/>
      <c r="DY1112" s="105"/>
      <c r="DZ1112" s="105"/>
      <c r="EA1112" s="105"/>
      <c r="EB1112" s="105"/>
      <c r="EC1112" s="105"/>
      <c r="ED1112" s="105"/>
      <c r="EE1112" s="105"/>
      <c r="EF1112" s="105"/>
      <c r="EG1112" s="105"/>
      <c r="EH1112" s="105"/>
      <c r="EI1112" s="105"/>
      <c r="EJ1112" s="105"/>
      <c r="EK1112" s="105"/>
      <c r="EL1112" s="105"/>
      <c r="EM1112" s="105"/>
      <c r="EN1112" s="105"/>
      <c r="EO1112" s="105"/>
      <c r="EP1112" s="105"/>
      <c r="EQ1112" s="105"/>
      <c r="ER1112" s="105"/>
      <c r="ES1112" s="105"/>
      <c r="ET1112" s="105"/>
      <c r="EU1112" s="105"/>
      <c r="EV1112" s="105"/>
      <c r="EW1112" s="105"/>
      <c r="EX1112" s="105"/>
      <c r="EY1112" s="105"/>
      <c r="EZ1112" s="105"/>
      <c r="FA1112" s="105"/>
      <c r="FB1112" s="105"/>
      <c r="FC1112" s="105"/>
      <c r="FD1112" s="105"/>
      <c r="FE1112" s="105"/>
      <c r="FF1112" s="105"/>
      <c r="FG1112" s="105"/>
      <c r="FH1112" s="105"/>
      <c r="FI1112" s="105"/>
      <c r="FJ1112" s="105"/>
      <c r="FK1112" s="105"/>
      <c r="FL1112" s="105"/>
      <c r="FM1112" s="105"/>
      <c r="FN1112" s="105"/>
      <c r="FO1112" s="105"/>
      <c r="FP1112" s="105"/>
    </row>
    <row r="1113" spans="19:172" ht="6.95" customHeight="1" x14ac:dyDescent="0.15">
      <c r="S1113" s="89"/>
      <c r="T1113" s="89"/>
      <c r="U1113" s="89"/>
      <c r="V1113" s="89"/>
      <c r="W1113" s="89"/>
      <c r="X1113" s="89"/>
      <c r="Y1113" s="89"/>
      <c r="Z1113" s="89"/>
      <c r="AA1113" s="89"/>
      <c r="AB1113" s="89"/>
      <c r="AC1113" s="89"/>
      <c r="AD1113" s="89"/>
      <c r="AE1113" s="89"/>
      <c r="AF1113" s="89"/>
      <c r="AG1113" s="89"/>
      <c r="AH1113" s="89"/>
      <c r="AI1113" s="89"/>
      <c r="AJ1113" s="89"/>
      <c r="AK1113" s="89"/>
      <c r="AL1113" s="89"/>
      <c r="AM1113" s="89"/>
      <c r="AN1113" s="89"/>
      <c r="AO1113" s="89"/>
      <c r="AP1113" s="89"/>
      <c r="AQ1113" s="89"/>
      <c r="AR1113" s="89"/>
      <c r="AS1113" s="89"/>
      <c r="AT1113" s="89"/>
      <c r="AU1113" s="89"/>
      <c r="AV1113" s="89"/>
      <c r="AW1113" s="89"/>
      <c r="AX1113" s="93"/>
      <c r="AY1113" s="93"/>
      <c r="AZ1113" s="93"/>
      <c r="BA1113" s="93"/>
      <c r="BB1113" s="93"/>
      <c r="BC1113" s="93"/>
      <c r="BD1113" s="93"/>
      <c r="BE1113" s="93"/>
      <c r="BF1113" s="93"/>
      <c r="BG1113" s="93"/>
      <c r="BH1113" s="93"/>
      <c r="BI1113" s="93"/>
      <c r="BJ1113" s="93"/>
      <c r="BK1113" s="93"/>
      <c r="BL1113" s="93"/>
      <c r="BM1113" s="93"/>
      <c r="BN1113" s="93"/>
      <c r="BO1113" s="93"/>
      <c r="BP1113" s="93"/>
      <c r="BQ1113" s="93"/>
      <c r="BR1113" s="93"/>
      <c r="BS1113" s="93"/>
      <c r="BT1113" s="93"/>
      <c r="BU1113" s="93"/>
      <c r="BV1113" s="93"/>
      <c r="BW1113" s="93"/>
      <c r="BX1113" s="93"/>
      <c r="BY1113" s="93"/>
      <c r="BZ1113" s="93"/>
      <c r="CA1113" s="93"/>
      <c r="CB1113" s="93"/>
      <c r="CC1113" s="93"/>
      <c r="CD1113" s="93"/>
      <c r="CE1113" s="93"/>
      <c r="CF1113" s="93"/>
      <c r="CG1113" s="93"/>
      <c r="CH1113" s="93"/>
      <c r="CI1113" s="93"/>
      <c r="CJ1113" s="93"/>
      <c r="CK1113" s="93"/>
      <c r="CL1113" s="93"/>
      <c r="CM1113" s="93"/>
      <c r="CN1113" s="93"/>
      <c r="CO1113" s="93"/>
      <c r="CP1113" s="93"/>
      <c r="CQ1113" s="93"/>
      <c r="CR1113" s="93"/>
      <c r="CS1113" s="93"/>
      <c r="CT1113" s="93"/>
      <c r="CU1113" s="93"/>
      <c r="CV1113" s="93"/>
      <c r="CW1113" s="93"/>
      <c r="CX1113" s="93"/>
      <c r="CY1113" s="93"/>
      <c r="CZ1113" s="93"/>
      <c r="DA1113" s="93"/>
      <c r="DB1113" s="93"/>
      <c r="DC1113" s="105"/>
      <c r="DD1113" s="105"/>
      <c r="DE1113" s="105"/>
      <c r="DF1113" s="105"/>
      <c r="DG1113" s="105"/>
      <c r="DH1113" s="105"/>
      <c r="DI1113" s="105"/>
      <c r="DJ1113" s="105"/>
      <c r="DK1113" s="105"/>
      <c r="DL1113" s="105"/>
      <c r="DM1113" s="105"/>
      <c r="DN1113" s="105"/>
      <c r="DO1113" s="105"/>
      <c r="DP1113" s="105"/>
      <c r="DQ1113" s="105"/>
      <c r="DR1113" s="105"/>
      <c r="DS1113" s="105"/>
      <c r="DT1113" s="105"/>
      <c r="DU1113" s="105"/>
      <c r="DV1113" s="105"/>
      <c r="DW1113" s="105"/>
      <c r="DX1113" s="105"/>
      <c r="DY1113" s="105"/>
      <c r="DZ1113" s="105"/>
      <c r="EA1113" s="105"/>
      <c r="EB1113" s="105"/>
      <c r="EC1113" s="105"/>
      <c r="ED1113" s="105"/>
      <c r="EE1113" s="105"/>
      <c r="EF1113" s="105"/>
      <c r="EG1113" s="105"/>
      <c r="EH1113" s="105"/>
      <c r="EI1113" s="105"/>
      <c r="EJ1113" s="105"/>
      <c r="EK1113" s="105"/>
      <c r="EL1113" s="105"/>
      <c r="EM1113" s="105"/>
      <c r="EN1113" s="105"/>
      <c r="EO1113" s="105"/>
      <c r="EP1113" s="105"/>
      <c r="EQ1113" s="105"/>
      <c r="ER1113" s="105"/>
      <c r="ES1113" s="105"/>
      <c r="ET1113" s="105"/>
      <c r="EU1113" s="105"/>
      <c r="EV1113" s="105"/>
      <c r="EW1113" s="105"/>
      <c r="EX1113" s="105"/>
      <c r="EY1113" s="105"/>
      <c r="EZ1113" s="105"/>
      <c r="FA1113" s="105"/>
      <c r="FB1113" s="105"/>
      <c r="FC1113" s="105"/>
      <c r="FD1113" s="105"/>
      <c r="FE1113" s="105"/>
      <c r="FF1113" s="105"/>
      <c r="FG1113" s="105"/>
      <c r="FH1113" s="105"/>
      <c r="FI1113" s="105"/>
      <c r="FJ1113" s="105"/>
      <c r="FK1113" s="105"/>
      <c r="FL1113" s="105"/>
      <c r="FM1113" s="105"/>
      <c r="FN1113" s="105"/>
      <c r="FO1113" s="105"/>
      <c r="FP1113" s="105"/>
    </row>
    <row r="1114" spans="19:172" ht="6.95" customHeight="1" x14ac:dyDescent="0.15">
      <c r="S1114" s="89"/>
      <c r="T1114" s="89"/>
      <c r="U1114" s="89"/>
      <c r="V1114" s="89"/>
      <c r="W1114" s="89"/>
      <c r="X1114" s="89"/>
      <c r="Y1114" s="89"/>
      <c r="Z1114" s="89"/>
      <c r="AA1114" s="89"/>
      <c r="AB1114" s="89"/>
      <c r="AC1114" s="89"/>
      <c r="AD1114" s="89"/>
      <c r="AE1114" s="89"/>
      <c r="AF1114" s="89"/>
      <c r="AG1114" s="89"/>
      <c r="AH1114" s="89"/>
      <c r="AI1114" s="89"/>
      <c r="AJ1114" s="89"/>
      <c r="AK1114" s="89"/>
      <c r="AL1114" s="89"/>
      <c r="AM1114" s="89"/>
      <c r="AN1114" s="89"/>
      <c r="AO1114" s="89"/>
      <c r="AP1114" s="89"/>
      <c r="AQ1114" s="89"/>
      <c r="AR1114" s="89"/>
      <c r="AS1114" s="89"/>
      <c r="AT1114" s="89"/>
      <c r="AU1114" s="89"/>
      <c r="AV1114" s="89"/>
      <c r="AW1114" s="89"/>
      <c r="AX1114" s="93"/>
      <c r="AY1114" s="93"/>
      <c r="AZ1114" s="93"/>
      <c r="BA1114" s="93"/>
      <c r="BB1114" s="93"/>
      <c r="BC1114" s="93"/>
      <c r="BD1114" s="93"/>
      <c r="BE1114" s="93"/>
      <c r="BF1114" s="93"/>
      <c r="BG1114" s="93"/>
      <c r="BH1114" s="93"/>
      <c r="BI1114" s="93"/>
      <c r="BJ1114" s="93"/>
      <c r="BK1114" s="93"/>
      <c r="BL1114" s="93"/>
      <c r="BM1114" s="93"/>
      <c r="BN1114" s="93"/>
      <c r="BO1114" s="93"/>
      <c r="BP1114" s="93"/>
      <c r="BQ1114" s="93"/>
      <c r="BR1114" s="93"/>
      <c r="BS1114" s="93"/>
      <c r="BT1114" s="93"/>
      <c r="BU1114" s="93"/>
      <c r="BV1114" s="93"/>
      <c r="BW1114" s="93"/>
      <c r="BX1114" s="93"/>
      <c r="BY1114" s="93"/>
      <c r="BZ1114" s="93"/>
      <c r="CA1114" s="93"/>
      <c r="CB1114" s="93"/>
      <c r="CC1114" s="93"/>
      <c r="CD1114" s="93"/>
      <c r="CE1114" s="93"/>
      <c r="CF1114" s="93"/>
      <c r="CG1114" s="93"/>
      <c r="CH1114" s="93"/>
      <c r="CI1114" s="93"/>
      <c r="CJ1114" s="93"/>
      <c r="CK1114" s="93"/>
      <c r="CL1114" s="93"/>
      <c r="CM1114" s="93"/>
      <c r="CN1114" s="93"/>
      <c r="CO1114" s="93"/>
      <c r="CP1114" s="93"/>
      <c r="CQ1114" s="93"/>
      <c r="CR1114" s="93"/>
      <c r="CS1114" s="93"/>
      <c r="CT1114" s="93"/>
      <c r="CU1114" s="93"/>
      <c r="CV1114" s="93"/>
      <c r="CW1114" s="93"/>
      <c r="CX1114" s="93"/>
      <c r="CY1114" s="93"/>
      <c r="CZ1114" s="93"/>
      <c r="DA1114" s="93"/>
      <c r="DB1114" s="93"/>
      <c r="DC1114" s="105"/>
      <c r="DD1114" s="105"/>
      <c r="DE1114" s="105"/>
      <c r="DF1114" s="105"/>
      <c r="DG1114" s="105"/>
      <c r="DH1114" s="105"/>
      <c r="DI1114" s="105"/>
      <c r="DJ1114" s="105"/>
      <c r="DK1114" s="105"/>
      <c r="DL1114" s="105"/>
      <c r="DM1114" s="105"/>
      <c r="DN1114" s="105"/>
      <c r="DO1114" s="105"/>
      <c r="DP1114" s="105"/>
      <c r="DQ1114" s="105"/>
      <c r="DR1114" s="105"/>
      <c r="DS1114" s="105"/>
      <c r="DT1114" s="105"/>
      <c r="DU1114" s="105"/>
      <c r="DV1114" s="105"/>
      <c r="DW1114" s="105"/>
      <c r="DX1114" s="105"/>
      <c r="DY1114" s="105"/>
      <c r="DZ1114" s="105"/>
      <c r="EA1114" s="105"/>
      <c r="EB1114" s="105"/>
      <c r="EC1114" s="105"/>
      <c r="ED1114" s="105"/>
      <c r="EE1114" s="105"/>
      <c r="EF1114" s="105"/>
      <c r="EG1114" s="105"/>
      <c r="EH1114" s="105"/>
      <c r="EI1114" s="105"/>
      <c r="EJ1114" s="105"/>
      <c r="EK1114" s="105"/>
      <c r="EL1114" s="105"/>
      <c r="EM1114" s="105"/>
      <c r="EN1114" s="105"/>
      <c r="EO1114" s="105"/>
      <c r="EP1114" s="105"/>
      <c r="EQ1114" s="105"/>
      <c r="ER1114" s="105"/>
      <c r="ES1114" s="105"/>
      <c r="ET1114" s="105"/>
      <c r="EU1114" s="105"/>
      <c r="EV1114" s="105"/>
      <c r="EW1114" s="105"/>
      <c r="EX1114" s="105"/>
      <c r="EY1114" s="105"/>
      <c r="EZ1114" s="105"/>
      <c r="FA1114" s="105"/>
      <c r="FB1114" s="105"/>
      <c r="FC1114" s="105"/>
      <c r="FD1114" s="105"/>
      <c r="FE1114" s="105"/>
      <c r="FF1114" s="105"/>
      <c r="FG1114" s="105"/>
      <c r="FH1114" s="105"/>
      <c r="FI1114" s="105"/>
      <c r="FJ1114" s="105"/>
      <c r="FK1114" s="105"/>
      <c r="FL1114" s="105"/>
      <c r="FM1114" s="105"/>
      <c r="FN1114" s="105"/>
      <c r="FO1114" s="105"/>
      <c r="FP1114" s="105"/>
    </row>
    <row r="1115" spans="19:172" ht="6.95" customHeight="1" x14ac:dyDescent="0.15">
      <c r="S1115" s="89"/>
      <c r="T1115" s="89"/>
      <c r="U1115" s="89"/>
      <c r="V1115" s="89"/>
      <c r="W1115" s="89"/>
      <c r="X1115" s="89"/>
      <c r="Y1115" s="89"/>
      <c r="Z1115" s="89"/>
      <c r="AA1115" s="89"/>
      <c r="AB1115" s="89"/>
      <c r="AC1115" s="89"/>
      <c r="AD1115" s="89"/>
      <c r="AE1115" s="89"/>
      <c r="AF1115" s="89"/>
      <c r="AG1115" s="89"/>
      <c r="AH1115" s="89"/>
      <c r="AI1115" s="89"/>
      <c r="AJ1115" s="89"/>
      <c r="AK1115" s="89"/>
      <c r="AL1115" s="89"/>
      <c r="AM1115" s="89"/>
      <c r="AN1115" s="89"/>
      <c r="AO1115" s="89"/>
      <c r="AP1115" s="89"/>
      <c r="AQ1115" s="89"/>
      <c r="AR1115" s="89"/>
      <c r="AS1115" s="89"/>
      <c r="AT1115" s="89"/>
      <c r="AU1115" s="89"/>
      <c r="AV1115" s="89"/>
      <c r="AW1115" s="89"/>
      <c r="AX1115" s="93"/>
      <c r="AY1115" s="93"/>
      <c r="AZ1115" s="93"/>
      <c r="BA1115" s="93"/>
      <c r="BB1115" s="93"/>
      <c r="BC1115" s="93"/>
      <c r="BD1115" s="93"/>
      <c r="BE1115" s="93"/>
      <c r="BF1115" s="93"/>
      <c r="BG1115" s="93"/>
      <c r="BH1115" s="93"/>
      <c r="BI1115" s="93"/>
      <c r="BJ1115" s="93"/>
      <c r="BK1115" s="93"/>
      <c r="BL1115" s="93"/>
      <c r="BM1115" s="93"/>
      <c r="BN1115" s="93"/>
      <c r="BO1115" s="93"/>
      <c r="BP1115" s="93"/>
      <c r="BQ1115" s="93"/>
      <c r="BR1115" s="93"/>
      <c r="BS1115" s="93"/>
      <c r="BT1115" s="93"/>
      <c r="BU1115" s="93"/>
      <c r="BV1115" s="93"/>
      <c r="BW1115" s="93"/>
      <c r="BX1115" s="93"/>
      <c r="BY1115" s="93"/>
      <c r="BZ1115" s="93"/>
      <c r="CA1115" s="93"/>
      <c r="CB1115" s="93"/>
      <c r="CC1115" s="93"/>
      <c r="CD1115" s="93"/>
      <c r="CE1115" s="93"/>
      <c r="CF1115" s="93"/>
      <c r="CG1115" s="93"/>
      <c r="CH1115" s="93"/>
      <c r="CI1115" s="93"/>
      <c r="CJ1115" s="93"/>
      <c r="CK1115" s="93"/>
      <c r="CL1115" s="93"/>
      <c r="CM1115" s="93"/>
      <c r="CN1115" s="93"/>
      <c r="CO1115" s="93"/>
      <c r="CP1115" s="93"/>
      <c r="CQ1115" s="93"/>
      <c r="CR1115" s="93"/>
      <c r="CS1115" s="93"/>
      <c r="CT1115" s="93"/>
      <c r="CU1115" s="93"/>
      <c r="CV1115" s="93"/>
      <c r="CW1115" s="93"/>
      <c r="CX1115" s="93"/>
      <c r="CY1115" s="93"/>
      <c r="CZ1115" s="93"/>
      <c r="DA1115" s="93"/>
      <c r="DB1115" s="93"/>
      <c r="DC1115" s="105"/>
      <c r="DD1115" s="105"/>
      <c r="DE1115" s="105"/>
      <c r="DF1115" s="105"/>
      <c r="DG1115" s="105"/>
      <c r="DH1115" s="105"/>
      <c r="DI1115" s="105"/>
      <c r="DJ1115" s="105"/>
      <c r="DK1115" s="105"/>
      <c r="DL1115" s="105"/>
      <c r="DM1115" s="105"/>
      <c r="DN1115" s="105"/>
      <c r="DO1115" s="105"/>
      <c r="DP1115" s="105"/>
      <c r="DQ1115" s="105"/>
      <c r="DR1115" s="105"/>
      <c r="DS1115" s="105"/>
      <c r="DT1115" s="105"/>
      <c r="DU1115" s="105"/>
      <c r="DV1115" s="105"/>
      <c r="DW1115" s="105"/>
      <c r="DX1115" s="105"/>
      <c r="DY1115" s="105"/>
      <c r="DZ1115" s="105"/>
      <c r="EA1115" s="105"/>
      <c r="EB1115" s="105"/>
      <c r="EC1115" s="105"/>
      <c r="ED1115" s="105"/>
      <c r="EE1115" s="105"/>
      <c r="EF1115" s="105"/>
      <c r="EG1115" s="105"/>
      <c r="EH1115" s="105"/>
      <c r="EI1115" s="105"/>
      <c r="EJ1115" s="105"/>
      <c r="EK1115" s="105"/>
      <c r="EL1115" s="105"/>
      <c r="EM1115" s="105"/>
      <c r="EN1115" s="105"/>
      <c r="EO1115" s="105"/>
      <c r="EP1115" s="105"/>
      <c r="EQ1115" s="105"/>
      <c r="ER1115" s="105"/>
      <c r="ES1115" s="105"/>
      <c r="ET1115" s="105"/>
      <c r="EU1115" s="105"/>
      <c r="EV1115" s="105"/>
      <c r="EW1115" s="105"/>
      <c r="EX1115" s="105"/>
      <c r="EY1115" s="105"/>
      <c r="EZ1115" s="105"/>
      <c r="FA1115" s="105"/>
      <c r="FB1115" s="105"/>
      <c r="FC1115" s="105"/>
      <c r="FD1115" s="105"/>
      <c r="FE1115" s="105"/>
      <c r="FF1115" s="105"/>
      <c r="FG1115" s="105"/>
      <c r="FH1115" s="105"/>
      <c r="FI1115" s="105"/>
      <c r="FJ1115" s="105"/>
      <c r="FK1115" s="105"/>
      <c r="FL1115" s="105"/>
      <c r="FM1115" s="105"/>
      <c r="FN1115" s="105"/>
      <c r="FO1115" s="105"/>
      <c r="FP1115" s="105"/>
    </row>
    <row r="1116" spans="19:172" ht="6.95" customHeight="1" x14ac:dyDescent="0.15">
      <c r="S1116" s="89"/>
      <c r="T1116" s="89"/>
      <c r="U1116" s="89"/>
      <c r="V1116" s="89"/>
      <c r="W1116" s="89"/>
      <c r="X1116" s="89"/>
      <c r="Y1116" s="89"/>
      <c r="Z1116" s="89"/>
      <c r="AA1116" s="89"/>
      <c r="AB1116" s="89"/>
      <c r="AC1116" s="89"/>
      <c r="AD1116" s="89"/>
      <c r="AE1116" s="89"/>
      <c r="AF1116" s="89"/>
      <c r="AG1116" s="89"/>
      <c r="AH1116" s="89"/>
      <c r="AI1116" s="89"/>
      <c r="AJ1116" s="89"/>
      <c r="AK1116" s="89"/>
      <c r="AL1116" s="89"/>
      <c r="AM1116" s="89"/>
      <c r="AN1116" s="89"/>
      <c r="AO1116" s="89"/>
      <c r="AP1116" s="89"/>
      <c r="AQ1116" s="89"/>
      <c r="AR1116" s="89"/>
      <c r="AS1116" s="89"/>
      <c r="AT1116" s="89"/>
      <c r="AU1116" s="89"/>
      <c r="AV1116" s="89"/>
      <c r="AW1116" s="89"/>
      <c r="AX1116" s="93"/>
      <c r="AY1116" s="93"/>
      <c r="AZ1116" s="93"/>
      <c r="BA1116" s="93"/>
      <c r="BB1116" s="93"/>
      <c r="BC1116" s="93"/>
      <c r="BD1116" s="93"/>
      <c r="BE1116" s="93"/>
      <c r="BF1116" s="93"/>
      <c r="BG1116" s="93"/>
      <c r="BH1116" s="93"/>
      <c r="BI1116" s="93"/>
      <c r="BJ1116" s="93"/>
      <c r="BK1116" s="93"/>
      <c r="BL1116" s="93"/>
      <c r="BM1116" s="93"/>
      <c r="BN1116" s="93"/>
      <c r="BO1116" s="93"/>
      <c r="BP1116" s="93"/>
      <c r="BQ1116" s="93"/>
      <c r="BR1116" s="93"/>
      <c r="BS1116" s="93"/>
      <c r="BT1116" s="93"/>
      <c r="BU1116" s="93"/>
      <c r="BV1116" s="93"/>
      <c r="BW1116" s="93"/>
      <c r="BX1116" s="93"/>
      <c r="BY1116" s="93"/>
      <c r="BZ1116" s="93"/>
      <c r="CA1116" s="93"/>
      <c r="CB1116" s="93"/>
      <c r="CC1116" s="93"/>
      <c r="CD1116" s="93"/>
      <c r="CE1116" s="93"/>
      <c r="CF1116" s="93"/>
      <c r="CG1116" s="93"/>
      <c r="CH1116" s="93"/>
      <c r="CI1116" s="93"/>
      <c r="CJ1116" s="93"/>
      <c r="CK1116" s="93"/>
      <c r="CL1116" s="93"/>
      <c r="CM1116" s="93"/>
      <c r="CN1116" s="93"/>
      <c r="CO1116" s="93"/>
      <c r="CP1116" s="93"/>
      <c r="CQ1116" s="93"/>
      <c r="CR1116" s="93"/>
      <c r="CS1116" s="93"/>
      <c r="CT1116" s="93"/>
      <c r="CU1116" s="93"/>
      <c r="CV1116" s="93"/>
      <c r="CW1116" s="93"/>
      <c r="CX1116" s="93"/>
      <c r="CY1116" s="93"/>
      <c r="CZ1116" s="93"/>
      <c r="DA1116" s="93"/>
      <c r="DB1116" s="93"/>
      <c r="DC1116" s="105"/>
      <c r="DD1116" s="105"/>
      <c r="DE1116" s="105"/>
      <c r="DF1116" s="105"/>
      <c r="DG1116" s="105"/>
      <c r="DH1116" s="105"/>
      <c r="DI1116" s="105"/>
      <c r="DJ1116" s="105"/>
      <c r="DK1116" s="105"/>
      <c r="DL1116" s="105"/>
      <c r="DM1116" s="105"/>
      <c r="DN1116" s="105"/>
      <c r="DO1116" s="105"/>
      <c r="DP1116" s="105"/>
      <c r="DQ1116" s="105"/>
      <c r="DR1116" s="105"/>
      <c r="DS1116" s="105"/>
      <c r="DT1116" s="105"/>
      <c r="DU1116" s="105"/>
      <c r="DV1116" s="105"/>
      <c r="DW1116" s="105"/>
      <c r="DX1116" s="105"/>
      <c r="DY1116" s="105"/>
      <c r="DZ1116" s="105"/>
      <c r="EA1116" s="105"/>
      <c r="EB1116" s="105"/>
      <c r="EC1116" s="105"/>
      <c r="ED1116" s="105"/>
      <c r="EE1116" s="105"/>
      <c r="EF1116" s="105"/>
      <c r="EG1116" s="105"/>
      <c r="EH1116" s="105"/>
      <c r="EI1116" s="105"/>
      <c r="EJ1116" s="105"/>
      <c r="EK1116" s="105"/>
      <c r="EL1116" s="105"/>
      <c r="EM1116" s="105"/>
      <c r="EN1116" s="105"/>
      <c r="EO1116" s="105"/>
      <c r="EP1116" s="105"/>
      <c r="EQ1116" s="105"/>
      <c r="ER1116" s="105"/>
      <c r="ES1116" s="105"/>
      <c r="ET1116" s="105"/>
      <c r="EU1116" s="105"/>
      <c r="EV1116" s="105"/>
      <c r="EW1116" s="105"/>
      <c r="EX1116" s="105"/>
      <c r="EY1116" s="105"/>
      <c r="EZ1116" s="105"/>
      <c r="FA1116" s="105"/>
      <c r="FB1116" s="105"/>
      <c r="FC1116" s="105"/>
      <c r="FD1116" s="105"/>
      <c r="FE1116" s="105"/>
      <c r="FF1116" s="105"/>
      <c r="FG1116" s="105"/>
      <c r="FH1116" s="105"/>
      <c r="FI1116" s="105"/>
      <c r="FJ1116" s="105"/>
      <c r="FK1116" s="105"/>
      <c r="FL1116" s="105"/>
      <c r="FM1116" s="105"/>
      <c r="FN1116" s="105"/>
      <c r="FO1116" s="105"/>
      <c r="FP1116" s="105"/>
    </row>
    <row r="1117" spans="19:172" ht="6.95" customHeight="1" x14ac:dyDescent="0.15">
      <c r="S1117" s="89"/>
      <c r="T1117" s="89"/>
      <c r="U1117" s="89"/>
      <c r="V1117" s="89"/>
      <c r="W1117" s="89"/>
      <c r="X1117" s="89"/>
      <c r="Y1117" s="89"/>
      <c r="Z1117" s="89"/>
      <c r="AA1117" s="89"/>
      <c r="AB1117" s="89"/>
      <c r="AC1117" s="89"/>
      <c r="AD1117" s="89"/>
      <c r="AE1117" s="89"/>
      <c r="AF1117" s="89"/>
      <c r="AG1117" s="89"/>
      <c r="AH1117" s="89"/>
      <c r="AI1117" s="89"/>
      <c r="AJ1117" s="89"/>
      <c r="AK1117" s="89"/>
      <c r="AL1117" s="89"/>
      <c r="AM1117" s="89"/>
      <c r="AN1117" s="89"/>
      <c r="AO1117" s="89"/>
      <c r="AP1117" s="89"/>
      <c r="AQ1117" s="89"/>
      <c r="AR1117" s="89"/>
      <c r="AS1117" s="89"/>
      <c r="AT1117" s="89"/>
      <c r="AU1117" s="89"/>
      <c r="AV1117" s="89"/>
      <c r="AW1117" s="89"/>
      <c r="AX1117" s="93"/>
      <c r="AY1117" s="93"/>
      <c r="AZ1117" s="93"/>
      <c r="BA1117" s="93"/>
      <c r="BB1117" s="93"/>
      <c r="BC1117" s="93"/>
      <c r="BD1117" s="93"/>
      <c r="BE1117" s="93"/>
      <c r="BF1117" s="93"/>
      <c r="BG1117" s="93"/>
      <c r="BH1117" s="93"/>
      <c r="BI1117" s="93"/>
      <c r="BJ1117" s="93"/>
      <c r="BK1117" s="93"/>
      <c r="BL1117" s="93"/>
      <c r="BM1117" s="93"/>
      <c r="BN1117" s="93"/>
      <c r="BO1117" s="93"/>
      <c r="BP1117" s="93"/>
      <c r="BQ1117" s="93"/>
      <c r="BR1117" s="93"/>
      <c r="BS1117" s="93"/>
      <c r="BT1117" s="93"/>
      <c r="BU1117" s="93"/>
      <c r="BV1117" s="93"/>
      <c r="BW1117" s="93"/>
      <c r="BX1117" s="93"/>
      <c r="BY1117" s="93"/>
      <c r="BZ1117" s="93"/>
      <c r="CA1117" s="93"/>
      <c r="CB1117" s="93"/>
      <c r="CC1117" s="93"/>
      <c r="CD1117" s="93"/>
      <c r="CE1117" s="93"/>
      <c r="CF1117" s="93"/>
      <c r="CG1117" s="93"/>
      <c r="CH1117" s="93"/>
      <c r="CI1117" s="93"/>
      <c r="CJ1117" s="93"/>
      <c r="CK1117" s="93"/>
      <c r="CL1117" s="93"/>
      <c r="CM1117" s="93"/>
      <c r="CN1117" s="93"/>
      <c r="CO1117" s="93"/>
      <c r="CP1117" s="93"/>
      <c r="CQ1117" s="93"/>
      <c r="CR1117" s="93"/>
      <c r="CS1117" s="93"/>
      <c r="CT1117" s="93"/>
      <c r="CU1117" s="93"/>
      <c r="CV1117" s="93"/>
      <c r="CW1117" s="93"/>
      <c r="CX1117" s="93"/>
      <c r="CY1117" s="93"/>
      <c r="CZ1117" s="93"/>
      <c r="DA1117" s="93"/>
      <c r="DB1117" s="93"/>
      <c r="DC1117" s="105"/>
      <c r="DD1117" s="105"/>
      <c r="DE1117" s="105"/>
      <c r="DF1117" s="105"/>
      <c r="DG1117" s="105"/>
      <c r="DH1117" s="105"/>
      <c r="DI1117" s="105"/>
      <c r="DJ1117" s="105"/>
      <c r="DK1117" s="105"/>
      <c r="DL1117" s="105"/>
      <c r="DM1117" s="105"/>
      <c r="DN1117" s="105"/>
      <c r="DO1117" s="105"/>
      <c r="DP1117" s="105"/>
      <c r="DQ1117" s="105"/>
      <c r="DR1117" s="105"/>
      <c r="DS1117" s="105"/>
      <c r="DT1117" s="105"/>
      <c r="DU1117" s="105"/>
      <c r="DV1117" s="105"/>
      <c r="DW1117" s="105"/>
      <c r="DX1117" s="105"/>
      <c r="DY1117" s="105"/>
      <c r="DZ1117" s="105"/>
      <c r="EA1117" s="105"/>
      <c r="EB1117" s="105"/>
      <c r="EC1117" s="105"/>
      <c r="ED1117" s="105"/>
      <c r="EE1117" s="105"/>
      <c r="EF1117" s="105"/>
      <c r="EG1117" s="105"/>
      <c r="EH1117" s="105"/>
      <c r="EI1117" s="105"/>
      <c r="EJ1117" s="105"/>
      <c r="EK1117" s="105"/>
      <c r="EL1117" s="105"/>
      <c r="EM1117" s="105"/>
      <c r="EN1117" s="105"/>
      <c r="EO1117" s="105"/>
      <c r="EP1117" s="105"/>
      <c r="EQ1117" s="105"/>
      <c r="ER1117" s="105"/>
      <c r="ES1117" s="105"/>
      <c r="ET1117" s="105"/>
      <c r="EU1117" s="105"/>
      <c r="EV1117" s="105"/>
      <c r="EW1117" s="105"/>
      <c r="EX1117" s="105"/>
      <c r="EY1117" s="105"/>
      <c r="EZ1117" s="105"/>
      <c r="FA1117" s="105"/>
      <c r="FB1117" s="105"/>
      <c r="FC1117" s="105"/>
      <c r="FD1117" s="105"/>
      <c r="FE1117" s="105"/>
      <c r="FF1117" s="105"/>
      <c r="FG1117" s="105"/>
      <c r="FH1117" s="105"/>
      <c r="FI1117" s="105"/>
      <c r="FJ1117" s="105"/>
      <c r="FK1117" s="105"/>
      <c r="FL1117" s="105"/>
      <c r="FM1117" s="105"/>
      <c r="FN1117" s="105"/>
      <c r="FO1117" s="105"/>
      <c r="FP1117" s="105"/>
    </row>
    <row r="1118" spans="19:172" ht="6.95" customHeight="1" x14ac:dyDescent="0.15">
      <c r="S1118" s="89"/>
      <c r="T1118" s="89"/>
      <c r="U1118" s="89"/>
      <c r="V1118" s="89"/>
      <c r="W1118" s="89"/>
      <c r="X1118" s="89"/>
      <c r="Y1118" s="89"/>
      <c r="Z1118" s="89"/>
      <c r="AA1118" s="89"/>
      <c r="AB1118" s="89"/>
      <c r="AC1118" s="89"/>
      <c r="AD1118" s="89"/>
      <c r="AE1118" s="89"/>
      <c r="AF1118" s="89"/>
      <c r="AG1118" s="89"/>
      <c r="AH1118" s="89"/>
      <c r="AI1118" s="89"/>
      <c r="AJ1118" s="89"/>
      <c r="AK1118" s="89"/>
      <c r="AL1118" s="89"/>
      <c r="AM1118" s="89"/>
      <c r="AN1118" s="89"/>
      <c r="AO1118" s="89"/>
      <c r="AP1118" s="89"/>
      <c r="AQ1118" s="89"/>
      <c r="AR1118" s="89"/>
      <c r="AS1118" s="89"/>
      <c r="AT1118" s="89"/>
      <c r="AU1118" s="89"/>
      <c r="AV1118" s="89"/>
      <c r="AW1118" s="89"/>
      <c r="AX1118" s="93"/>
      <c r="AY1118" s="93"/>
      <c r="AZ1118" s="93"/>
      <c r="BA1118" s="93"/>
      <c r="BB1118" s="93"/>
      <c r="BC1118" s="93"/>
      <c r="BD1118" s="93"/>
      <c r="BE1118" s="93"/>
      <c r="BF1118" s="93"/>
      <c r="BG1118" s="93"/>
      <c r="BH1118" s="93"/>
      <c r="BI1118" s="93"/>
      <c r="BJ1118" s="93"/>
      <c r="BK1118" s="93"/>
      <c r="BL1118" s="93"/>
      <c r="BM1118" s="93"/>
      <c r="BN1118" s="93"/>
      <c r="BO1118" s="93"/>
      <c r="BP1118" s="93"/>
      <c r="BQ1118" s="93"/>
      <c r="BR1118" s="93"/>
      <c r="BS1118" s="93"/>
      <c r="BT1118" s="93"/>
      <c r="BU1118" s="93"/>
      <c r="BV1118" s="93"/>
      <c r="BW1118" s="93"/>
      <c r="BX1118" s="93"/>
      <c r="BY1118" s="93"/>
      <c r="BZ1118" s="93"/>
      <c r="CA1118" s="93"/>
      <c r="CB1118" s="93"/>
      <c r="CC1118" s="93"/>
      <c r="CD1118" s="93"/>
      <c r="CE1118" s="93"/>
      <c r="CF1118" s="93"/>
      <c r="CG1118" s="93"/>
      <c r="CH1118" s="93"/>
      <c r="CI1118" s="93"/>
      <c r="CJ1118" s="93"/>
      <c r="CK1118" s="93"/>
      <c r="CL1118" s="93"/>
      <c r="CM1118" s="93"/>
      <c r="CN1118" s="93"/>
      <c r="CO1118" s="93"/>
      <c r="CP1118" s="93"/>
      <c r="CQ1118" s="93"/>
      <c r="CR1118" s="93"/>
      <c r="CS1118" s="93"/>
      <c r="CT1118" s="93"/>
      <c r="CU1118" s="93"/>
      <c r="CV1118" s="93"/>
      <c r="CW1118" s="93"/>
      <c r="CX1118" s="93"/>
      <c r="CY1118" s="93"/>
      <c r="CZ1118" s="93"/>
      <c r="DA1118" s="93"/>
      <c r="DB1118" s="93"/>
      <c r="DC1118" s="105"/>
      <c r="DD1118" s="105"/>
      <c r="DE1118" s="105"/>
      <c r="DF1118" s="105"/>
      <c r="DG1118" s="105"/>
      <c r="DH1118" s="105"/>
      <c r="DI1118" s="105"/>
      <c r="DJ1118" s="105"/>
      <c r="DK1118" s="105"/>
      <c r="DL1118" s="105"/>
      <c r="DM1118" s="105"/>
      <c r="DN1118" s="105"/>
      <c r="DO1118" s="105"/>
      <c r="DP1118" s="105"/>
      <c r="DQ1118" s="105"/>
      <c r="DR1118" s="105"/>
      <c r="DS1118" s="105"/>
      <c r="DT1118" s="105"/>
      <c r="DU1118" s="105"/>
      <c r="DV1118" s="105"/>
      <c r="DW1118" s="105"/>
      <c r="DX1118" s="105"/>
      <c r="DY1118" s="105"/>
      <c r="DZ1118" s="105"/>
      <c r="EA1118" s="105"/>
      <c r="EB1118" s="105"/>
      <c r="EC1118" s="105"/>
      <c r="ED1118" s="105"/>
      <c r="EE1118" s="105"/>
      <c r="EF1118" s="105"/>
      <c r="EG1118" s="105"/>
      <c r="EH1118" s="105"/>
      <c r="EI1118" s="105"/>
      <c r="EJ1118" s="105"/>
      <c r="EK1118" s="105"/>
      <c r="EL1118" s="105"/>
      <c r="EM1118" s="105"/>
      <c r="EN1118" s="105"/>
      <c r="EO1118" s="105"/>
      <c r="EP1118" s="105"/>
      <c r="EQ1118" s="105"/>
      <c r="ER1118" s="105"/>
      <c r="ES1118" s="105"/>
      <c r="ET1118" s="105"/>
      <c r="EU1118" s="105"/>
      <c r="EV1118" s="105"/>
      <c r="EW1118" s="105"/>
      <c r="EX1118" s="105"/>
      <c r="EY1118" s="105"/>
      <c r="EZ1118" s="105"/>
      <c r="FA1118" s="105"/>
      <c r="FB1118" s="105"/>
      <c r="FC1118" s="105"/>
      <c r="FD1118" s="105"/>
      <c r="FE1118" s="105"/>
      <c r="FF1118" s="105"/>
      <c r="FG1118" s="105"/>
      <c r="FH1118" s="105"/>
      <c r="FI1118" s="105"/>
      <c r="FJ1118" s="105"/>
      <c r="FK1118" s="105"/>
      <c r="FL1118" s="105"/>
      <c r="FM1118" s="105"/>
      <c r="FN1118" s="105"/>
      <c r="FO1118" s="105"/>
      <c r="FP1118" s="105"/>
    </row>
    <row r="1119" spans="19:172" ht="6.95" customHeight="1" x14ac:dyDescent="0.15">
      <c r="S1119" s="89"/>
      <c r="T1119" s="89"/>
      <c r="U1119" s="89"/>
      <c r="V1119" s="89"/>
      <c r="W1119" s="89"/>
      <c r="X1119" s="89"/>
      <c r="Y1119" s="89"/>
      <c r="Z1119" s="89"/>
      <c r="AA1119" s="89"/>
      <c r="AB1119" s="89"/>
      <c r="AC1119" s="89"/>
      <c r="AD1119" s="89"/>
      <c r="AE1119" s="89"/>
      <c r="AF1119" s="89"/>
      <c r="AG1119" s="89"/>
      <c r="AH1119" s="89"/>
      <c r="AI1119" s="89"/>
      <c r="AJ1119" s="89"/>
      <c r="AK1119" s="89"/>
      <c r="AL1119" s="89"/>
      <c r="AM1119" s="89"/>
      <c r="AN1119" s="89"/>
      <c r="AO1119" s="89"/>
      <c r="AP1119" s="89"/>
      <c r="AQ1119" s="89"/>
      <c r="AR1119" s="89"/>
      <c r="AS1119" s="89"/>
      <c r="AT1119" s="89"/>
      <c r="AU1119" s="89"/>
      <c r="AV1119" s="89"/>
      <c r="AW1119" s="89"/>
      <c r="AX1119" s="93"/>
      <c r="AY1119" s="93"/>
      <c r="AZ1119" s="93"/>
      <c r="BA1119" s="93"/>
      <c r="BB1119" s="93"/>
      <c r="BC1119" s="93"/>
      <c r="BD1119" s="93"/>
      <c r="BE1119" s="93"/>
      <c r="BF1119" s="93"/>
      <c r="BG1119" s="93"/>
      <c r="BH1119" s="93"/>
      <c r="BI1119" s="93"/>
      <c r="BJ1119" s="93"/>
      <c r="BK1119" s="93"/>
      <c r="BL1119" s="93"/>
      <c r="BM1119" s="93"/>
      <c r="BN1119" s="93"/>
      <c r="BO1119" s="93"/>
      <c r="BP1119" s="93"/>
      <c r="BQ1119" s="93"/>
      <c r="BR1119" s="93"/>
      <c r="BS1119" s="93"/>
      <c r="BT1119" s="93"/>
      <c r="BU1119" s="93"/>
      <c r="BV1119" s="93"/>
      <c r="BW1119" s="93"/>
      <c r="BX1119" s="93"/>
      <c r="BY1119" s="93"/>
      <c r="BZ1119" s="93"/>
      <c r="CA1119" s="93"/>
      <c r="CB1119" s="93"/>
      <c r="CC1119" s="93"/>
      <c r="CD1119" s="93"/>
      <c r="CE1119" s="93"/>
      <c r="CF1119" s="93"/>
      <c r="CG1119" s="93"/>
      <c r="CH1119" s="93"/>
      <c r="CI1119" s="93"/>
      <c r="CJ1119" s="93"/>
      <c r="CK1119" s="93"/>
      <c r="CL1119" s="93"/>
      <c r="CM1119" s="93"/>
      <c r="CN1119" s="93"/>
      <c r="CO1119" s="93"/>
      <c r="CP1119" s="93"/>
      <c r="CQ1119" s="93"/>
      <c r="CR1119" s="93"/>
      <c r="CS1119" s="93"/>
      <c r="CT1119" s="93"/>
      <c r="CU1119" s="93"/>
      <c r="CV1119" s="93"/>
      <c r="CW1119" s="93"/>
      <c r="CX1119" s="93"/>
      <c r="CY1119" s="93"/>
      <c r="CZ1119" s="93"/>
      <c r="DA1119" s="93"/>
      <c r="DB1119" s="93"/>
      <c r="DC1119" s="105"/>
      <c r="DD1119" s="105"/>
      <c r="DE1119" s="105"/>
      <c r="DF1119" s="105"/>
      <c r="DG1119" s="105"/>
      <c r="DH1119" s="105"/>
      <c r="DI1119" s="105"/>
      <c r="DJ1119" s="105"/>
      <c r="DK1119" s="105"/>
      <c r="DL1119" s="105"/>
      <c r="DM1119" s="105"/>
      <c r="DN1119" s="105"/>
      <c r="DO1119" s="105"/>
      <c r="DP1119" s="105"/>
      <c r="DQ1119" s="105"/>
      <c r="DR1119" s="105"/>
      <c r="DS1119" s="105"/>
      <c r="DT1119" s="105"/>
      <c r="DU1119" s="105"/>
      <c r="DV1119" s="105"/>
      <c r="DW1119" s="105"/>
      <c r="DX1119" s="105"/>
      <c r="DY1119" s="105"/>
      <c r="DZ1119" s="105"/>
      <c r="EA1119" s="105"/>
      <c r="EB1119" s="105"/>
      <c r="EC1119" s="105"/>
      <c r="ED1119" s="105"/>
      <c r="EE1119" s="105"/>
      <c r="EF1119" s="105"/>
      <c r="EG1119" s="105"/>
      <c r="EH1119" s="105"/>
      <c r="EI1119" s="105"/>
      <c r="EJ1119" s="105"/>
      <c r="EK1119" s="105"/>
      <c r="EL1119" s="105"/>
      <c r="EM1119" s="105"/>
      <c r="EN1119" s="105"/>
      <c r="EO1119" s="105"/>
      <c r="EP1119" s="105"/>
      <c r="EQ1119" s="105"/>
      <c r="ER1119" s="105"/>
      <c r="ES1119" s="105"/>
      <c r="ET1119" s="105"/>
      <c r="EU1119" s="105"/>
      <c r="EV1119" s="105"/>
      <c r="EW1119" s="105"/>
      <c r="EX1119" s="105"/>
      <c r="EY1119" s="105"/>
      <c r="EZ1119" s="105"/>
      <c r="FA1119" s="105"/>
      <c r="FB1119" s="105"/>
      <c r="FC1119" s="105"/>
      <c r="FD1119" s="105"/>
      <c r="FE1119" s="105"/>
      <c r="FF1119" s="105"/>
      <c r="FG1119" s="105"/>
      <c r="FH1119" s="105"/>
      <c r="FI1119" s="105"/>
      <c r="FJ1119" s="105"/>
      <c r="FK1119" s="105"/>
      <c r="FL1119" s="105"/>
      <c r="FM1119" s="105"/>
      <c r="FN1119" s="105"/>
      <c r="FO1119" s="105"/>
      <c r="FP1119" s="105"/>
    </row>
    <row r="1120" spans="19:172" ht="6.95" customHeight="1" x14ac:dyDescent="0.15">
      <c r="S1120" s="89"/>
      <c r="T1120" s="89"/>
      <c r="U1120" s="89"/>
      <c r="V1120" s="89"/>
      <c r="W1120" s="89"/>
      <c r="X1120" s="89"/>
      <c r="Y1120" s="89"/>
      <c r="Z1120" s="89"/>
      <c r="AA1120" s="89"/>
      <c r="AB1120" s="89"/>
      <c r="AC1120" s="89"/>
      <c r="AD1120" s="89"/>
      <c r="AE1120" s="89"/>
      <c r="AF1120" s="89"/>
      <c r="AG1120" s="89"/>
      <c r="AH1120" s="89"/>
      <c r="AI1120" s="89"/>
      <c r="AJ1120" s="89"/>
      <c r="AK1120" s="89"/>
      <c r="AL1120" s="89"/>
      <c r="AM1120" s="89"/>
      <c r="AN1120" s="89"/>
      <c r="AO1120" s="89"/>
      <c r="AP1120" s="89"/>
      <c r="AQ1120" s="89"/>
      <c r="AR1120" s="89"/>
      <c r="AS1120" s="89"/>
      <c r="AT1120" s="89"/>
      <c r="AU1120" s="89"/>
      <c r="AV1120" s="89"/>
      <c r="AW1120" s="89"/>
      <c r="AX1120" s="93"/>
      <c r="AY1120" s="93"/>
      <c r="AZ1120" s="93"/>
      <c r="BA1120" s="93"/>
      <c r="BB1120" s="93"/>
      <c r="BC1120" s="93"/>
      <c r="BD1120" s="93"/>
      <c r="BE1120" s="93"/>
      <c r="BF1120" s="93"/>
      <c r="BG1120" s="93"/>
      <c r="BH1120" s="93"/>
      <c r="BI1120" s="93"/>
      <c r="BJ1120" s="93"/>
      <c r="BK1120" s="93"/>
      <c r="BL1120" s="93"/>
      <c r="BM1120" s="93"/>
      <c r="BN1120" s="93"/>
      <c r="BO1120" s="93"/>
      <c r="BP1120" s="93"/>
      <c r="BQ1120" s="93"/>
      <c r="BR1120" s="93"/>
      <c r="BS1120" s="93"/>
      <c r="BT1120" s="93"/>
      <c r="BU1120" s="93"/>
      <c r="BV1120" s="93"/>
      <c r="BW1120" s="93"/>
      <c r="BX1120" s="93"/>
      <c r="BY1120" s="93"/>
      <c r="BZ1120" s="93"/>
      <c r="CA1120" s="93"/>
      <c r="CB1120" s="93"/>
      <c r="CC1120" s="93"/>
      <c r="CD1120" s="93"/>
      <c r="CE1120" s="93"/>
      <c r="CF1120" s="93"/>
      <c r="CG1120" s="93"/>
      <c r="CH1120" s="93"/>
      <c r="CI1120" s="93"/>
      <c r="CJ1120" s="93"/>
      <c r="CK1120" s="93"/>
      <c r="CL1120" s="93"/>
      <c r="CM1120" s="93"/>
      <c r="CN1120" s="93"/>
      <c r="CO1120" s="93"/>
      <c r="CP1120" s="93"/>
      <c r="CQ1120" s="93"/>
      <c r="CR1120" s="93"/>
      <c r="CS1120" s="93"/>
      <c r="CT1120" s="93"/>
      <c r="CU1120" s="93"/>
      <c r="CV1120" s="93"/>
      <c r="CW1120" s="93"/>
      <c r="CX1120" s="93"/>
      <c r="CY1120" s="93"/>
      <c r="CZ1120" s="93"/>
      <c r="DA1120" s="93"/>
      <c r="DB1120" s="93"/>
      <c r="DC1120" s="105"/>
      <c r="DD1120" s="105"/>
      <c r="DE1120" s="105"/>
      <c r="DF1120" s="105"/>
      <c r="DG1120" s="105"/>
      <c r="DH1120" s="105"/>
      <c r="DI1120" s="105"/>
      <c r="DJ1120" s="105"/>
      <c r="DK1120" s="105"/>
      <c r="DL1120" s="105"/>
      <c r="DM1120" s="105"/>
      <c r="DN1120" s="105"/>
      <c r="DO1120" s="105"/>
      <c r="DP1120" s="105"/>
      <c r="DQ1120" s="105"/>
      <c r="DR1120" s="105"/>
      <c r="DS1120" s="105"/>
      <c r="DT1120" s="105"/>
      <c r="DU1120" s="105"/>
      <c r="DV1120" s="105"/>
      <c r="DW1120" s="105"/>
      <c r="DX1120" s="105"/>
      <c r="DY1120" s="105"/>
      <c r="DZ1120" s="105"/>
      <c r="EA1120" s="105"/>
      <c r="EB1120" s="105"/>
      <c r="EC1120" s="105"/>
      <c r="ED1120" s="105"/>
      <c r="EE1120" s="105"/>
      <c r="EF1120" s="105"/>
      <c r="EG1120" s="105"/>
      <c r="EH1120" s="105"/>
      <c r="EI1120" s="105"/>
      <c r="EJ1120" s="105"/>
      <c r="EK1120" s="105"/>
      <c r="EL1120" s="105"/>
      <c r="EM1120" s="105"/>
      <c r="EN1120" s="105"/>
      <c r="EO1120" s="105"/>
      <c r="EP1120" s="105"/>
      <c r="EQ1120" s="105"/>
      <c r="ER1120" s="105"/>
      <c r="ES1120" s="105"/>
      <c r="ET1120" s="105"/>
      <c r="EU1120" s="105"/>
      <c r="EV1120" s="105"/>
      <c r="EW1120" s="105"/>
      <c r="EX1120" s="105"/>
      <c r="EY1120" s="105"/>
      <c r="EZ1120" s="105"/>
      <c r="FA1120" s="105"/>
      <c r="FB1120" s="105"/>
      <c r="FC1120" s="105"/>
      <c r="FD1120" s="105"/>
      <c r="FE1120" s="105"/>
      <c r="FF1120" s="105"/>
      <c r="FG1120" s="105"/>
      <c r="FH1120" s="105"/>
      <c r="FI1120" s="105"/>
      <c r="FJ1120" s="105"/>
      <c r="FK1120" s="105"/>
      <c r="FL1120" s="105"/>
      <c r="FM1120" s="105"/>
      <c r="FN1120" s="105"/>
      <c r="FO1120" s="105"/>
      <c r="FP1120" s="105"/>
    </row>
    <row r="1121" spans="19:172" ht="6.95" customHeight="1" x14ac:dyDescent="0.15">
      <c r="S1121" s="89"/>
      <c r="T1121" s="89"/>
      <c r="U1121" s="89"/>
      <c r="V1121" s="89"/>
      <c r="W1121" s="89"/>
      <c r="X1121" s="89"/>
      <c r="Y1121" s="89"/>
      <c r="Z1121" s="89"/>
      <c r="AA1121" s="89"/>
      <c r="AB1121" s="89"/>
      <c r="AC1121" s="89"/>
      <c r="AD1121" s="89"/>
      <c r="AE1121" s="89"/>
      <c r="AF1121" s="89"/>
      <c r="AG1121" s="89"/>
      <c r="AH1121" s="89"/>
      <c r="AI1121" s="89"/>
      <c r="AJ1121" s="89"/>
      <c r="AK1121" s="89"/>
      <c r="AL1121" s="89"/>
      <c r="AM1121" s="89"/>
      <c r="AN1121" s="89"/>
      <c r="AO1121" s="89"/>
      <c r="AP1121" s="89"/>
      <c r="AQ1121" s="89"/>
      <c r="AR1121" s="89"/>
      <c r="AS1121" s="89"/>
      <c r="AT1121" s="89"/>
      <c r="AU1121" s="89"/>
      <c r="AV1121" s="89"/>
      <c r="AW1121" s="89"/>
      <c r="AX1121" s="93"/>
      <c r="AY1121" s="93"/>
      <c r="AZ1121" s="93"/>
      <c r="BA1121" s="93"/>
      <c r="BB1121" s="93"/>
      <c r="BC1121" s="93"/>
      <c r="BD1121" s="93"/>
      <c r="BE1121" s="93"/>
      <c r="BF1121" s="93"/>
      <c r="BG1121" s="93"/>
      <c r="BH1121" s="93"/>
      <c r="BI1121" s="93"/>
      <c r="BJ1121" s="93"/>
      <c r="BK1121" s="93"/>
      <c r="BL1121" s="93"/>
      <c r="BM1121" s="93"/>
      <c r="BN1121" s="93"/>
      <c r="BO1121" s="93"/>
      <c r="BP1121" s="93"/>
      <c r="BQ1121" s="93"/>
      <c r="BR1121" s="93"/>
      <c r="BS1121" s="93"/>
      <c r="BT1121" s="93"/>
      <c r="BU1121" s="93"/>
      <c r="BV1121" s="93"/>
      <c r="BW1121" s="93"/>
      <c r="BX1121" s="93"/>
      <c r="BY1121" s="93"/>
      <c r="BZ1121" s="93"/>
      <c r="CA1121" s="93"/>
      <c r="CB1121" s="93"/>
      <c r="CC1121" s="93"/>
      <c r="CD1121" s="93"/>
      <c r="CE1121" s="93"/>
      <c r="CF1121" s="93"/>
      <c r="CG1121" s="93"/>
      <c r="CH1121" s="93"/>
      <c r="CI1121" s="93"/>
      <c r="CJ1121" s="93"/>
      <c r="CK1121" s="93"/>
      <c r="CL1121" s="93"/>
      <c r="CM1121" s="93"/>
      <c r="CN1121" s="93"/>
      <c r="CO1121" s="93"/>
      <c r="CP1121" s="93"/>
      <c r="CQ1121" s="93"/>
      <c r="CR1121" s="93"/>
      <c r="CS1121" s="93"/>
      <c r="CT1121" s="93"/>
      <c r="CU1121" s="93"/>
      <c r="CV1121" s="93"/>
      <c r="CW1121" s="93"/>
      <c r="CX1121" s="93"/>
      <c r="CY1121" s="93"/>
      <c r="CZ1121" s="93"/>
      <c r="DA1121" s="93"/>
      <c r="DB1121" s="93"/>
      <c r="DC1121" s="105"/>
      <c r="DD1121" s="105"/>
      <c r="DE1121" s="105"/>
      <c r="DF1121" s="105"/>
      <c r="DG1121" s="105"/>
      <c r="DH1121" s="105"/>
      <c r="DI1121" s="105"/>
      <c r="DJ1121" s="105"/>
      <c r="DK1121" s="105"/>
      <c r="DL1121" s="105"/>
      <c r="DM1121" s="105"/>
      <c r="DN1121" s="105"/>
      <c r="DO1121" s="105"/>
      <c r="DP1121" s="105"/>
      <c r="DQ1121" s="105"/>
      <c r="DR1121" s="105"/>
      <c r="DS1121" s="105"/>
      <c r="DT1121" s="105"/>
      <c r="DU1121" s="105"/>
      <c r="DV1121" s="105"/>
      <c r="DW1121" s="105"/>
      <c r="DX1121" s="105"/>
      <c r="DY1121" s="105"/>
      <c r="DZ1121" s="105"/>
      <c r="EA1121" s="105"/>
      <c r="EB1121" s="105"/>
      <c r="EC1121" s="105"/>
      <c r="ED1121" s="105"/>
      <c r="EE1121" s="105"/>
      <c r="EF1121" s="105"/>
      <c r="EG1121" s="105"/>
      <c r="EH1121" s="105"/>
      <c r="EI1121" s="105"/>
      <c r="EJ1121" s="105"/>
      <c r="EK1121" s="105"/>
      <c r="EL1121" s="105"/>
      <c r="EM1121" s="105"/>
      <c r="EN1121" s="105"/>
      <c r="EO1121" s="105"/>
      <c r="EP1121" s="105"/>
      <c r="EQ1121" s="105"/>
      <c r="ER1121" s="105"/>
      <c r="ES1121" s="105"/>
      <c r="ET1121" s="105"/>
      <c r="EU1121" s="105"/>
      <c r="EV1121" s="105"/>
      <c r="EW1121" s="105"/>
      <c r="EX1121" s="105"/>
      <c r="EY1121" s="105"/>
      <c r="EZ1121" s="105"/>
      <c r="FA1121" s="105"/>
      <c r="FB1121" s="105"/>
      <c r="FC1121" s="105"/>
      <c r="FD1121" s="105"/>
      <c r="FE1121" s="105"/>
      <c r="FF1121" s="105"/>
      <c r="FG1121" s="105"/>
      <c r="FH1121" s="105"/>
      <c r="FI1121" s="105"/>
      <c r="FJ1121" s="105"/>
      <c r="FK1121" s="105"/>
      <c r="FL1121" s="105"/>
      <c r="FM1121" s="105"/>
      <c r="FN1121" s="105"/>
      <c r="FO1121" s="105"/>
      <c r="FP1121" s="105"/>
    </row>
    <row r="1122" spans="19:172" ht="6.95" customHeight="1" x14ac:dyDescent="0.15">
      <c r="S1122" s="89"/>
      <c r="T1122" s="89"/>
      <c r="U1122" s="89"/>
      <c r="V1122" s="89"/>
      <c r="W1122" s="89"/>
      <c r="X1122" s="89"/>
      <c r="Y1122" s="89"/>
      <c r="Z1122" s="89"/>
      <c r="AA1122" s="89"/>
      <c r="AB1122" s="89"/>
      <c r="AC1122" s="89"/>
      <c r="AD1122" s="89"/>
      <c r="AE1122" s="89"/>
      <c r="AF1122" s="89"/>
      <c r="AG1122" s="89"/>
      <c r="AH1122" s="89"/>
      <c r="AI1122" s="89"/>
      <c r="AJ1122" s="89"/>
      <c r="AK1122" s="89"/>
      <c r="AL1122" s="89"/>
      <c r="AM1122" s="89"/>
      <c r="AN1122" s="89"/>
      <c r="AO1122" s="89"/>
      <c r="AP1122" s="89"/>
      <c r="AQ1122" s="89"/>
      <c r="AR1122" s="89"/>
      <c r="AS1122" s="89"/>
      <c r="AT1122" s="89"/>
      <c r="AU1122" s="89"/>
      <c r="AV1122" s="89"/>
      <c r="AW1122" s="89"/>
      <c r="AX1122" s="93"/>
      <c r="AY1122" s="93"/>
      <c r="AZ1122" s="93"/>
      <c r="BA1122" s="93"/>
      <c r="BB1122" s="93"/>
      <c r="BC1122" s="93"/>
      <c r="BD1122" s="93"/>
      <c r="BE1122" s="93"/>
      <c r="BF1122" s="93"/>
      <c r="BG1122" s="93"/>
      <c r="BH1122" s="93"/>
      <c r="BI1122" s="93"/>
      <c r="BJ1122" s="93"/>
      <c r="BK1122" s="93"/>
      <c r="BL1122" s="93"/>
      <c r="BM1122" s="93"/>
      <c r="BN1122" s="93"/>
      <c r="BO1122" s="93"/>
      <c r="BP1122" s="93"/>
      <c r="BQ1122" s="93"/>
      <c r="BR1122" s="93"/>
      <c r="BS1122" s="93"/>
      <c r="BT1122" s="93"/>
      <c r="BU1122" s="93"/>
      <c r="BV1122" s="93"/>
      <c r="BW1122" s="93"/>
      <c r="BX1122" s="93"/>
      <c r="BY1122" s="93"/>
      <c r="BZ1122" s="93"/>
      <c r="CA1122" s="93"/>
      <c r="CB1122" s="93"/>
      <c r="CC1122" s="93"/>
      <c r="CD1122" s="93"/>
      <c r="CE1122" s="93"/>
      <c r="CF1122" s="93"/>
      <c r="CG1122" s="93"/>
      <c r="CH1122" s="93"/>
      <c r="CI1122" s="93"/>
      <c r="CJ1122" s="93"/>
      <c r="CK1122" s="93"/>
      <c r="CL1122" s="93"/>
      <c r="CM1122" s="93"/>
      <c r="CN1122" s="93"/>
      <c r="CO1122" s="93"/>
      <c r="CP1122" s="93"/>
      <c r="CQ1122" s="93"/>
      <c r="CR1122" s="93"/>
      <c r="CS1122" s="93"/>
      <c r="CT1122" s="93"/>
      <c r="CU1122" s="93"/>
      <c r="CV1122" s="93"/>
      <c r="CW1122" s="93"/>
      <c r="CX1122" s="93"/>
      <c r="CY1122" s="93"/>
      <c r="CZ1122" s="93"/>
      <c r="DA1122" s="93"/>
      <c r="DB1122" s="93"/>
      <c r="DC1122" s="105"/>
      <c r="DD1122" s="105"/>
      <c r="DE1122" s="105"/>
      <c r="DF1122" s="105"/>
      <c r="DG1122" s="105"/>
      <c r="DH1122" s="105"/>
      <c r="DI1122" s="105"/>
      <c r="DJ1122" s="105"/>
      <c r="DK1122" s="105"/>
      <c r="DL1122" s="105"/>
      <c r="DM1122" s="105"/>
      <c r="DN1122" s="105"/>
      <c r="DO1122" s="105"/>
      <c r="DP1122" s="105"/>
      <c r="DQ1122" s="105"/>
      <c r="DR1122" s="105"/>
      <c r="DS1122" s="105"/>
      <c r="DT1122" s="105"/>
      <c r="DU1122" s="105"/>
      <c r="DV1122" s="105"/>
      <c r="DW1122" s="105"/>
      <c r="DX1122" s="105"/>
      <c r="DY1122" s="105"/>
      <c r="DZ1122" s="105"/>
      <c r="EA1122" s="105"/>
      <c r="EB1122" s="105"/>
      <c r="EC1122" s="105"/>
      <c r="ED1122" s="105"/>
      <c r="EE1122" s="105"/>
      <c r="EF1122" s="105"/>
      <c r="EG1122" s="105"/>
      <c r="EH1122" s="105"/>
      <c r="EI1122" s="105"/>
      <c r="EJ1122" s="105"/>
      <c r="EK1122" s="105"/>
      <c r="EL1122" s="105"/>
      <c r="EM1122" s="105"/>
      <c r="EN1122" s="105"/>
      <c r="EO1122" s="105"/>
      <c r="EP1122" s="105"/>
      <c r="EQ1122" s="105"/>
      <c r="ER1122" s="105"/>
      <c r="ES1122" s="105"/>
      <c r="ET1122" s="105"/>
      <c r="EU1122" s="105"/>
      <c r="EV1122" s="105"/>
      <c r="EW1122" s="105"/>
      <c r="EX1122" s="105"/>
      <c r="EY1122" s="105"/>
      <c r="EZ1122" s="105"/>
      <c r="FA1122" s="105"/>
      <c r="FB1122" s="105"/>
      <c r="FC1122" s="105"/>
      <c r="FD1122" s="105"/>
      <c r="FE1122" s="105"/>
      <c r="FF1122" s="105"/>
      <c r="FG1122" s="105"/>
      <c r="FH1122" s="105"/>
      <c r="FI1122" s="105"/>
      <c r="FJ1122" s="105"/>
      <c r="FK1122" s="105"/>
      <c r="FL1122" s="105"/>
      <c r="FM1122" s="105"/>
      <c r="FN1122" s="105"/>
      <c r="FO1122" s="105"/>
      <c r="FP1122" s="105"/>
    </row>
    <row r="1123" spans="19:172" ht="6.95" customHeight="1" x14ac:dyDescent="0.15">
      <c r="S1123" s="89"/>
      <c r="T1123" s="89"/>
      <c r="U1123" s="89"/>
      <c r="V1123" s="89"/>
      <c r="W1123" s="89"/>
      <c r="X1123" s="89"/>
      <c r="Y1123" s="89"/>
      <c r="Z1123" s="89"/>
      <c r="AA1123" s="89"/>
      <c r="AB1123" s="89"/>
      <c r="AC1123" s="89"/>
      <c r="AD1123" s="89"/>
      <c r="AE1123" s="89"/>
      <c r="AF1123" s="89"/>
      <c r="AG1123" s="89"/>
      <c r="AH1123" s="89"/>
      <c r="AI1123" s="89"/>
      <c r="AJ1123" s="89"/>
      <c r="AK1123" s="89"/>
      <c r="AL1123" s="89"/>
      <c r="AM1123" s="89"/>
      <c r="AN1123" s="89"/>
      <c r="AO1123" s="89"/>
      <c r="AP1123" s="89"/>
      <c r="AQ1123" s="89"/>
      <c r="AR1123" s="89"/>
      <c r="AS1123" s="89"/>
      <c r="AT1123" s="89"/>
      <c r="AU1123" s="89"/>
      <c r="AV1123" s="89"/>
      <c r="AW1123" s="89"/>
      <c r="AX1123" s="93"/>
      <c r="AY1123" s="93"/>
      <c r="AZ1123" s="93"/>
      <c r="BA1123" s="93"/>
      <c r="BB1123" s="93"/>
      <c r="BC1123" s="93"/>
      <c r="BD1123" s="93"/>
      <c r="BE1123" s="93"/>
      <c r="BF1123" s="93"/>
      <c r="BG1123" s="93"/>
      <c r="BH1123" s="93"/>
      <c r="BI1123" s="93"/>
      <c r="BJ1123" s="93"/>
      <c r="BK1123" s="93"/>
      <c r="BL1123" s="93"/>
      <c r="BM1123" s="93"/>
      <c r="BN1123" s="93"/>
      <c r="BO1123" s="93"/>
      <c r="BP1123" s="93"/>
      <c r="BQ1123" s="93"/>
      <c r="BR1123" s="93"/>
      <c r="BS1123" s="93"/>
      <c r="BT1123" s="93"/>
      <c r="BU1123" s="93"/>
      <c r="BV1123" s="93"/>
      <c r="BW1123" s="93"/>
      <c r="BX1123" s="93"/>
      <c r="BY1123" s="93"/>
      <c r="BZ1123" s="93"/>
      <c r="CA1123" s="93"/>
      <c r="CB1123" s="93"/>
      <c r="CC1123" s="93"/>
      <c r="CD1123" s="93"/>
      <c r="CE1123" s="93"/>
      <c r="CF1123" s="93"/>
      <c r="CG1123" s="93"/>
      <c r="CH1123" s="93"/>
      <c r="CI1123" s="93"/>
      <c r="CJ1123" s="93"/>
      <c r="CK1123" s="93"/>
      <c r="CL1123" s="93"/>
      <c r="CM1123" s="93"/>
      <c r="CN1123" s="93"/>
      <c r="CO1123" s="93"/>
      <c r="CP1123" s="93"/>
      <c r="CQ1123" s="93"/>
      <c r="CR1123" s="93"/>
      <c r="CS1123" s="93"/>
      <c r="CT1123" s="93"/>
      <c r="CU1123" s="93"/>
      <c r="CV1123" s="93"/>
      <c r="CW1123" s="93"/>
      <c r="CX1123" s="93"/>
      <c r="CY1123" s="93"/>
      <c r="CZ1123" s="93"/>
      <c r="DA1123" s="93"/>
      <c r="DB1123" s="93"/>
      <c r="DC1123" s="105"/>
      <c r="DD1123" s="105"/>
      <c r="DE1123" s="105"/>
      <c r="DF1123" s="105"/>
      <c r="DG1123" s="105"/>
      <c r="DH1123" s="105"/>
      <c r="DI1123" s="105"/>
      <c r="DJ1123" s="105"/>
      <c r="DK1123" s="105"/>
      <c r="DL1123" s="105"/>
      <c r="DM1123" s="105"/>
      <c r="DN1123" s="105"/>
      <c r="DO1123" s="105"/>
      <c r="DP1123" s="105"/>
      <c r="DQ1123" s="105"/>
      <c r="DR1123" s="105"/>
      <c r="DS1123" s="105"/>
      <c r="DT1123" s="105"/>
      <c r="DU1123" s="105"/>
      <c r="DV1123" s="105"/>
      <c r="DW1123" s="105"/>
      <c r="DX1123" s="105"/>
      <c r="DY1123" s="105"/>
      <c r="DZ1123" s="105"/>
      <c r="EA1123" s="105"/>
      <c r="EB1123" s="105"/>
      <c r="EC1123" s="105"/>
      <c r="ED1123" s="105"/>
      <c r="EE1123" s="105"/>
      <c r="EF1123" s="105"/>
      <c r="EG1123" s="105"/>
      <c r="EH1123" s="105"/>
      <c r="EI1123" s="105"/>
      <c r="EJ1123" s="105"/>
      <c r="EK1123" s="105"/>
      <c r="EL1123" s="105"/>
      <c r="EM1123" s="105"/>
      <c r="EN1123" s="105"/>
      <c r="EO1123" s="105"/>
      <c r="EP1123" s="105"/>
      <c r="EQ1123" s="105"/>
      <c r="ER1123" s="105"/>
      <c r="ES1123" s="105"/>
      <c r="ET1123" s="105"/>
      <c r="EU1123" s="105"/>
      <c r="EV1123" s="105"/>
      <c r="EW1123" s="105"/>
      <c r="EX1123" s="105"/>
      <c r="EY1123" s="105"/>
      <c r="EZ1123" s="105"/>
      <c r="FA1123" s="105"/>
      <c r="FB1123" s="105"/>
      <c r="FC1123" s="105"/>
      <c r="FD1123" s="105"/>
      <c r="FE1123" s="105"/>
      <c r="FF1123" s="105"/>
      <c r="FG1123" s="105"/>
      <c r="FH1123" s="105"/>
      <c r="FI1123" s="105"/>
      <c r="FJ1123" s="105"/>
      <c r="FK1123" s="105"/>
      <c r="FL1123" s="105"/>
      <c r="FM1123" s="105"/>
      <c r="FN1123" s="105"/>
      <c r="FO1123" s="105"/>
      <c r="FP1123" s="105"/>
    </row>
    <row r="1124" spans="19:172" ht="6.95" customHeight="1" x14ac:dyDescent="0.15">
      <c r="S1124" s="89"/>
      <c r="T1124" s="89"/>
      <c r="U1124" s="89"/>
      <c r="V1124" s="89"/>
      <c r="W1124" s="89"/>
      <c r="X1124" s="89"/>
      <c r="Y1124" s="89"/>
      <c r="Z1124" s="89"/>
      <c r="AA1124" s="89"/>
      <c r="AB1124" s="89"/>
      <c r="AC1124" s="89"/>
      <c r="AD1124" s="89"/>
      <c r="AE1124" s="89"/>
      <c r="AF1124" s="89"/>
      <c r="AG1124" s="89"/>
      <c r="AH1124" s="89"/>
      <c r="AI1124" s="89"/>
      <c r="AJ1124" s="89"/>
      <c r="AK1124" s="89"/>
      <c r="AL1124" s="89"/>
      <c r="AM1124" s="89"/>
      <c r="AN1124" s="89"/>
      <c r="AO1124" s="89"/>
      <c r="AP1124" s="89"/>
      <c r="AQ1124" s="89"/>
      <c r="AR1124" s="89"/>
      <c r="AS1124" s="89"/>
      <c r="AT1124" s="89"/>
      <c r="AU1124" s="89"/>
      <c r="AV1124" s="89"/>
      <c r="AW1124" s="89"/>
      <c r="AX1124" s="93"/>
      <c r="AY1124" s="93"/>
      <c r="AZ1124" s="93"/>
      <c r="BA1124" s="93"/>
      <c r="BB1124" s="93"/>
      <c r="BC1124" s="93"/>
      <c r="BD1124" s="93"/>
      <c r="BE1124" s="93"/>
      <c r="BF1124" s="93"/>
      <c r="BG1124" s="93"/>
      <c r="BH1124" s="93"/>
      <c r="BI1124" s="93"/>
      <c r="BJ1124" s="93"/>
      <c r="BK1124" s="93"/>
      <c r="BL1124" s="93"/>
      <c r="BM1124" s="93"/>
      <c r="BN1124" s="93"/>
      <c r="BO1124" s="93"/>
      <c r="BP1124" s="93"/>
      <c r="BQ1124" s="93"/>
      <c r="BR1124" s="93"/>
      <c r="BS1124" s="93"/>
      <c r="BT1124" s="93"/>
      <c r="BU1124" s="93"/>
      <c r="BV1124" s="93"/>
      <c r="BW1124" s="93"/>
      <c r="BX1124" s="93"/>
      <c r="BY1124" s="93"/>
      <c r="BZ1124" s="93"/>
      <c r="CA1124" s="93"/>
      <c r="CB1124" s="93"/>
      <c r="CC1124" s="93"/>
      <c r="CD1124" s="93"/>
      <c r="CE1124" s="93"/>
      <c r="CF1124" s="93"/>
      <c r="CG1124" s="93"/>
      <c r="CH1124" s="93"/>
      <c r="CI1124" s="93"/>
      <c r="CJ1124" s="93"/>
      <c r="CK1124" s="93"/>
      <c r="CL1124" s="93"/>
      <c r="CM1124" s="93"/>
      <c r="CN1124" s="93"/>
      <c r="CO1124" s="93"/>
      <c r="CP1124" s="93"/>
      <c r="CQ1124" s="93"/>
      <c r="CR1124" s="93"/>
      <c r="CS1124" s="93"/>
      <c r="CT1124" s="93"/>
      <c r="CU1124" s="93"/>
      <c r="CV1124" s="93"/>
      <c r="CW1124" s="93"/>
      <c r="CX1124" s="93"/>
      <c r="CY1124" s="93"/>
      <c r="CZ1124" s="93"/>
      <c r="DA1124" s="93"/>
      <c r="DB1124" s="93"/>
      <c r="DC1124" s="105"/>
      <c r="DD1124" s="105"/>
      <c r="DE1124" s="105"/>
      <c r="DF1124" s="105"/>
      <c r="DG1124" s="105"/>
      <c r="DH1124" s="105"/>
      <c r="DI1124" s="105"/>
      <c r="DJ1124" s="105"/>
      <c r="DK1124" s="105"/>
      <c r="DL1124" s="105"/>
      <c r="DM1124" s="105"/>
      <c r="DN1124" s="105"/>
      <c r="DO1124" s="105"/>
      <c r="DP1124" s="105"/>
      <c r="DQ1124" s="105"/>
      <c r="DR1124" s="105"/>
      <c r="DS1124" s="105"/>
      <c r="DT1124" s="105"/>
      <c r="DU1124" s="105"/>
      <c r="DV1124" s="105"/>
      <c r="DW1124" s="105"/>
      <c r="DX1124" s="105"/>
      <c r="DY1124" s="105"/>
      <c r="DZ1124" s="105"/>
      <c r="EA1124" s="105"/>
      <c r="EB1124" s="105"/>
      <c r="EC1124" s="105"/>
      <c r="ED1124" s="105"/>
      <c r="EE1124" s="105"/>
      <c r="EF1124" s="105"/>
      <c r="EG1124" s="105"/>
      <c r="EH1124" s="105"/>
      <c r="EI1124" s="105"/>
      <c r="EJ1124" s="105"/>
      <c r="EK1124" s="105"/>
      <c r="EL1124" s="105"/>
      <c r="EM1124" s="105"/>
      <c r="EN1124" s="105"/>
      <c r="EO1124" s="105"/>
      <c r="EP1124" s="105"/>
      <c r="EQ1124" s="105"/>
      <c r="ER1124" s="105"/>
      <c r="ES1124" s="105"/>
      <c r="ET1124" s="105"/>
      <c r="EU1124" s="105"/>
      <c r="EV1124" s="105"/>
      <c r="EW1124" s="105"/>
      <c r="EX1124" s="105"/>
      <c r="EY1124" s="105"/>
      <c r="EZ1124" s="105"/>
      <c r="FA1124" s="105"/>
      <c r="FB1124" s="105"/>
      <c r="FC1124" s="105"/>
      <c r="FD1124" s="105"/>
      <c r="FE1124" s="105"/>
      <c r="FF1124" s="105"/>
      <c r="FG1124" s="105"/>
      <c r="FH1124" s="105"/>
      <c r="FI1124" s="105"/>
      <c r="FJ1124" s="105"/>
      <c r="FK1124" s="105"/>
      <c r="FL1124" s="105"/>
      <c r="FM1124" s="105"/>
      <c r="FN1124" s="105"/>
      <c r="FO1124" s="105"/>
      <c r="FP1124" s="105"/>
    </row>
    <row r="1125" spans="19:172" ht="6.95" customHeight="1" x14ac:dyDescent="0.15">
      <c r="S1125" s="89"/>
      <c r="T1125" s="89"/>
      <c r="U1125" s="89"/>
      <c r="V1125" s="89"/>
      <c r="W1125" s="89"/>
      <c r="X1125" s="89"/>
      <c r="Y1125" s="89"/>
      <c r="Z1125" s="89"/>
      <c r="AA1125" s="89"/>
      <c r="AB1125" s="89"/>
      <c r="AC1125" s="89"/>
      <c r="AD1125" s="89"/>
      <c r="AE1125" s="89"/>
      <c r="AF1125" s="89"/>
      <c r="AG1125" s="89"/>
      <c r="AH1125" s="89"/>
      <c r="AI1125" s="89"/>
      <c r="AJ1125" s="89"/>
      <c r="AK1125" s="89"/>
      <c r="AL1125" s="89"/>
      <c r="AM1125" s="89"/>
      <c r="AN1125" s="89"/>
      <c r="AO1125" s="89"/>
      <c r="AP1125" s="89"/>
      <c r="AQ1125" s="89"/>
      <c r="AR1125" s="89"/>
      <c r="AS1125" s="89"/>
      <c r="AT1125" s="89"/>
      <c r="AU1125" s="89"/>
      <c r="AV1125" s="89"/>
      <c r="AW1125" s="89"/>
      <c r="AX1125" s="93"/>
      <c r="AY1125" s="93"/>
      <c r="AZ1125" s="93"/>
      <c r="BA1125" s="93"/>
      <c r="BB1125" s="93"/>
      <c r="BC1125" s="93"/>
      <c r="BD1125" s="93"/>
      <c r="BE1125" s="93"/>
      <c r="BF1125" s="93"/>
      <c r="BG1125" s="93"/>
      <c r="BH1125" s="93"/>
      <c r="BI1125" s="93"/>
      <c r="BJ1125" s="93"/>
      <c r="BK1125" s="93"/>
      <c r="BL1125" s="93"/>
      <c r="BM1125" s="93"/>
      <c r="BN1125" s="93"/>
      <c r="BO1125" s="93"/>
      <c r="BP1125" s="93"/>
      <c r="BQ1125" s="93"/>
      <c r="BR1125" s="93"/>
      <c r="BS1125" s="93"/>
      <c r="BT1125" s="93"/>
      <c r="BU1125" s="93"/>
      <c r="BV1125" s="93"/>
      <c r="BW1125" s="93"/>
      <c r="BX1125" s="93"/>
      <c r="BY1125" s="93"/>
      <c r="BZ1125" s="93"/>
      <c r="CA1125" s="93"/>
      <c r="CB1125" s="93"/>
      <c r="CC1125" s="93"/>
      <c r="CD1125" s="93"/>
      <c r="CE1125" s="93"/>
      <c r="CF1125" s="93"/>
      <c r="CG1125" s="93"/>
      <c r="CH1125" s="93"/>
      <c r="CI1125" s="93"/>
      <c r="CJ1125" s="93"/>
      <c r="CK1125" s="93"/>
      <c r="CL1125" s="93"/>
      <c r="CM1125" s="93"/>
      <c r="CN1125" s="93"/>
      <c r="CO1125" s="93"/>
      <c r="CP1125" s="93"/>
      <c r="CQ1125" s="93"/>
      <c r="CR1125" s="93"/>
      <c r="CS1125" s="93"/>
      <c r="CT1125" s="93"/>
      <c r="CU1125" s="93"/>
      <c r="CV1125" s="93"/>
      <c r="CW1125" s="93"/>
      <c r="CX1125" s="93"/>
      <c r="CY1125" s="93"/>
      <c r="CZ1125" s="93"/>
      <c r="DA1125" s="93"/>
      <c r="DB1125" s="93"/>
      <c r="DC1125" s="105"/>
      <c r="DD1125" s="105"/>
      <c r="DE1125" s="105"/>
      <c r="DF1125" s="105"/>
      <c r="DG1125" s="105"/>
      <c r="DH1125" s="105"/>
      <c r="DI1125" s="105"/>
      <c r="DJ1125" s="105"/>
      <c r="DK1125" s="105"/>
      <c r="DL1125" s="105"/>
      <c r="DM1125" s="105"/>
      <c r="DN1125" s="105"/>
      <c r="DO1125" s="105"/>
      <c r="DP1125" s="105"/>
      <c r="DQ1125" s="105"/>
      <c r="DR1125" s="105"/>
      <c r="DS1125" s="105"/>
      <c r="DT1125" s="105"/>
      <c r="DU1125" s="105"/>
      <c r="DV1125" s="105"/>
      <c r="DW1125" s="105"/>
      <c r="DX1125" s="105"/>
      <c r="DY1125" s="105"/>
      <c r="DZ1125" s="105"/>
      <c r="EA1125" s="105"/>
      <c r="EB1125" s="105"/>
      <c r="EC1125" s="105"/>
      <c r="ED1125" s="105"/>
      <c r="EE1125" s="105"/>
      <c r="EF1125" s="105"/>
      <c r="EG1125" s="105"/>
      <c r="EH1125" s="105"/>
      <c r="EI1125" s="105"/>
      <c r="EJ1125" s="105"/>
      <c r="EK1125" s="105"/>
      <c r="EL1125" s="105"/>
      <c r="EM1125" s="105"/>
      <c r="EN1125" s="105"/>
      <c r="EO1125" s="105"/>
      <c r="EP1125" s="105"/>
      <c r="EQ1125" s="105"/>
      <c r="ER1125" s="105"/>
      <c r="ES1125" s="105"/>
      <c r="ET1125" s="105"/>
      <c r="EU1125" s="105"/>
      <c r="EV1125" s="105"/>
      <c r="EW1125" s="105"/>
      <c r="EX1125" s="105"/>
      <c r="EY1125" s="105"/>
      <c r="EZ1125" s="105"/>
      <c r="FA1125" s="105"/>
      <c r="FB1125" s="105"/>
      <c r="FC1125" s="105"/>
      <c r="FD1125" s="105"/>
      <c r="FE1125" s="105"/>
      <c r="FF1125" s="105"/>
      <c r="FG1125" s="105"/>
      <c r="FH1125" s="105"/>
      <c r="FI1125" s="105"/>
      <c r="FJ1125" s="105"/>
      <c r="FK1125" s="105"/>
      <c r="FL1125" s="105"/>
      <c r="FM1125" s="105"/>
      <c r="FN1125" s="105"/>
      <c r="FO1125" s="105"/>
      <c r="FP1125" s="105"/>
    </row>
    <row r="1126" spans="19:172" ht="6.95" customHeight="1" x14ac:dyDescent="0.15">
      <c r="S1126" s="89"/>
      <c r="T1126" s="89"/>
      <c r="U1126" s="89"/>
      <c r="V1126" s="89"/>
      <c r="W1126" s="89"/>
      <c r="X1126" s="89"/>
      <c r="Y1126" s="89"/>
      <c r="Z1126" s="89"/>
      <c r="AA1126" s="89"/>
      <c r="AB1126" s="89"/>
      <c r="AC1126" s="89"/>
      <c r="AD1126" s="89"/>
      <c r="AE1126" s="89"/>
      <c r="AF1126" s="89"/>
      <c r="AG1126" s="89"/>
      <c r="AH1126" s="89"/>
      <c r="AI1126" s="89"/>
      <c r="AJ1126" s="89"/>
      <c r="AK1126" s="89"/>
      <c r="AL1126" s="89"/>
      <c r="AM1126" s="89"/>
      <c r="AN1126" s="89"/>
      <c r="AO1126" s="89"/>
      <c r="AP1126" s="89"/>
      <c r="AQ1126" s="89"/>
      <c r="AR1126" s="89"/>
      <c r="AS1126" s="89"/>
      <c r="AT1126" s="89"/>
      <c r="AU1126" s="89"/>
      <c r="AV1126" s="89"/>
      <c r="AW1126" s="89"/>
      <c r="AX1126" s="93"/>
      <c r="AY1126" s="93"/>
      <c r="AZ1126" s="93"/>
      <c r="BA1126" s="93"/>
      <c r="BB1126" s="93"/>
      <c r="BC1126" s="93"/>
      <c r="BD1126" s="93"/>
      <c r="BE1126" s="93"/>
      <c r="BF1126" s="93"/>
      <c r="BG1126" s="93"/>
      <c r="BH1126" s="93"/>
      <c r="BI1126" s="93"/>
      <c r="BJ1126" s="93"/>
      <c r="BK1126" s="93"/>
      <c r="BL1126" s="93"/>
      <c r="BM1126" s="93"/>
      <c r="BN1126" s="93"/>
      <c r="BO1126" s="93"/>
      <c r="BP1126" s="93"/>
      <c r="BQ1126" s="93"/>
      <c r="BR1126" s="93"/>
      <c r="BS1126" s="93"/>
      <c r="BT1126" s="93"/>
      <c r="BU1126" s="93"/>
      <c r="BV1126" s="93"/>
      <c r="BW1126" s="93"/>
      <c r="BX1126" s="93"/>
      <c r="BY1126" s="93"/>
      <c r="BZ1126" s="93"/>
      <c r="CA1126" s="93"/>
      <c r="CB1126" s="93"/>
      <c r="CC1126" s="93"/>
      <c r="CD1126" s="93"/>
      <c r="CE1126" s="93"/>
      <c r="CF1126" s="93"/>
      <c r="CG1126" s="93"/>
      <c r="CH1126" s="93"/>
      <c r="CI1126" s="93"/>
      <c r="CJ1126" s="93"/>
      <c r="CK1126" s="93"/>
      <c r="CL1126" s="93"/>
      <c r="CM1126" s="93"/>
      <c r="CN1126" s="93"/>
      <c r="CO1126" s="93"/>
      <c r="CP1126" s="93"/>
      <c r="CQ1126" s="93"/>
      <c r="CR1126" s="93"/>
      <c r="CS1126" s="93"/>
      <c r="CT1126" s="93"/>
      <c r="CU1126" s="93"/>
      <c r="CV1126" s="93"/>
      <c r="CW1126" s="93"/>
      <c r="CX1126" s="93"/>
      <c r="CY1126" s="93"/>
      <c r="CZ1126" s="93"/>
      <c r="DA1126" s="93"/>
      <c r="DB1126" s="93"/>
      <c r="DC1126" s="105"/>
      <c r="DD1126" s="105"/>
      <c r="DE1126" s="105"/>
      <c r="DF1126" s="105"/>
      <c r="DG1126" s="105"/>
      <c r="DH1126" s="105"/>
      <c r="DI1126" s="105"/>
      <c r="DJ1126" s="105"/>
      <c r="DK1126" s="105"/>
      <c r="DL1126" s="105"/>
      <c r="DM1126" s="105"/>
      <c r="DN1126" s="105"/>
      <c r="DO1126" s="105"/>
      <c r="DP1126" s="105"/>
      <c r="DQ1126" s="105"/>
      <c r="DR1126" s="105"/>
      <c r="DS1126" s="105"/>
      <c r="DT1126" s="105"/>
      <c r="DU1126" s="105"/>
      <c r="DV1126" s="105"/>
      <c r="DW1126" s="105"/>
      <c r="DX1126" s="105"/>
      <c r="DY1126" s="105"/>
      <c r="DZ1126" s="105"/>
      <c r="EA1126" s="105"/>
      <c r="EB1126" s="105"/>
      <c r="EC1126" s="105"/>
      <c r="ED1126" s="105"/>
      <c r="EE1126" s="105"/>
      <c r="EF1126" s="105"/>
      <c r="EG1126" s="105"/>
      <c r="EH1126" s="105"/>
      <c r="EI1126" s="105"/>
      <c r="EJ1126" s="105"/>
      <c r="EK1126" s="105"/>
      <c r="EL1126" s="105"/>
      <c r="EM1126" s="105"/>
      <c r="EN1126" s="105"/>
      <c r="EO1126" s="105"/>
      <c r="EP1126" s="105"/>
      <c r="EQ1126" s="105"/>
      <c r="ER1126" s="105"/>
      <c r="ES1126" s="105"/>
      <c r="ET1126" s="105"/>
      <c r="EU1126" s="105"/>
      <c r="EV1126" s="105"/>
      <c r="EW1126" s="105"/>
      <c r="EX1126" s="105"/>
      <c r="EY1126" s="105"/>
      <c r="EZ1126" s="105"/>
      <c r="FA1126" s="105"/>
      <c r="FB1126" s="105"/>
      <c r="FC1126" s="105"/>
      <c r="FD1126" s="105"/>
      <c r="FE1126" s="105"/>
      <c r="FF1126" s="105"/>
      <c r="FG1126" s="105"/>
      <c r="FH1126" s="105"/>
      <c r="FI1126" s="105"/>
      <c r="FJ1126" s="105"/>
      <c r="FK1126" s="105"/>
      <c r="FL1126" s="105"/>
      <c r="FM1126" s="105"/>
      <c r="FN1126" s="105"/>
      <c r="FO1126" s="105"/>
      <c r="FP1126" s="105"/>
    </row>
    <row r="1127" spans="19:172" ht="6.95" customHeight="1" x14ac:dyDescent="0.15">
      <c r="S1127" s="89"/>
      <c r="T1127" s="89"/>
      <c r="U1127" s="89"/>
      <c r="V1127" s="89"/>
      <c r="W1127" s="89"/>
      <c r="X1127" s="89"/>
      <c r="Y1127" s="89"/>
      <c r="Z1127" s="89"/>
      <c r="AA1127" s="89"/>
      <c r="AB1127" s="89"/>
      <c r="AC1127" s="89"/>
      <c r="AD1127" s="89"/>
      <c r="AE1127" s="89"/>
      <c r="AF1127" s="89"/>
      <c r="AG1127" s="89"/>
      <c r="AH1127" s="89"/>
      <c r="AI1127" s="89"/>
      <c r="AJ1127" s="89"/>
      <c r="AK1127" s="89"/>
      <c r="AL1127" s="89"/>
      <c r="AM1127" s="89"/>
      <c r="AN1127" s="89"/>
      <c r="AO1127" s="89"/>
      <c r="AP1127" s="89"/>
      <c r="AQ1127" s="89"/>
      <c r="AR1127" s="89"/>
      <c r="AS1127" s="89"/>
      <c r="AT1127" s="89"/>
      <c r="AU1127" s="89"/>
      <c r="AV1127" s="89"/>
      <c r="AW1127" s="89"/>
      <c r="AX1127" s="93"/>
      <c r="AY1127" s="93"/>
      <c r="AZ1127" s="93"/>
      <c r="BA1127" s="93"/>
      <c r="BB1127" s="93"/>
      <c r="BC1127" s="93"/>
      <c r="BD1127" s="93"/>
      <c r="BE1127" s="93"/>
      <c r="BF1127" s="93"/>
      <c r="BG1127" s="93"/>
      <c r="BH1127" s="93"/>
      <c r="BI1127" s="93"/>
      <c r="BJ1127" s="93"/>
      <c r="BK1127" s="93"/>
      <c r="BL1127" s="93"/>
      <c r="BM1127" s="93"/>
      <c r="BN1127" s="93"/>
      <c r="BO1127" s="93"/>
      <c r="BP1127" s="93"/>
      <c r="BQ1127" s="93"/>
      <c r="BR1127" s="93"/>
      <c r="BS1127" s="93"/>
      <c r="BT1127" s="93"/>
      <c r="BU1127" s="93"/>
      <c r="BV1127" s="93"/>
      <c r="BW1127" s="93"/>
      <c r="BX1127" s="93"/>
      <c r="BY1127" s="93"/>
      <c r="BZ1127" s="93"/>
      <c r="CA1127" s="93"/>
      <c r="CB1127" s="93"/>
      <c r="CC1127" s="93"/>
      <c r="CD1127" s="93"/>
      <c r="CE1127" s="93"/>
      <c r="CF1127" s="93"/>
      <c r="CG1127" s="93"/>
      <c r="CH1127" s="93"/>
      <c r="CI1127" s="93"/>
      <c r="CJ1127" s="93"/>
      <c r="CK1127" s="93"/>
      <c r="CL1127" s="93"/>
      <c r="CM1127" s="93"/>
      <c r="CN1127" s="93"/>
      <c r="CO1127" s="93"/>
      <c r="CP1127" s="93"/>
      <c r="CQ1127" s="93"/>
      <c r="CR1127" s="93"/>
      <c r="CS1127" s="93"/>
      <c r="CT1127" s="93"/>
      <c r="CU1127" s="93"/>
      <c r="CV1127" s="93"/>
      <c r="CW1127" s="93"/>
      <c r="CX1127" s="93"/>
      <c r="CY1127" s="93"/>
      <c r="CZ1127" s="93"/>
      <c r="DA1127" s="93"/>
      <c r="DB1127" s="93"/>
      <c r="DC1127" s="105"/>
      <c r="DD1127" s="105"/>
      <c r="DE1127" s="105"/>
      <c r="DF1127" s="105"/>
      <c r="DG1127" s="105"/>
      <c r="DH1127" s="105"/>
      <c r="DI1127" s="105"/>
      <c r="DJ1127" s="105"/>
      <c r="DK1127" s="105"/>
      <c r="DL1127" s="105"/>
      <c r="DM1127" s="105"/>
      <c r="DN1127" s="105"/>
      <c r="DO1127" s="105"/>
      <c r="DP1127" s="105"/>
      <c r="DQ1127" s="105"/>
      <c r="DR1127" s="105"/>
      <c r="DS1127" s="105"/>
      <c r="DT1127" s="105"/>
      <c r="DU1127" s="105"/>
      <c r="DV1127" s="105"/>
      <c r="DW1127" s="105"/>
      <c r="DX1127" s="105"/>
      <c r="DY1127" s="105"/>
      <c r="DZ1127" s="105"/>
      <c r="EA1127" s="105"/>
      <c r="EB1127" s="105"/>
      <c r="EC1127" s="105"/>
      <c r="ED1127" s="105"/>
      <c r="EE1127" s="105"/>
      <c r="EF1127" s="105"/>
      <c r="EG1127" s="105"/>
      <c r="EH1127" s="105"/>
      <c r="EI1127" s="105"/>
      <c r="EJ1127" s="105"/>
      <c r="EK1127" s="105"/>
      <c r="EL1127" s="105"/>
      <c r="EM1127" s="105"/>
      <c r="EN1127" s="105"/>
      <c r="EO1127" s="105"/>
      <c r="EP1127" s="105"/>
      <c r="EQ1127" s="105"/>
      <c r="ER1127" s="105"/>
      <c r="ES1127" s="105"/>
      <c r="ET1127" s="105"/>
      <c r="EU1127" s="105"/>
      <c r="EV1127" s="105"/>
      <c r="EW1127" s="105"/>
      <c r="EX1127" s="105"/>
      <c r="EY1127" s="105"/>
      <c r="EZ1127" s="105"/>
      <c r="FA1127" s="105"/>
      <c r="FB1127" s="105"/>
      <c r="FC1127" s="105"/>
      <c r="FD1127" s="105"/>
      <c r="FE1127" s="105"/>
      <c r="FF1127" s="105"/>
      <c r="FG1127" s="105"/>
      <c r="FH1127" s="105"/>
      <c r="FI1127" s="105"/>
      <c r="FJ1127" s="105"/>
      <c r="FK1127" s="105"/>
      <c r="FL1127" s="105"/>
      <c r="FM1127" s="105"/>
      <c r="FN1127" s="105"/>
      <c r="FO1127" s="105"/>
      <c r="FP1127" s="105"/>
    </row>
    <row r="1128" spans="19:172" ht="6.95" customHeight="1" x14ac:dyDescent="0.15">
      <c r="S1128" s="89"/>
      <c r="T1128" s="89"/>
      <c r="U1128" s="89"/>
      <c r="V1128" s="89"/>
      <c r="W1128" s="89"/>
      <c r="X1128" s="89"/>
      <c r="Y1128" s="89"/>
      <c r="Z1128" s="89"/>
      <c r="AA1128" s="89"/>
      <c r="AB1128" s="89"/>
      <c r="AC1128" s="89"/>
      <c r="AD1128" s="89"/>
      <c r="AE1128" s="89"/>
      <c r="AF1128" s="89"/>
      <c r="AG1128" s="89"/>
      <c r="AH1128" s="89"/>
      <c r="AI1128" s="89"/>
      <c r="AJ1128" s="89"/>
      <c r="AK1128" s="89"/>
      <c r="AL1128" s="89"/>
      <c r="AM1128" s="89"/>
      <c r="AN1128" s="89"/>
      <c r="AO1128" s="89"/>
      <c r="AP1128" s="89"/>
      <c r="AQ1128" s="89"/>
      <c r="AR1128" s="89"/>
      <c r="AS1128" s="89"/>
      <c r="AT1128" s="89"/>
      <c r="AU1128" s="89"/>
      <c r="AV1128" s="89"/>
      <c r="AW1128" s="89"/>
      <c r="AX1128" s="93"/>
      <c r="AY1128" s="93"/>
      <c r="AZ1128" s="93"/>
      <c r="BA1128" s="93"/>
      <c r="BB1128" s="93"/>
      <c r="BC1128" s="93"/>
      <c r="BD1128" s="93"/>
      <c r="BE1128" s="93"/>
      <c r="BF1128" s="93"/>
      <c r="BG1128" s="93"/>
      <c r="BH1128" s="93"/>
      <c r="BI1128" s="93"/>
      <c r="BJ1128" s="93"/>
      <c r="BK1128" s="93"/>
      <c r="BL1128" s="93"/>
      <c r="BM1128" s="93"/>
      <c r="BN1128" s="93"/>
      <c r="BO1128" s="93"/>
      <c r="BP1128" s="93"/>
      <c r="BQ1128" s="93"/>
      <c r="BR1128" s="93"/>
      <c r="BS1128" s="93"/>
      <c r="BT1128" s="93"/>
      <c r="BU1128" s="93"/>
      <c r="BV1128" s="93"/>
      <c r="BW1128" s="93"/>
      <c r="BX1128" s="93"/>
      <c r="BY1128" s="93"/>
      <c r="BZ1128" s="93"/>
      <c r="CA1128" s="93"/>
      <c r="CB1128" s="93"/>
      <c r="CC1128" s="93"/>
      <c r="CD1128" s="93"/>
      <c r="CE1128" s="93"/>
      <c r="CF1128" s="93"/>
      <c r="CG1128" s="93"/>
      <c r="CH1128" s="93"/>
      <c r="CI1128" s="93"/>
      <c r="CJ1128" s="93"/>
      <c r="CK1128" s="93"/>
      <c r="CL1128" s="93"/>
      <c r="CM1128" s="93"/>
      <c r="CN1128" s="93"/>
      <c r="CO1128" s="93"/>
      <c r="CP1128" s="93"/>
      <c r="CQ1128" s="93"/>
      <c r="CR1128" s="93"/>
      <c r="CS1128" s="93"/>
      <c r="CT1128" s="93"/>
      <c r="CU1128" s="93"/>
      <c r="CV1128" s="93"/>
      <c r="CW1128" s="93"/>
      <c r="CX1128" s="93"/>
      <c r="CY1128" s="93"/>
      <c r="CZ1128" s="93"/>
      <c r="DA1128" s="93"/>
      <c r="DB1128" s="93"/>
      <c r="DC1128" s="105"/>
      <c r="DD1128" s="105"/>
      <c r="DE1128" s="105"/>
      <c r="DF1128" s="105"/>
      <c r="DG1128" s="105"/>
      <c r="DH1128" s="105"/>
      <c r="DI1128" s="105"/>
      <c r="DJ1128" s="105"/>
      <c r="DK1128" s="105"/>
      <c r="DL1128" s="105"/>
      <c r="DM1128" s="105"/>
      <c r="DN1128" s="105"/>
      <c r="DO1128" s="105"/>
      <c r="DP1128" s="105"/>
      <c r="DQ1128" s="105"/>
      <c r="DR1128" s="105"/>
      <c r="DS1128" s="105"/>
      <c r="DT1128" s="105"/>
      <c r="DU1128" s="105"/>
      <c r="DV1128" s="105"/>
      <c r="DW1128" s="105"/>
      <c r="DX1128" s="105"/>
      <c r="DY1128" s="105"/>
      <c r="DZ1128" s="105"/>
      <c r="EA1128" s="105"/>
      <c r="EB1128" s="105"/>
      <c r="EC1128" s="105"/>
      <c r="ED1128" s="105"/>
      <c r="EE1128" s="105"/>
      <c r="EF1128" s="105"/>
      <c r="EG1128" s="105"/>
      <c r="EH1128" s="105"/>
      <c r="EI1128" s="105"/>
      <c r="EJ1128" s="105"/>
      <c r="EK1128" s="105"/>
      <c r="EL1128" s="105"/>
      <c r="EM1128" s="105"/>
      <c r="EN1128" s="105"/>
      <c r="EO1128" s="105"/>
      <c r="EP1128" s="105"/>
      <c r="EQ1128" s="105"/>
      <c r="ER1128" s="105"/>
      <c r="ES1128" s="105"/>
      <c r="ET1128" s="105"/>
      <c r="EU1128" s="105"/>
      <c r="EV1128" s="105"/>
      <c r="EW1128" s="105"/>
      <c r="EX1128" s="105"/>
      <c r="EY1128" s="105"/>
      <c r="EZ1128" s="105"/>
      <c r="FA1128" s="105"/>
      <c r="FB1128" s="105"/>
      <c r="FC1128" s="105"/>
      <c r="FD1128" s="105"/>
      <c r="FE1128" s="105"/>
      <c r="FF1128" s="105"/>
      <c r="FG1128" s="105"/>
      <c r="FH1128" s="105"/>
      <c r="FI1128" s="105"/>
      <c r="FJ1128" s="105"/>
      <c r="FK1128" s="105"/>
      <c r="FL1128" s="105"/>
      <c r="FM1128" s="105"/>
      <c r="FN1128" s="105"/>
      <c r="FO1128" s="105"/>
      <c r="FP1128" s="105"/>
    </row>
    <row r="1129" spans="19:172" ht="6.95" customHeight="1" x14ac:dyDescent="0.15">
      <c r="S1129" s="89"/>
      <c r="T1129" s="89"/>
      <c r="U1129" s="89"/>
      <c r="V1129" s="89"/>
      <c r="W1129" s="89"/>
      <c r="X1129" s="89"/>
      <c r="Y1129" s="89"/>
      <c r="Z1129" s="89"/>
      <c r="AA1129" s="89"/>
      <c r="AB1129" s="89"/>
      <c r="AC1129" s="89"/>
      <c r="AD1129" s="89"/>
      <c r="AE1129" s="89"/>
      <c r="AF1129" s="89"/>
      <c r="AG1129" s="89"/>
      <c r="AH1129" s="89"/>
      <c r="AI1129" s="89"/>
      <c r="AJ1129" s="89"/>
      <c r="AK1129" s="89"/>
      <c r="AL1129" s="89"/>
      <c r="AM1129" s="89"/>
      <c r="AN1129" s="89"/>
      <c r="AO1129" s="89"/>
      <c r="AP1129" s="89"/>
      <c r="AQ1129" s="89"/>
      <c r="AR1129" s="89"/>
      <c r="AS1129" s="89"/>
      <c r="AT1129" s="89"/>
      <c r="AU1129" s="89"/>
      <c r="AV1129" s="89"/>
      <c r="AW1129" s="89"/>
      <c r="AX1129" s="93"/>
      <c r="AY1129" s="93"/>
      <c r="AZ1129" s="93"/>
      <c r="BA1129" s="93"/>
      <c r="BB1129" s="93"/>
      <c r="BC1129" s="93"/>
      <c r="BD1129" s="93"/>
      <c r="BE1129" s="93"/>
      <c r="BF1129" s="93"/>
      <c r="BG1129" s="93"/>
      <c r="BH1129" s="93"/>
      <c r="BI1129" s="93"/>
      <c r="BJ1129" s="93"/>
      <c r="BK1129" s="93"/>
      <c r="BL1129" s="93"/>
      <c r="BM1129" s="93"/>
      <c r="BN1129" s="93"/>
      <c r="BO1129" s="93"/>
      <c r="BP1129" s="93"/>
      <c r="BQ1129" s="93"/>
      <c r="BR1129" s="93"/>
      <c r="BS1129" s="93"/>
      <c r="BT1129" s="93"/>
      <c r="BU1129" s="93"/>
      <c r="BV1129" s="93"/>
      <c r="BW1129" s="93"/>
      <c r="BX1129" s="93"/>
      <c r="BY1129" s="93"/>
      <c r="BZ1129" s="93"/>
      <c r="CA1129" s="93"/>
      <c r="CB1129" s="93"/>
      <c r="CC1129" s="93"/>
      <c r="CD1129" s="93"/>
      <c r="CE1129" s="93"/>
      <c r="CF1129" s="93"/>
      <c r="CG1129" s="93"/>
      <c r="CH1129" s="93"/>
      <c r="CI1129" s="93"/>
      <c r="CJ1129" s="93"/>
      <c r="CK1129" s="93"/>
      <c r="CL1129" s="93"/>
      <c r="CM1129" s="93"/>
      <c r="CN1129" s="93"/>
      <c r="CO1129" s="93"/>
      <c r="CP1129" s="93"/>
      <c r="CQ1129" s="93"/>
      <c r="CR1129" s="93"/>
      <c r="CS1129" s="93"/>
      <c r="CT1129" s="93"/>
      <c r="CU1129" s="93"/>
      <c r="CV1129" s="93"/>
      <c r="CW1129" s="93"/>
      <c r="CX1129" s="93"/>
      <c r="CY1129" s="93"/>
      <c r="CZ1129" s="93"/>
      <c r="DA1129" s="93"/>
      <c r="DB1129" s="93"/>
      <c r="DC1129" s="105"/>
      <c r="DD1129" s="105"/>
      <c r="DE1129" s="105"/>
      <c r="DF1129" s="105"/>
      <c r="DG1129" s="105"/>
      <c r="DH1129" s="105"/>
      <c r="DI1129" s="105"/>
      <c r="DJ1129" s="105"/>
      <c r="DK1129" s="105"/>
      <c r="DL1129" s="105"/>
      <c r="DM1129" s="105"/>
      <c r="DN1129" s="105"/>
      <c r="DO1129" s="105"/>
      <c r="DP1129" s="105"/>
      <c r="DQ1129" s="105"/>
      <c r="DR1129" s="105"/>
      <c r="DS1129" s="105"/>
      <c r="DT1129" s="105"/>
      <c r="DU1129" s="105"/>
      <c r="DV1129" s="105"/>
      <c r="DW1129" s="105"/>
      <c r="DX1129" s="105"/>
      <c r="DY1129" s="105"/>
      <c r="DZ1129" s="105"/>
      <c r="EA1129" s="105"/>
      <c r="EB1129" s="105"/>
      <c r="EC1129" s="105"/>
      <c r="ED1129" s="105"/>
      <c r="EE1129" s="105"/>
      <c r="EF1129" s="105"/>
      <c r="EG1129" s="105"/>
      <c r="EH1129" s="105"/>
      <c r="EI1129" s="105"/>
      <c r="EJ1129" s="105"/>
      <c r="EK1129" s="105"/>
      <c r="EL1129" s="105"/>
      <c r="EM1129" s="105"/>
      <c r="EN1129" s="105"/>
      <c r="EO1129" s="105"/>
      <c r="EP1129" s="105"/>
      <c r="EQ1129" s="105"/>
      <c r="ER1129" s="105"/>
      <c r="ES1129" s="105"/>
      <c r="ET1129" s="105"/>
      <c r="EU1129" s="105"/>
      <c r="EV1129" s="105"/>
      <c r="EW1129" s="105"/>
      <c r="EX1129" s="105"/>
      <c r="EY1129" s="105"/>
      <c r="EZ1129" s="105"/>
      <c r="FA1129" s="105"/>
      <c r="FB1129" s="105"/>
      <c r="FC1129" s="105"/>
      <c r="FD1129" s="105"/>
      <c r="FE1129" s="105"/>
      <c r="FF1129" s="105"/>
      <c r="FG1129" s="105"/>
      <c r="FH1129" s="105"/>
      <c r="FI1129" s="105"/>
      <c r="FJ1129" s="105"/>
      <c r="FK1129" s="105"/>
      <c r="FL1129" s="105"/>
      <c r="FM1129" s="105"/>
      <c r="FN1129" s="105"/>
      <c r="FO1129" s="105"/>
      <c r="FP1129" s="105"/>
    </row>
    <row r="1130" spans="19:172" ht="6.95" customHeight="1" x14ac:dyDescent="0.15">
      <c r="S1130" s="89"/>
      <c r="T1130" s="89"/>
      <c r="U1130" s="89"/>
      <c r="V1130" s="89"/>
      <c r="W1130" s="89"/>
      <c r="X1130" s="89"/>
      <c r="Y1130" s="89"/>
      <c r="Z1130" s="89"/>
      <c r="AA1130" s="89"/>
      <c r="AB1130" s="89"/>
      <c r="AC1130" s="89"/>
      <c r="AD1130" s="89"/>
      <c r="AE1130" s="89"/>
      <c r="AF1130" s="89"/>
      <c r="AG1130" s="89"/>
      <c r="AH1130" s="89"/>
      <c r="AI1130" s="89"/>
      <c r="AJ1130" s="89"/>
      <c r="AK1130" s="89"/>
      <c r="AL1130" s="89"/>
      <c r="AM1130" s="89"/>
      <c r="AN1130" s="89"/>
      <c r="AO1130" s="89"/>
      <c r="AP1130" s="89"/>
      <c r="AQ1130" s="89"/>
      <c r="AR1130" s="89"/>
      <c r="AS1130" s="89"/>
      <c r="AT1130" s="89"/>
      <c r="AU1130" s="89"/>
      <c r="AV1130" s="89"/>
      <c r="AW1130" s="89"/>
      <c r="AX1130" s="93"/>
      <c r="AY1130" s="93"/>
      <c r="AZ1130" s="93"/>
      <c r="BA1130" s="93"/>
      <c r="BB1130" s="93"/>
      <c r="BC1130" s="93"/>
      <c r="BD1130" s="93"/>
      <c r="BE1130" s="93"/>
      <c r="BF1130" s="93"/>
      <c r="BG1130" s="93"/>
      <c r="BH1130" s="93"/>
      <c r="BI1130" s="93"/>
      <c r="BJ1130" s="93"/>
      <c r="BK1130" s="93"/>
      <c r="BL1130" s="93"/>
      <c r="BM1130" s="93"/>
      <c r="BN1130" s="93"/>
      <c r="BO1130" s="93"/>
      <c r="BP1130" s="93"/>
      <c r="BQ1130" s="93"/>
      <c r="BR1130" s="93"/>
      <c r="BS1130" s="93"/>
      <c r="BT1130" s="93"/>
      <c r="BU1130" s="93"/>
      <c r="BV1130" s="93"/>
      <c r="BW1130" s="93"/>
      <c r="BX1130" s="93"/>
      <c r="BY1130" s="93"/>
      <c r="BZ1130" s="93"/>
      <c r="CA1130" s="93"/>
      <c r="CB1130" s="93"/>
      <c r="CC1130" s="93"/>
      <c r="CD1130" s="93"/>
      <c r="CE1130" s="93"/>
      <c r="CF1130" s="93"/>
      <c r="CG1130" s="93"/>
      <c r="CH1130" s="93"/>
      <c r="CI1130" s="93"/>
      <c r="CJ1130" s="93"/>
      <c r="CK1130" s="93"/>
      <c r="CL1130" s="93"/>
      <c r="CM1130" s="93"/>
      <c r="CN1130" s="93"/>
      <c r="CO1130" s="93"/>
      <c r="CP1130" s="93"/>
      <c r="CQ1130" s="93"/>
      <c r="CR1130" s="93"/>
      <c r="CS1130" s="93"/>
      <c r="CT1130" s="93"/>
      <c r="CU1130" s="93"/>
      <c r="CV1130" s="93"/>
      <c r="CW1130" s="93"/>
      <c r="CX1130" s="93"/>
      <c r="CY1130" s="93"/>
      <c r="CZ1130" s="93"/>
      <c r="DA1130" s="93"/>
      <c r="DB1130" s="93"/>
      <c r="DC1130" s="105"/>
      <c r="DD1130" s="105"/>
      <c r="DE1130" s="105"/>
      <c r="DF1130" s="105"/>
      <c r="DG1130" s="105"/>
      <c r="DH1130" s="105"/>
      <c r="DI1130" s="105"/>
      <c r="DJ1130" s="105"/>
      <c r="DK1130" s="105"/>
      <c r="DL1130" s="105"/>
      <c r="DM1130" s="105"/>
      <c r="DN1130" s="105"/>
      <c r="DO1130" s="105"/>
      <c r="DP1130" s="105"/>
      <c r="DQ1130" s="105"/>
      <c r="DR1130" s="105"/>
      <c r="DS1130" s="105"/>
      <c r="DT1130" s="105"/>
      <c r="DU1130" s="105"/>
      <c r="DV1130" s="105"/>
      <c r="DW1130" s="105"/>
      <c r="DX1130" s="105"/>
      <c r="DY1130" s="105"/>
      <c r="DZ1130" s="105"/>
      <c r="EA1130" s="105"/>
      <c r="EB1130" s="105"/>
      <c r="EC1130" s="105"/>
      <c r="ED1130" s="105"/>
      <c r="EE1130" s="105"/>
      <c r="EF1130" s="105"/>
      <c r="EG1130" s="105"/>
      <c r="EH1130" s="105"/>
      <c r="EI1130" s="105"/>
      <c r="EJ1130" s="105"/>
      <c r="EK1130" s="105"/>
      <c r="EL1130" s="105"/>
      <c r="EM1130" s="105"/>
      <c r="EN1130" s="105"/>
      <c r="EO1130" s="105"/>
      <c r="EP1130" s="105"/>
      <c r="EQ1130" s="105"/>
      <c r="ER1130" s="105"/>
      <c r="ES1130" s="105"/>
      <c r="ET1130" s="105"/>
      <c r="EU1130" s="105"/>
      <c r="EV1130" s="105"/>
      <c r="EW1130" s="105"/>
      <c r="EX1130" s="105"/>
      <c r="EY1130" s="105"/>
      <c r="EZ1130" s="105"/>
      <c r="FA1130" s="105"/>
      <c r="FB1130" s="105"/>
      <c r="FC1130" s="105"/>
      <c r="FD1130" s="105"/>
      <c r="FE1130" s="105"/>
      <c r="FF1130" s="105"/>
      <c r="FG1130" s="105"/>
      <c r="FH1130" s="105"/>
      <c r="FI1130" s="105"/>
      <c r="FJ1130" s="105"/>
      <c r="FK1130" s="105"/>
      <c r="FL1130" s="105"/>
      <c r="FM1130" s="105"/>
      <c r="FN1130" s="105"/>
      <c r="FO1130" s="105"/>
      <c r="FP1130" s="105"/>
    </row>
    <row r="1131" spans="19:172" ht="6.95" customHeight="1" x14ac:dyDescent="0.15">
      <c r="S1131" s="89"/>
      <c r="T1131" s="89"/>
      <c r="U1131" s="89"/>
      <c r="V1131" s="89"/>
      <c r="W1131" s="89"/>
      <c r="X1131" s="89"/>
      <c r="Y1131" s="89"/>
      <c r="Z1131" s="89"/>
      <c r="AA1131" s="89"/>
      <c r="AB1131" s="89"/>
      <c r="AC1131" s="89"/>
      <c r="AD1131" s="89"/>
      <c r="AE1131" s="89"/>
      <c r="AF1131" s="89"/>
      <c r="AG1131" s="89"/>
      <c r="AH1131" s="89"/>
      <c r="AI1131" s="89"/>
      <c r="AJ1131" s="89"/>
      <c r="AK1131" s="89"/>
      <c r="AL1131" s="89"/>
      <c r="AM1131" s="89"/>
      <c r="AN1131" s="89"/>
      <c r="AO1131" s="89"/>
      <c r="AP1131" s="89"/>
      <c r="AQ1131" s="89"/>
      <c r="AR1131" s="89"/>
      <c r="AS1131" s="89"/>
      <c r="AT1131" s="89"/>
      <c r="AU1131" s="89"/>
      <c r="AV1131" s="89"/>
      <c r="AW1131" s="89"/>
      <c r="AX1131" s="93"/>
      <c r="AY1131" s="93"/>
      <c r="AZ1131" s="93"/>
      <c r="BA1131" s="93"/>
      <c r="BB1131" s="93"/>
      <c r="BC1131" s="93"/>
      <c r="BD1131" s="93"/>
      <c r="BE1131" s="93"/>
      <c r="BF1131" s="93"/>
      <c r="BG1131" s="93"/>
      <c r="BH1131" s="93"/>
      <c r="BI1131" s="93"/>
      <c r="BJ1131" s="93"/>
      <c r="BK1131" s="93"/>
      <c r="BL1131" s="93"/>
      <c r="BM1131" s="93"/>
      <c r="BN1131" s="93"/>
      <c r="BO1131" s="93"/>
      <c r="BP1131" s="93"/>
      <c r="BQ1131" s="93"/>
      <c r="BR1131" s="93"/>
      <c r="BS1131" s="93"/>
      <c r="BT1131" s="93"/>
      <c r="BU1131" s="93"/>
      <c r="BV1131" s="93"/>
      <c r="BW1131" s="93"/>
      <c r="BX1131" s="93"/>
      <c r="BY1131" s="93"/>
      <c r="BZ1131" s="93"/>
      <c r="CA1131" s="93"/>
      <c r="CB1131" s="93"/>
      <c r="CC1131" s="93"/>
      <c r="CD1131" s="93"/>
      <c r="CE1131" s="93"/>
      <c r="CF1131" s="93"/>
      <c r="CG1131" s="93"/>
      <c r="CH1131" s="93"/>
      <c r="CI1131" s="93"/>
      <c r="CJ1131" s="93"/>
      <c r="CK1131" s="93"/>
      <c r="CL1131" s="93"/>
      <c r="CM1131" s="93"/>
      <c r="CN1131" s="93"/>
      <c r="CO1131" s="93"/>
      <c r="CP1131" s="93"/>
      <c r="CQ1131" s="93"/>
      <c r="CR1131" s="93"/>
      <c r="CS1131" s="93"/>
      <c r="CT1131" s="93"/>
      <c r="CU1131" s="93"/>
      <c r="CV1131" s="93"/>
      <c r="CW1131" s="93"/>
      <c r="CX1131" s="93"/>
      <c r="CY1131" s="93"/>
      <c r="CZ1131" s="93"/>
      <c r="DA1131" s="93"/>
      <c r="DB1131" s="93"/>
      <c r="DC1131" s="105"/>
      <c r="DD1131" s="105"/>
      <c r="DE1131" s="105"/>
      <c r="DF1131" s="105"/>
      <c r="DG1131" s="105"/>
      <c r="DH1131" s="105"/>
      <c r="DI1131" s="105"/>
      <c r="DJ1131" s="105"/>
      <c r="DK1131" s="105"/>
      <c r="DL1131" s="105"/>
      <c r="DM1131" s="105"/>
      <c r="DN1131" s="105"/>
      <c r="DO1131" s="105"/>
      <c r="DP1131" s="105"/>
      <c r="DQ1131" s="105"/>
      <c r="DR1131" s="105"/>
      <c r="DS1131" s="105"/>
      <c r="DT1131" s="105"/>
      <c r="DU1131" s="105"/>
      <c r="DV1131" s="105"/>
      <c r="DW1131" s="105"/>
      <c r="DX1131" s="105"/>
      <c r="DY1131" s="105"/>
      <c r="DZ1131" s="105"/>
      <c r="EA1131" s="105"/>
      <c r="EB1131" s="105"/>
      <c r="EC1131" s="105"/>
      <c r="ED1131" s="105"/>
      <c r="EE1131" s="105"/>
      <c r="EF1131" s="105"/>
      <c r="EG1131" s="105"/>
      <c r="EH1131" s="105"/>
      <c r="EI1131" s="105"/>
      <c r="EJ1131" s="105"/>
      <c r="EK1131" s="105"/>
      <c r="EL1131" s="105"/>
      <c r="EM1131" s="105"/>
      <c r="EN1131" s="105"/>
      <c r="EO1131" s="105"/>
      <c r="EP1131" s="105"/>
      <c r="EQ1131" s="105"/>
      <c r="ER1131" s="105"/>
      <c r="ES1131" s="105"/>
      <c r="ET1131" s="105"/>
      <c r="EU1131" s="105"/>
      <c r="EV1131" s="105"/>
      <c r="EW1131" s="105"/>
      <c r="EX1131" s="105"/>
      <c r="EY1131" s="105"/>
      <c r="EZ1131" s="105"/>
      <c r="FA1131" s="105"/>
      <c r="FB1131" s="105"/>
      <c r="FC1131" s="105"/>
      <c r="FD1131" s="105"/>
      <c r="FE1131" s="105"/>
      <c r="FF1131" s="105"/>
      <c r="FG1131" s="105"/>
      <c r="FH1131" s="105"/>
      <c r="FI1131" s="105"/>
      <c r="FJ1131" s="105"/>
      <c r="FK1131" s="105"/>
      <c r="FL1131" s="105"/>
      <c r="FM1131" s="105"/>
      <c r="FN1131" s="105"/>
      <c r="FO1131" s="105"/>
      <c r="FP1131" s="105"/>
    </row>
    <row r="1132" spans="19:172" ht="6.95" customHeight="1" x14ac:dyDescent="0.15">
      <c r="S1132" s="89"/>
      <c r="T1132" s="89"/>
      <c r="U1132" s="89"/>
      <c r="V1132" s="89"/>
      <c r="W1132" s="89"/>
      <c r="X1132" s="89"/>
      <c r="Y1132" s="89"/>
      <c r="Z1132" s="89"/>
      <c r="AA1132" s="89"/>
      <c r="AB1132" s="89"/>
      <c r="AC1132" s="89"/>
      <c r="AD1132" s="89"/>
      <c r="AE1132" s="89"/>
      <c r="AF1132" s="89"/>
      <c r="AG1132" s="89"/>
      <c r="AH1132" s="89"/>
      <c r="AI1132" s="89"/>
      <c r="AJ1132" s="89"/>
      <c r="AK1132" s="89"/>
      <c r="AL1132" s="89"/>
      <c r="AM1132" s="89"/>
      <c r="AN1132" s="89"/>
      <c r="AO1132" s="89"/>
      <c r="AP1132" s="89"/>
      <c r="AQ1132" s="89"/>
      <c r="AR1132" s="89"/>
      <c r="AS1132" s="89"/>
      <c r="AT1132" s="89"/>
      <c r="AU1132" s="89"/>
      <c r="AV1132" s="89"/>
      <c r="AW1132" s="89"/>
      <c r="AX1132" s="93"/>
      <c r="AY1132" s="93"/>
      <c r="AZ1132" s="93"/>
      <c r="BA1132" s="93"/>
      <c r="BB1132" s="93"/>
      <c r="BC1132" s="93"/>
      <c r="BD1132" s="93"/>
      <c r="BE1132" s="93"/>
      <c r="BF1132" s="93"/>
      <c r="BG1132" s="93"/>
      <c r="BH1132" s="93"/>
      <c r="BI1132" s="93"/>
      <c r="BJ1132" s="93"/>
      <c r="BK1132" s="93"/>
      <c r="BL1132" s="93"/>
      <c r="BM1132" s="93"/>
      <c r="BN1132" s="93"/>
      <c r="BO1132" s="93"/>
      <c r="BP1132" s="93"/>
      <c r="BQ1132" s="93"/>
      <c r="BR1132" s="93"/>
      <c r="BS1132" s="93"/>
      <c r="BT1132" s="93"/>
      <c r="BU1132" s="93"/>
      <c r="BV1132" s="93"/>
      <c r="BW1132" s="93"/>
      <c r="BX1132" s="93"/>
      <c r="BY1132" s="93"/>
      <c r="BZ1132" s="93"/>
      <c r="CA1132" s="93"/>
      <c r="CB1132" s="93"/>
      <c r="CC1132" s="93"/>
      <c r="CD1132" s="93"/>
      <c r="CE1132" s="93"/>
      <c r="CF1132" s="93"/>
      <c r="CG1132" s="93"/>
      <c r="CH1132" s="93"/>
      <c r="CI1132" s="93"/>
      <c r="CJ1132" s="93"/>
      <c r="CK1132" s="93"/>
      <c r="CL1132" s="93"/>
      <c r="CM1132" s="93"/>
      <c r="CN1132" s="93"/>
      <c r="CO1132" s="93"/>
      <c r="CP1132" s="93"/>
      <c r="CQ1132" s="93"/>
      <c r="CR1132" s="93"/>
      <c r="CS1132" s="93"/>
      <c r="CT1132" s="93"/>
      <c r="CU1132" s="93"/>
      <c r="CV1132" s="93"/>
      <c r="CW1132" s="93"/>
      <c r="CX1132" s="93"/>
      <c r="CY1132" s="93"/>
      <c r="CZ1132" s="93"/>
      <c r="DA1132" s="93"/>
      <c r="DB1132" s="93"/>
      <c r="DC1132" s="105"/>
      <c r="DD1132" s="105"/>
      <c r="DE1132" s="105"/>
      <c r="DF1132" s="105"/>
      <c r="DG1132" s="105"/>
      <c r="DH1132" s="105"/>
      <c r="DI1132" s="105"/>
      <c r="DJ1132" s="105"/>
      <c r="DK1132" s="105"/>
      <c r="DL1132" s="105"/>
      <c r="DM1132" s="105"/>
      <c r="DN1132" s="105"/>
      <c r="DO1132" s="105"/>
      <c r="DP1132" s="105"/>
      <c r="DQ1132" s="105"/>
      <c r="DR1132" s="105"/>
      <c r="DS1132" s="105"/>
      <c r="DT1132" s="105"/>
      <c r="DU1132" s="105"/>
      <c r="DV1132" s="105"/>
      <c r="DW1132" s="105"/>
      <c r="DX1132" s="105"/>
      <c r="DY1132" s="105"/>
      <c r="DZ1132" s="105"/>
      <c r="EA1132" s="105"/>
      <c r="EB1132" s="105"/>
      <c r="EC1132" s="105"/>
      <c r="ED1132" s="105"/>
      <c r="EE1132" s="105"/>
      <c r="EF1132" s="105"/>
      <c r="EG1132" s="105"/>
      <c r="EH1132" s="105"/>
      <c r="EI1132" s="105"/>
      <c r="EJ1132" s="105"/>
      <c r="EK1132" s="105"/>
      <c r="EL1132" s="105"/>
      <c r="EM1132" s="105"/>
      <c r="EN1132" s="105"/>
      <c r="EO1132" s="105"/>
      <c r="EP1132" s="105"/>
      <c r="EQ1132" s="105"/>
      <c r="ER1132" s="105"/>
      <c r="ES1132" s="105"/>
      <c r="ET1132" s="105"/>
      <c r="EU1132" s="105"/>
      <c r="EV1132" s="105"/>
      <c r="EW1132" s="105"/>
      <c r="EX1132" s="105"/>
      <c r="EY1132" s="105"/>
      <c r="EZ1132" s="105"/>
      <c r="FA1132" s="105"/>
      <c r="FB1132" s="105"/>
      <c r="FC1132" s="105"/>
      <c r="FD1132" s="105"/>
      <c r="FE1132" s="105"/>
      <c r="FF1132" s="105"/>
      <c r="FG1132" s="105"/>
      <c r="FH1132" s="105"/>
      <c r="FI1132" s="105"/>
      <c r="FJ1132" s="105"/>
      <c r="FK1132" s="105"/>
      <c r="FL1132" s="105"/>
      <c r="FM1132" s="105"/>
      <c r="FN1132" s="105"/>
      <c r="FO1132" s="105"/>
      <c r="FP1132" s="105"/>
    </row>
    <row r="1133" spans="19:172" ht="6.95" customHeight="1" x14ac:dyDescent="0.15">
      <c r="S1133" s="89"/>
      <c r="T1133" s="89"/>
      <c r="U1133" s="89"/>
      <c r="V1133" s="89"/>
      <c r="W1133" s="89"/>
      <c r="X1133" s="89"/>
      <c r="Y1133" s="89"/>
      <c r="Z1133" s="89"/>
      <c r="AA1133" s="89"/>
      <c r="AB1133" s="89"/>
      <c r="AC1133" s="89"/>
      <c r="AD1133" s="89"/>
      <c r="AE1133" s="89"/>
      <c r="AF1133" s="89"/>
      <c r="AG1133" s="89"/>
      <c r="AH1133" s="89"/>
      <c r="AI1133" s="89"/>
      <c r="AJ1133" s="89"/>
      <c r="AK1133" s="89"/>
      <c r="AL1133" s="89"/>
      <c r="AM1133" s="89"/>
      <c r="AN1133" s="89"/>
      <c r="AO1133" s="89"/>
      <c r="AP1133" s="89"/>
      <c r="AQ1133" s="89"/>
      <c r="AR1133" s="89"/>
      <c r="AS1133" s="89"/>
      <c r="AT1133" s="89"/>
      <c r="AU1133" s="89"/>
      <c r="AV1133" s="89"/>
      <c r="AW1133" s="89"/>
      <c r="AX1133" s="93"/>
      <c r="AY1133" s="93"/>
      <c r="AZ1133" s="93"/>
      <c r="BA1133" s="93"/>
      <c r="BB1133" s="93"/>
      <c r="BC1133" s="93"/>
      <c r="BD1133" s="93"/>
      <c r="BE1133" s="93"/>
      <c r="BF1133" s="93"/>
      <c r="BG1133" s="93"/>
      <c r="BH1133" s="93"/>
      <c r="BI1133" s="93"/>
      <c r="BJ1133" s="93"/>
      <c r="BK1133" s="93"/>
      <c r="BL1133" s="93"/>
      <c r="BM1133" s="93"/>
      <c r="BN1133" s="93"/>
      <c r="BO1133" s="93"/>
      <c r="BP1133" s="93"/>
      <c r="BQ1133" s="93"/>
      <c r="BR1133" s="93"/>
      <c r="BS1133" s="93"/>
      <c r="BT1133" s="93"/>
      <c r="BU1133" s="93"/>
      <c r="BV1133" s="93"/>
      <c r="BW1133" s="93"/>
      <c r="BX1133" s="93"/>
      <c r="BY1133" s="93"/>
      <c r="BZ1133" s="93"/>
      <c r="CA1133" s="93"/>
      <c r="CB1133" s="93"/>
      <c r="CC1133" s="93"/>
      <c r="CD1133" s="93"/>
      <c r="CE1133" s="93"/>
      <c r="CF1133" s="93"/>
      <c r="CG1133" s="93"/>
      <c r="CH1133" s="93"/>
      <c r="CI1133" s="93"/>
      <c r="CJ1133" s="93"/>
      <c r="CK1133" s="93"/>
      <c r="CL1133" s="93"/>
      <c r="CM1133" s="93"/>
      <c r="CN1133" s="93"/>
      <c r="CO1133" s="93"/>
      <c r="CP1133" s="93"/>
      <c r="CQ1133" s="93"/>
      <c r="CR1133" s="93"/>
      <c r="CS1133" s="93"/>
      <c r="CT1133" s="93"/>
      <c r="CU1133" s="93"/>
      <c r="CV1133" s="93"/>
      <c r="CW1133" s="93"/>
      <c r="CX1133" s="93"/>
      <c r="CY1133" s="93"/>
      <c r="CZ1133" s="93"/>
      <c r="DA1133" s="93"/>
      <c r="DB1133" s="93"/>
      <c r="DC1133" s="105"/>
      <c r="DD1133" s="105"/>
      <c r="DE1133" s="105"/>
      <c r="DF1133" s="105"/>
      <c r="DG1133" s="105"/>
      <c r="DH1133" s="105"/>
      <c r="DI1133" s="105"/>
      <c r="DJ1133" s="105"/>
      <c r="DK1133" s="105"/>
      <c r="DL1133" s="105"/>
      <c r="DM1133" s="105"/>
      <c r="DN1133" s="105"/>
      <c r="DO1133" s="105"/>
      <c r="DP1133" s="105"/>
      <c r="DQ1133" s="105"/>
      <c r="DR1133" s="105"/>
      <c r="DS1133" s="105"/>
      <c r="DT1133" s="105"/>
      <c r="DU1133" s="105"/>
      <c r="DV1133" s="105"/>
      <c r="DW1133" s="105"/>
      <c r="DX1133" s="105"/>
      <c r="DY1133" s="105"/>
      <c r="DZ1133" s="105"/>
      <c r="EA1133" s="105"/>
      <c r="EB1133" s="105"/>
      <c r="EC1133" s="105"/>
      <c r="ED1133" s="105"/>
      <c r="EE1133" s="105"/>
      <c r="EF1133" s="105"/>
      <c r="EG1133" s="105"/>
      <c r="EH1133" s="105"/>
      <c r="EI1133" s="105"/>
      <c r="EJ1133" s="105"/>
      <c r="EK1133" s="105"/>
      <c r="EL1133" s="105"/>
      <c r="EM1133" s="105"/>
      <c r="EN1133" s="105"/>
      <c r="EO1133" s="105"/>
      <c r="EP1133" s="105"/>
      <c r="EQ1133" s="105"/>
      <c r="ER1133" s="105"/>
      <c r="ES1133" s="105"/>
      <c r="ET1133" s="105"/>
      <c r="EU1133" s="105"/>
      <c r="EV1133" s="105"/>
      <c r="EW1133" s="105"/>
      <c r="EX1133" s="105"/>
      <c r="EY1133" s="105"/>
      <c r="EZ1133" s="105"/>
      <c r="FA1133" s="105"/>
      <c r="FB1133" s="105"/>
      <c r="FC1133" s="105"/>
      <c r="FD1133" s="105"/>
      <c r="FE1133" s="105"/>
      <c r="FF1133" s="105"/>
      <c r="FG1133" s="105"/>
      <c r="FH1133" s="105"/>
      <c r="FI1133" s="105"/>
      <c r="FJ1133" s="105"/>
      <c r="FK1133" s="105"/>
      <c r="FL1133" s="105"/>
      <c r="FM1133" s="105"/>
      <c r="FN1133" s="105"/>
      <c r="FO1133" s="105"/>
      <c r="FP1133" s="105"/>
    </row>
    <row r="1134" spans="19:172" ht="6.95" customHeight="1" x14ac:dyDescent="0.15">
      <c r="S1134" s="89"/>
      <c r="T1134" s="89"/>
      <c r="U1134" s="89"/>
      <c r="V1134" s="89"/>
      <c r="W1134" s="89"/>
      <c r="X1134" s="89"/>
      <c r="Y1134" s="89"/>
      <c r="Z1134" s="89"/>
      <c r="AA1134" s="89"/>
      <c r="AB1134" s="89"/>
      <c r="AC1134" s="89"/>
      <c r="AD1134" s="89"/>
      <c r="AE1134" s="89"/>
      <c r="AF1134" s="89"/>
      <c r="AG1134" s="89"/>
      <c r="AH1134" s="89"/>
      <c r="AI1134" s="89"/>
      <c r="AJ1134" s="89"/>
      <c r="AK1134" s="89"/>
      <c r="AL1134" s="89"/>
      <c r="AM1134" s="89"/>
      <c r="AN1134" s="89"/>
      <c r="AO1134" s="89"/>
      <c r="AP1134" s="89"/>
      <c r="AQ1134" s="89"/>
      <c r="AR1134" s="89"/>
      <c r="AS1134" s="89"/>
      <c r="AT1134" s="89"/>
      <c r="AU1134" s="89"/>
      <c r="AV1134" s="89"/>
      <c r="AW1134" s="89"/>
      <c r="AX1134" s="93"/>
      <c r="AY1134" s="93"/>
      <c r="AZ1134" s="93"/>
      <c r="BA1134" s="93"/>
      <c r="BB1134" s="93"/>
      <c r="BC1134" s="93"/>
      <c r="BD1134" s="93"/>
      <c r="BE1134" s="93"/>
      <c r="BF1134" s="93"/>
      <c r="BG1134" s="93"/>
      <c r="BH1134" s="93"/>
      <c r="BI1134" s="93"/>
      <c r="BJ1134" s="93"/>
      <c r="BK1134" s="93"/>
      <c r="BL1134" s="93"/>
      <c r="BM1134" s="93"/>
      <c r="BN1134" s="93"/>
      <c r="BO1134" s="93"/>
      <c r="BP1134" s="93"/>
      <c r="BQ1134" s="93"/>
      <c r="BR1134" s="93"/>
      <c r="BS1134" s="93"/>
      <c r="BT1134" s="93"/>
      <c r="BU1134" s="93"/>
      <c r="BV1134" s="93"/>
      <c r="BW1134" s="93"/>
      <c r="BX1134" s="93"/>
      <c r="BY1134" s="93"/>
      <c r="BZ1134" s="93"/>
      <c r="CA1134" s="93"/>
      <c r="CB1134" s="93"/>
      <c r="CC1134" s="93"/>
      <c r="CD1134" s="93"/>
      <c r="CE1134" s="93"/>
      <c r="CF1134" s="93"/>
      <c r="CG1134" s="93"/>
      <c r="CH1134" s="93"/>
      <c r="CI1134" s="93"/>
      <c r="CJ1134" s="93"/>
      <c r="CK1134" s="93"/>
      <c r="CL1134" s="93"/>
      <c r="CM1134" s="93"/>
      <c r="CN1134" s="93"/>
      <c r="CO1134" s="93"/>
      <c r="CP1134" s="93"/>
      <c r="CQ1134" s="93"/>
      <c r="CR1134" s="93"/>
      <c r="CS1134" s="93"/>
      <c r="CT1134" s="93"/>
      <c r="CU1134" s="93"/>
      <c r="CV1134" s="93"/>
      <c r="CW1134" s="93"/>
      <c r="CX1134" s="93"/>
      <c r="CY1134" s="93"/>
      <c r="CZ1134" s="93"/>
      <c r="DA1134" s="93"/>
      <c r="DB1134" s="93"/>
      <c r="DC1134" s="105"/>
      <c r="DD1134" s="105"/>
      <c r="DE1134" s="105"/>
      <c r="DF1134" s="105"/>
      <c r="DG1134" s="105"/>
      <c r="DH1134" s="105"/>
      <c r="DI1134" s="105"/>
      <c r="DJ1134" s="105"/>
      <c r="DK1134" s="105"/>
      <c r="DL1134" s="105"/>
      <c r="DM1134" s="105"/>
      <c r="DN1134" s="105"/>
      <c r="DO1134" s="105"/>
      <c r="DP1134" s="105"/>
      <c r="DQ1134" s="105"/>
      <c r="DR1134" s="105"/>
      <c r="DS1134" s="105"/>
      <c r="DT1134" s="105"/>
      <c r="DU1134" s="105"/>
      <c r="DV1134" s="105"/>
      <c r="DW1134" s="105"/>
      <c r="DX1134" s="105"/>
      <c r="DY1134" s="105"/>
      <c r="DZ1134" s="105"/>
      <c r="EA1134" s="105"/>
      <c r="EB1134" s="105"/>
      <c r="EC1134" s="105"/>
      <c r="ED1134" s="105"/>
      <c r="EE1134" s="105"/>
      <c r="EF1134" s="105"/>
      <c r="EG1134" s="105"/>
      <c r="EH1134" s="105"/>
      <c r="EI1134" s="105"/>
      <c r="EJ1134" s="105"/>
      <c r="EK1134" s="105"/>
      <c r="EL1134" s="105"/>
      <c r="EM1134" s="105"/>
      <c r="EN1134" s="105"/>
      <c r="EO1134" s="105"/>
      <c r="EP1134" s="105"/>
      <c r="EQ1134" s="105"/>
      <c r="ER1134" s="105"/>
      <c r="ES1134" s="105"/>
      <c r="ET1134" s="105"/>
      <c r="EU1134" s="105"/>
      <c r="EV1134" s="105"/>
      <c r="EW1134" s="105"/>
      <c r="EX1134" s="105"/>
      <c r="EY1134" s="105"/>
      <c r="EZ1134" s="105"/>
      <c r="FA1134" s="105"/>
      <c r="FB1134" s="105"/>
      <c r="FC1134" s="105"/>
      <c r="FD1134" s="105"/>
      <c r="FE1134" s="105"/>
      <c r="FF1134" s="105"/>
      <c r="FG1134" s="105"/>
      <c r="FH1134" s="105"/>
      <c r="FI1134" s="105"/>
      <c r="FJ1134" s="105"/>
      <c r="FK1134" s="105"/>
      <c r="FL1134" s="105"/>
      <c r="FM1134" s="105"/>
      <c r="FN1134" s="105"/>
      <c r="FO1134" s="105"/>
      <c r="FP1134" s="105"/>
    </row>
    <row r="1135" spans="19:172" ht="6.95" customHeight="1" x14ac:dyDescent="0.15">
      <c r="S1135" s="89"/>
      <c r="T1135" s="89"/>
      <c r="U1135" s="89"/>
      <c r="V1135" s="89"/>
      <c r="W1135" s="89"/>
      <c r="X1135" s="89"/>
      <c r="Y1135" s="89"/>
      <c r="Z1135" s="89"/>
      <c r="AA1135" s="89"/>
      <c r="AB1135" s="89"/>
      <c r="AC1135" s="89"/>
      <c r="AD1135" s="89"/>
      <c r="AE1135" s="89"/>
      <c r="AF1135" s="89"/>
      <c r="AG1135" s="89"/>
      <c r="AH1135" s="89"/>
      <c r="AI1135" s="89"/>
      <c r="AJ1135" s="89"/>
      <c r="AK1135" s="89"/>
      <c r="AL1135" s="89"/>
      <c r="AM1135" s="89"/>
      <c r="AN1135" s="89"/>
      <c r="AO1135" s="89"/>
      <c r="AP1135" s="89"/>
      <c r="AQ1135" s="89"/>
      <c r="AR1135" s="89"/>
      <c r="AS1135" s="89"/>
      <c r="AT1135" s="89"/>
      <c r="AU1135" s="89"/>
      <c r="AV1135" s="89"/>
      <c r="AW1135" s="89"/>
      <c r="AX1135" s="93"/>
      <c r="AY1135" s="93"/>
      <c r="AZ1135" s="93"/>
      <c r="BA1135" s="93"/>
      <c r="BB1135" s="93"/>
      <c r="BC1135" s="93"/>
      <c r="BD1135" s="93"/>
      <c r="BE1135" s="93"/>
      <c r="BF1135" s="93"/>
      <c r="BG1135" s="93"/>
      <c r="BH1135" s="93"/>
      <c r="BI1135" s="93"/>
      <c r="BJ1135" s="93"/>
      <c r="BK1135" s="93"/>
      <c r="BL1135" s="93"/>
      <c r="BM1135" s="93"/>
      <c r="BN1135" s="93"/>
      <c r="BO1135" s="93"/>
      <c r="BP1135" s="93"/>
      <c r="BQ1135" s="93"/>
      <c r="BR1135" s="93"/>
      <c r="BS1135" s="93"/>
      <c r="BT1135" s="93"/>
      <c r="BU1135" s="93"/>
      <c r="BV1135" s="93"/>
      <c r="BW1135" s="93"/>
      <c r="BX1135" s="93"/>
      <c r="BY1135" s="93"/>
      <c r="BZ1135" s="93"/>
      <c r="CA1135" s="93"/>
      <c r="CB1135" s="93"/>
      <c r="CC1135" s="93"/>
      <c r="CD1135" s="93"/>
      <c r="CE1135" s="93"/>
      <c r="CF1135" s="93"/>
      <c r="CG1135" s="93"/>
      <c r="CH1135" s="93"/>
      <c r="CI1135" s="93"/>
      <c r="CJ1135" s="93"/>
      <c r="CK1135" s="93"/>
      <c r="CL1135" s="93"/>
      <c r="CM1135" s="93"/>
      <c r="CN1135" s="93"/>
      <c r="CO1135" s="93"/>
      <c r="CP1135" s="93"/>
      <c r="CQ1135" s="93"/>
      <c r="CR1135" s="93"/>
      <c r="CS1135" s="93"/>
      <c r="CT1135" s="93"/>
      <c r="CU1135" s="93"/>
      <c r="CV1135" s="93"/>
      <c r="CW1135" s="93"/>
      <c r="CX1135" s="93"/>
      <c r="CY1135" s="93"/>
      <c r="CZ1135" s="93"/>
      <c r="DA1135" s="93"/>
      <c r="DB1135" s="93"/>
      <c r="DC1135" s="93"/>
    </row>
    <row r="1136" spans="19:172" ht="6.95" customHeight="1" x14ac:dyDescent="0.15">
      <c r="AD1136" s="93"/>
      <c r="AE1136" s="93"/>
      <c r="AF1136" s="93"/>
      <c r="AG1136" s="93"/>
      <c r="AH1136" s="93"/>
      <c r="AI1136" s="93"/>
      <c r="AJ1136" s="93"/>
      <c r="AK1136" s="93"/>
      <c r="AL1136" s="93"/>
      <c r="AM1136" s="93"/>
      <c r="AN1136" s="93"/>
      <c r="AO1136" s="93"/>
      <c r="AP1136" s="93"/>
      <c r="AQ1136" s="93"/>
      <c r="AR1136" s="93"/>
      <c r="AS1136" s="93"/>
      <c r="AT1136" s="93"/>
      <c r="AU1136" s="93"/>
      <c r="AV1136" s="93"/>
      <c r="AW1136" s="93"/>
      <c r="AX1136" s="93"/>
      <c r="AY1136" s="93"/>
      <c r="AZ1136" s="93"/>
      <c r="BA1136" s="93"/>
      <c r="BB1136" s="93"/>
      <c r="BC1136" s="93"/>
      <c r="BD1136" s="93"/>
      <c r="BE1136" s="93"/>
      <c r="BF1136" s="93"/>
      <c r="BG1136" s="93"/>
      <c r="BH1136" s="93"/>
      <c r="BI1136" s="93"/>
      <c r="BJ1136" s="93"/>
      <c r="BK1136" s="93"/>
      <c r="BL1136" s="93"/>
      <c r="BM1136" s="93"/>
      <c r="BN1136" s="93"/>
      <c r="BO1136" s="93"/>
      <c r="BP1136" s="93"/>
      <c r="BQ1136" s="93"/>
      <c r="BR1136" s="93"/>
      <c r="BS1136" s="93"/>
      <c r="BT1136" s="93"/>
      <c r="BU1136" s="93"/>
      <c r="BV1136" s="93"/>
      <c r="BW1136" s="93"/>
      <c r="BX1136" s="93"/>
      <c r="BY1136" s="93"/>
      <c r="BZ1136" s="93"/>
      <c r="CA1136" s="93"/>
      <c r="CB1136" s="93"/>
      <c r="CC1136" s="93"/>
      <c r="CD1136" s="93"/>
      <c r="CE1136" s="93"/>
      <c r="CF1136" s="93"/>
      <c r="CG1136" s="93"/>
      <c r="CH1136" s="93"/>
      <c r="CI1136" s="93"/>
      <c r="CJ1136" s="93"/>
      <c r="CK1136" s="93"/>
      <c r="CL1136" s="93"/>
      <c r="CM1136" s="93"/>
      <c r="CN1136" s="93"/>
      <c r="CO1136" s="93"/>
      <c r="CP1136" s="93"/>
      <c r="CQ1136" s="93"/>
      <c r="CR1136" s="93"/>
      <c r="CS1136" s="93"/>
      <c r="CT1136" s="93"/>
      <c r="CU1136" s="93"/>
      <c r="CV1136" s="93"/>
      <c r="CW1136" s="93"/>
      <c r="CX1136" s="93"/>
      <c r="CY1136" s="93"/>
      <c r="CZ1136" s="93"/>
      <c r="DA1136" s="93"/>
      <c r="DB1136" s="93"/>
      <c r="DC1136" s="93"/>
    </row>
    <row r="1137" spans="30:107" ht="6.95" customHeight="1" x14ac:dyDescent="0.15">
      <c r="AD1137" s="93"/>
      <c r="AE1137" s="93"/>
      <c r="AF1137" s="93"/>
      <c r="AG1137" s="93"/>
      <c r="AH1137" s="93"/>
      <c r="AI1137" s="93"/>
      <c r="AJ1137" s="93"/>
      <c r="AK1137" s="93"/>
      <c r="AL1137" s="93"/>
      <c r="AM1137" s="93"/>
      <c r="AN1137" s="93"/>
      <c r="AO1137" s="93"/>
      <c r="AP1137" s="93"/>
      <c r="AQ1137" s="93"/>
      <c r="AR1137" s="93"/>
      <c r="AS1137" s="93"/>
      <c r="AT1137" s="93"/>
      <c r="AU1137" s="93"/>
      <c r="AV1137" s="93"/>
      <c r="AW1137" s="93"/>
      <c r="AX1137" s="93"/>
      <c r="AY1137" s="93"/>
      <c r="AZ1137" s="93"/>
      <c r="BA1137" s="93"/>
      <c r="BB1137" s="93"/>
      <c r="BC1137" s="93"/>
      <c r="BD1137" s="93"/>
      <c r="BE1137" s="93"/>
      <c r="BF1137" s="93"/>
      <c r="BG1137" s="93"/>
      <c r="BH1137" s="93"/>
      <c r="BI1137" s="93"/>
      <c r="BJ1137" s="93"/>
      <c r="BK1137" s="93"/>
      <c r="BL1137" s="93"/>
      <c r="BM1137" s="93"/>
      <c r="BN1137" s="93"/>
      <c r="BO1137" s="93"/>
      <c r="BP1137" s="93"/>
      <c r="BQ1137" s="93"/>
      <c r="BR1137" s="93"/>
      <c r="BS1137" s="93"/>
      <c r="BT1137" s="93"/>
      <c r="BU1137" s="93"/>
      <c r="BV1137" s="93"/>
      <c r="BW1137" s="93"/>
      <c r="BX1137" s="93"/>
      <c r="BY1137" s="93"/>
      <c r="BZ1137" s="93"/>
      <c r="CA1137" s="93"/>
      <c r="CB1137" s="93"/>
      <c r="CC1137" s="93"/>
      <c r="CD1137" s="93"/>
      <c r="CE1137" s="93"/>
      <c r="CF1137" s="93"/>
      <c r="CG1137" s="93"/>
      <c r="CH1137" s="93"/>
      <c r="CI1137" s="93"/>
      <c r="CJ1137" s="93"/>
      <c r="CK1137" s="93"/>
      <c r="CL1137" s="93"/>
      <c r="CM1137" s="93"/>
      <c r="CN1137" s="93"/>
      <c r="CO1137" s="93"/>
      <c r="CP1137" s="93"/>
      <c r="CQ1137" s="93"/>
      <c r="CR1137" s="93"/>
      <c r="CS1137" s="93"/>
      <c r="CT1137" s="93"/>
      <c r="CU1137" s="93"/>
      <c r="CV1137" s="93"/>
      <c r="CW1137" s="93"/>
      <c r="CX1137" s="93"/>
      <c r="CY1137" s="93"/>
      <c r="CZ1137" s="93"/>
      <c r="DA1137" s="93"/>
      <c r="DB1137" s="93"/>
      <c r="DC1137" s="93"/>
    </row>
    <row r="1138" spans="30:107" ht="6.95" customHeight="1" x14ac:dyDescent="0.15">
      <c r="AD1138" s="93"/>
      <c r="AE1138" s="93"/>
      <c r="AF1138" s="93"/>
      <c r="AG1138" s="93"/>
      <c r="AH1138" s="93"/>
      <c r="AI1138" s="93"/>
      <c r="AJ1138" s="93"/>
      <c r="AK1138" s="93"/>
      <c r="AL1138" s="93"/>
      <c r="AM1138" s="93"/>
      <c r="AN1138" s="93"/>
      <c r="AO1138" s="93"/>
      <c r="AP1138" s="93"/>
      <c r="AQ1138" s="93"/>
      <c r="AR1138" s="93"/>
      <c r="AS1138" s="93"/>
      <c r="AT1138" s="93"/>
      <c r="AU1138" s="93"/>
      <c r="AV1138" s="93"/>
      <c r="AW1138" s="93"/>
      <c r="AX1138" s="93"/>
      <c r="AY1138" s="93"/>
      <c r="AZ1138" s="93"/>
      <c r="BA1138" s="93"/>
      <c r="BB1138" s="93"/>
      <c r="BC1138" s="93"/>
      <c r="BD1138" s="93"/>
      <c r="BE1138" s="93"/>
      <c r="BF1138" s="93"/>
      <c r="BG1138" s="93"/>
      <c r="BH1138" s="93"/>
      <c r="BI1138" s="93"/>
      <c r="BJ1138" s="93"/>
      <c r="BK1138" s="93"/>
      <c r="BL1138" s="93"/>
      <c r="BM1138" s="93"/>
      <c r="BN1138" s="93"/>
      <c r="BO1138" s="93"/>
      <c r="BP1138" s="93"/>
      <c r="BQ1138" s="93"/>
      <c r="BR1138" s="93"/>
      <c r="BS1138" s="93"/>
      <c r="BT1138" s="93"/>
      <c r="BU1138" s="93"/>
      <c r="BV1138" s="93"/>
      <c r="BW1138" s="93"/>
      <c r="BX1138" s="93"/>
      <c r="BY1138" s="93"/>
      <c r="BZ1138" s="93"/>
      <c r="CA1138" s="93"/>
      <c r="CB1138" s="93"/>
      <c r="CC1138" s="93"/>
      <c r="CD1138" s="93"/>
      <c r="CE1138" s="93"/>
      <c r="CF1138" s="93"/>
      <c r="CG1138" s="93"/>
      <c r="CH1138" s="93"/>
      <c r="CI1138" s="93"/>
      <c r="CJ1138" s="93"/>
      <c r="CK1138" s="93"/>
      <c r="CL1138" s="93"/>
      <c r="CM1138" s="93"/>
      <c r="CN1138" s="93"/>
      <c r="CO1138" s="93"/>
      <c r="CP1138" s="93"/>
      <c r="CQ1138" s="93"/>
      <c r="CR1138" s="93"/>
      <c r="CS1138" s="93"/>
      <c r="CT1138" s="93"/>
      <c r="CU1138" s="93"/>
      <c r="CV1138" s="93"/>
      <c r="CW1138" s="93"/>
      <c r="CX1138" s="93"/>
      <c r="CY1138" s="93"/>
      <c r="CZ1138" s="93"/>
      <c r="DA1138" s="93"/>
      <c r="DB1138" s="93"/>
      <c r="DC1138" s="93"/>
    </row>
    <row r="1139" spans="30:107" ht="6.95" customHeight="1" x14ac:dyDescent="0.15">
      <c r="AD1139" s="93"/>
      <c r="AE1139" s="93"/>
      <c r="AF1139" s="93"/>
      <c r="AG1139" s="93"/>
      <c r="AH1139" s="93"/>
      <c r="AI1139" s="93"/>
      <c r="AJ1139" s="93"/>
      <c r="AK1139" s="93"/>
      <c r="AL1139" s="93"/>
      <c r="AM1139" s="93"/>
      <c r="AN1139" s="93"/>
      <c r="AO1139" s="93"/>
      <c r="AP1139" s="93"/>
      <c r="AQ1139" s="93"/>
      <c r="AR1139" s="93"/>
      <c r="AS1139" s="93"/>
      <c r="AT1139" s="93"/>
      <c r="AU1139" s="93"/>
      <c r="AV1139" s="93"/>
      <c r="AW1139" s="93"/>
      <c r="AX1139" s="93"/>
      <c r="AY1139" s="93"/>
      <c r="AZ1139" s="93"/>
      <c r="BA1139" s="93"/>
      <c r="BB1139" s="93"/>
      <c r="BC1139" s="93"/>
      <c r="BD1139" s="93"/>
      <c r="BE1139" s="93"/>
      <c r="BF1139" s="93"/>
      <c r="BG1139" s="93"/>
      <c r="BH1139" s="93"/>
      <c r="BI1139" s="93"/>
      <c r="BJ1139" s="93"/>
      <c r="BK1139" s="93"/>
      <c r="BL1139" s="93"/>
      <c r="BM1139" s="93"/>
      <c r="BN1139" s="93"/>
      <c r="BO1139" s="93"/>
      <c r="BP1139" s="93"/>
      <c r="BQ1139" s="93"/>
      <c r="BR1139" s="93"/>
      <c r="BS1139" s="93"/>
      <c r="BT1139" s="93"/>
      <c r="BU1139" s="93"/>
      <c r="BV1139" s="93"/>
      <c r="BW1139" s="93"/>
      <c r="BX1139" s="93"/>
      <c r="BY1139" s="93"/>
      <c r="BZ1139" s="93"/>
      <c r="CA1139" s="93"/>
      <c r="CB1139" s="93"/>
      <c r="CC1139" s="93"/>
      <c r="CD1139" s="93"/>
      <c r="CE1139" s="93"/>
      <c r="CF1139" s="93"/>
      <c r="CG1139" s="93"/>
      <c r="CH1139" s="93"/>
      <c r="CI1139" s="93"/>
      <c r="CJ1139" s="93"/>
      <c r="CK1139" s="93"/>
      <c r="CL1139" s="93"/>
      <c r="CM1139" s="93"/>
      <c r="CN1139" s="93"/>
      <c r="CO1139" s="93"/>
      <c r="CP1139" s="93"/>
      <c r="CQ1139" s="93"/>
      <c r="CR1139" s="93"/>
      <c r="CS1139" s="93"/>
      <c r="CT1139" s="93"/>
      <c r="CU1139" s="93"/>
      <c r="CV1139" s="93"/>
      <c r="CW1139" s="93"/>
      <c r="CX1139" s="93"/>
      <c r="CY1139" s="93"/>
      <c r="CZ1139" s="93"/>
      <c r="DA1139" s="93"/>
      <c r="DB1139" s="93"/>
      <c r="DC1139" s="93"/>
    </row>
    <row r="1140" spans="30:107" ht="6.95" customHeight="1" x14ac:dyDescent="0.15">
      <c r="AD1140" s="93"/>
      <c r="AE1140" s="93"/>
      <c r="AF1140" s="93"/>
      <c r="AG1140" s="93"/>
      <c r="AH1140" s="93"/>
      <c r="AI1140" s="93"/>
      <c r="AJ1140" s="93"/>
      <c r="AK1140" s="93"/>
      <c r="AL1140" s="93"/>
      <c r="AM1140" s="93"/>
      <c r="AN1140" s="93"/>
      <c r="AO1140" s="93"/>
      <c r="AP1140" s="93"/>
      <c r="AQ1140" s="93"/>
      <c r="AR1140" s="93"/>
      <c r="AS1140" s="93"/>
      <c r="AT1140" s="93"/>
      <c r="AU1140" s="93"/>
      <c r="AV1140" s="93"/>
      <c r="AW1140" s="93"/>
      <c r="AX1140" s="93"/>
      <c r="AY1140" s="93"/>
      <c r="AZ1140" s="93"/>
      <c r="BA1140" s="93"/>
      <c r="BB1140" s="93"/>
      <c r="BC1140" s="93"/>
      <c r="BD1140" s="93"/>
      <c r="BE1140" s="93"/>
      <c r="BF1140" s="93"/>
      <c r="BG1140" s="93"/>
      <c r="BH1140" s="93"/>
      <c r="BI1140" s="93"/>
      <c r="BJ1140" s="93"/>
      <c r="BK1140" s="93"/>
      <c r="BL1140" s="93"/>
      <c r="BM1140" s="93"/>
      <c r="BN1140" s="93"/>
      <c r="BO1140" s="93"/>
      <c r="BP1140" s="93"/>
      <c r="BQ1140" s="93"/>
      <c r="BR1140" s="93"/>
      <c r="BS1140" s="93"/>
      <c r="BT1140" s="93"/>
      <c r="BU1140" s="93"/>
      <c r="BV1140" s="93"/>
      <c r="BW1140" s="93"/>
      <c r="BX1140" s="93"/>
      <c r="BY1140" s="93"/>
      <c r="BZ1140" s="93"/>
      <c r="CA1140" s="93"/>
      <c r="CB1140" s="93"/>
      <c r="CC1140" s="93"/>
      <c r="CD1140" s="93"/>
      <c r="CE1140" s="93"/>
      <c r="CF1140" s="93"/>
      <c r="CG1140" s="93"/>
      <c r="CH1140" s="93"/>
      <c r="CI1140" s="93"/>
      <c r="CJ1140" s="93"/>
      <c r="CK1140" s="93"/>
      <c r="CL1140" s="93"/>
      <c r="CM1140" s="93"/>
      <c r="CN1140" s="93"/>
      <c r="CO1140" s="93"/>
      <c r="CP1140" s="93"/>
      <c r="CQ1140" s="93"/>
      <c r="CR1140" s="93"/>
      <c r="CS1140" s="93"/>
      <c r="CT1140" s="93"/>
      <c r="CU1140" s="93"/>
      <c r="CV1140" s="93"/>
      <c r="CW1140" s="93"/>
      <c r="CX1140" s="93"/>
      <c r="CY1140" s="93"/>
      <c r="CZ1140" s="93"/>
      <c r="DA1140" s="93"/>
      <c r="DB1140" s="93"/>
      <c r="DC1140" s="93"/>
    </row>
    <row r="1141" spans="30:107" ht="6.95" customHeight="1" x14ac:dyDescent="0.15">
      <c r="AD1141" s="93"/>
      <c r="AE1141" s="93"/>
      <c r="AF1141" s="93"/>
      <c r="AG1141" s="93"/>
      <c r="AH1141" s="93"/>
      <c r="AI1141" s="93"/>
      <c r="AJ1141" s="93"/>
      <c r="AK1141" s="93"/>
      <c r="AL1141" s="93"/>
      <c r="AM1141" s="93"/>
      <c r="AN1141" s="93"/>
      <c r="AO1141" s="93"/>
      <c r="AP1141" s="93"/>
      <c r="AQ1141" s="93"/>
      <c r="AR1141" s="93"/>
      <c r="AS1141" s="93"/>
      <c r="AT1141" s="93"/>
      <c r="AU1141" s="93"/>
      <c r="AV1141" s="93"/>
      <c r="AW1141" s="93"/>
      <c r="AX1141" s="93"/>
      <c r="AY1141" s="93"/>
      <c r="AZ1141" s="93"/>
      <c r="BA1141" s="93"/>
      <c r="BB1141" s="93"/>
      <c r="BC1141" s="93"/>
      <c r="BD1141" s="93"/>
      <c r="BE1141" s="93"/>
      <c r="BF1141" s="93"/>
      <c r="BG1141" s="93"/>
      <c r="BH1141" s="93"/>
      <c r="BI1141" s="93"/>
      <c r="BJ1141" s="93"/>
      <c r="BK1141" s="93"/>
      <c r="BL1141" s="93"/>
      <c r="BM1141" s="93"/>
      <c r="BN1141" s="93"/>
      <c r="BO1141" s="93"/>
      <c r="BP1141" s="93"/>
      <c r="BQ1141" s="93"/>
      <c r="BR1141" s="93"/>
      <c r="BS1141" s="93"/>
      <c r="BT1141" s="93"/>
      <c r="BU1141" s="93"/>
      <c r="BV1141" s="93"/>
      <c r="BW1141" s="93"/>
      <c r="BX1141" s="93"/>
      <c r="BY1141" s="93"/>
      <c r="BZ1141" s="93"/>
      <c r="CA1141" s="93"/>
      <c r="CB1141" s="93"/>
      <c r="CC1141" s="93"/>
      <c r="CD1141" s="93"/>
      <c r="CE1141" s="93"/>
      <c r="CF1141" s="93"/>
      <c r="CG1141" s="93"/>
      <c r="CH1141" s="93"/>
      <c r="CI1141" s="93"/>
      <c r="CJ1141" s="93"/>
      <c r="CK1141" s="93"/>
      <c r="CL1141" s="93"/>
      <c r="CM1141" s="93"/>
      <c r="CN1141" s="93"/>
      <c r="CO1141" s="93"/>
      <c r="CP1141" s="93"/>
      <c r="CQ1141" s="93"/>
      <c r="CR1141" s="93"/>
      <c r="CS1141" s="93"/>
      <c r="CT1141" s="93"/>
      <c r="CU1141" s="93"/>
      <c r="CV1141" s="93"/>
      <c r="CW1141" s="93"/>
      <c r="CX1141" s="93"/>
      <c r="CY1141" s="93"/>
      <c r="CZ1141" s="93"/>
      <c r="DA1141" s="93"/>
      <c r="DB1141" s="93"/>
      <c r="DC1141" s="93"/>
    </row>
    <row r="1142" spans="30:107" ht="6.95" customHeight="1" x14ac:dyDescent="0.15">
      <c r="AD1142" s="93"/>
      <c r="AE1142" s="93"/>
      <c r="AF1142" s="93"/>
      <c r="AG1142" s="93"/>
      <c r="AH1142" s="93"/>
      <c r="AI1142" s="93"/>
      <c r="AJ1142" s="93"/>
      <c r="AK1142" s="93"/>
      <c r="AL1142" s="93"/>
      <c r="AM1142" s="93"/>
      <c r="AN1142" s="93"/>
      <c r="AO1142" s="93"/>
      <c r="AP1142" s="93"/>
      <c r="AQ1142" s="93"/>
      <c r="AR1142" s="93"/>
      <c r="AS1142" s="93"/>
      <c r="AT1142" s="93"/>
      <c r="AU1142" s="93"/>
      <c r="AV1142" s="93"/>
      <c r="AW1142" s="93"/>
      <c r="AX1142" s="93"/>
      <c r="AY1142" s="93"/>
      <c r="AZ1142" s="93"/>
      <c r="BA1142" s="93"/>
      <c r="BB1142" s="93"/>
      <c r="BC1142" s="93"/>
      <c r="BD1142" s="93"/>
      <c r="BE1142" s="93"/>
      <c r="BF1142" s="93"/>
      <c r="BG1142" s="93"/>
      <c r="BH1142" s="93"/>
      <c r="BI1142" s="93"/>
      <c r="BJ1142" s="93"/>
      <c r="BK1142" s="93"/>
      <c r="BL1142" s="93"/>
      <c r="BM1142" s="93"/>
      <c r="BN1142" s="93"/>
      <c r="BO1142" s="93"/>
      <c r="BP1142" s="93"/>
      <c r="BQ1142" s="93"/>
      <c r="BR1142" s="93"/>
      <c r="BS1142" s="93"/>
      <c r="BT1142" s="93"/>
      <c r="BU1142" s="93"/>
      <c r="BV1142" s="93"/>
      <c r="BW1142" s="93"/>
      <c r="BX1142" s="93"/>
      <c r="BY1142" s="93"/>
      <c r="BZ1142" s="93"/>
      <c r="CA1142" s="93"/>
      <c r="CB1142" s="93"/>
      <c r="CC1142" s="93"/>
      <c r="CD1142" s="93"/>
      <c r="CE1142" s="93"/>
      <c r="CF1142" s="93"/>
      <c r="CG1142" s="93"/>
      <c r="CH1142" s="93"/>
      <c r="CI1142" s="93"/>
      <c r="CJ1142" s="93"/>
      <c r="CK1142" s="93"/>
      <c r="CL1142" s="93"/>
      <c r="CM1142" s="93"/>
      <c r="CN1142" s="93"/>
      <c r="CO1142" s="93"/>
      <c r="CP1142" s="93"/>
      <c r="CQ1142" s="93"/>
      <c r="CR1142" s="93"/>
      <c r="CS1142" s="93"/>
      <c r="CT1142" s="93"/>
      <c r="CU1142" s="93"/>
      <c r="CV1142" s="93"/>
      <c r="CW1142" s="93"/>
      <c r="CX1142" s="93"/>
      <c r="CY1142" s="93"/>
      <c r="CZ1142" s="93"/>
      <c r="DA1142" s="93"/>
      <c r="DB1142" s="93"/>
      <c r="DC1142" s="93"/>
    </row>
    <row r="1143" spans="30:107" ht="6.95" customHeight="1" x14ac:dyDescent="0.15">
      <c r="AD1143" s="93"/>
      <c r="AE1143" s="93"/>
      <c r="AF1143" s="93"/>
      <c r="AG1143" s="93"/>
      <c r="AH1143" s="93"/>
      <c r="AI1143" s="93"/>
      <c r="AJ1143" s="93"/>
      <c r="AK1143" s="93"/>
      <c r="AL1143" s="93"/>
      <c r="AM1143" s="93"/>
      <c r="AN1143" s="93"/>
      <c r="AO1143" s="93"/>
      <c r="AP1143" s="93"/>
      <c r="AQ1143" s="93"/>
      <c r="AR1143" s="93"/>
      <c r="AS1143" s="93"/>
      <c r="AT1143" s="93"/>
      <c r="AU1143" s="93"/>
      <c r="AV1143" s="93"/>
      <c r="AW1143" s="93"/>
      <c r="AX1143" s="93"/>
      <c r="AY1143" s="93"/>
      <c r="AZ1143" s="93"/>
      <c r="BA1143" s="93"/>
      <c r="BB1143" s="93"/>
      <c r="BC1143" s="93"/>
      <c r="BD1143" s="93"/>
      <c r="BE1143" s="93"/>
      <c r="BF1143" s="93"/>
      <c r="BG1143" s="93"/>
      <c r="BH1143" s="93"/>
      <c r="BI1143" s="93"/>
      <c r="BJ1143" s="93"/>
      <c r="BK1143" s="93"/>
      <c r="BL1143" s="93"/>
      <c r="BM1143" s="93"/>
      <c r="BN1143" s="93"/>
      <c r="BO1143" s="93"/>
      <c r="BP1143" s="93"/>
      <c r="BQ1143" s="93"/>
      <c r="BR1143" s="93"/>
      <c r="BS1143" s="93"/>
      <c r="BT1143" s="93"/>
      <c r="BU1143" s="93"/>
      <c r="BV1143" s="93"/>
      <c r="BW1143" s="93"/>
      <c r="BX1143" s="93"/>
      <c r="BY1143" s="93"/>
      <c r="BZ1143" s="93"/>
      <c r="CA1143" s="93"/>
      <c r="CB1143" s="93"/>
      <c r="CC1143" s="93"/>
      <c r="CD1143" s="93"/>
      <c r="CE1143" s="93"/>
      <c r="CF1143" s="93"/>
      <c r="CG1143" s="93"/>
      <c r="CH1143" s="93"/>
      <c r="CI1143" s="93"/>
      <c r="CJ1143" s="93"/>
      <c r="CK1143" s="93"/>
      <c r="CL1143" s="93"/>
      <c r="CM1143" s="93"/>
      <c r="CN1143" s="93"/>
      <c r="CO1143" s="93"/>
      <c r="CP1143" s="93"/>
      <c r="CQ1143" s="93"/>
      <c r="CR1143" s="93"/>
      <c r="CS1143" s="93"/>
      <c r="CT1143" s="93"/>
      <c r="CU1143" s="93"/>
      <c r="CV1143" s="93"/>
      <c r="CW1143" s="93"/>
      <c r="CX1143" s="93"/>
      <c r="CY1143" s="93"/>
      <c r="CZ1143" s="93"/>
      <c r="DA1143" s="93"/>
      <c r="DB1143" s="93"/>
      <c r="DC1143" s="93"/>
    </row>
    <row r="1144" spans="30:107" ht="6.95" customHeight="1" x14ac:dyDescent="0.15">
      <c r="AD1144" s="93"/>
      <c r="AE1144" s="93"/>
      <c r="AF1144" s="93"/>
      <c r="AG1144" s="93"/>
      <c r="AH1144" s="93"/>
      <c r="AI1144" s="93"/>
      <c r="AJ1144" s="93"/>
      <c r="AK1144" s="93"/>
      <c r="AL1144" s="93"/>
      <c r="AM1144" s="93"/>
      <c r="AN1144" s="93"/>
      <c r="AO1144" s="93"/>
      <c r="AP1144" s="93"/>
      <c r="AQ1144" s="93"/>
      <c r="AR1144" s="93"/>
      <c r="AS1144" s="93"/>
      <c r="AT1144" s="93"/>
      <c r="AU1144" s="93"/>
      <c r="AV1144" s="93"/>
      <c r="AW1144" s="93"/>
      <c r="AX1144" s="93"/>
      <c r="AY1144" s="93"/>
      <c r="AZ1144" s="93"/>
      <c r="BA1144" s="93"/>
      <c r="BB1144" s="93"/>
      <c r="BC1144" s="93"/>
      <c r="BD1144" s="93"/>
      <c r="BE1144" s="93"/>
      <c r="BF1144" s="93"/>
      <c r="BG1144" s="93"/>
      <c r="BH1144" s="93"/>
      <c r="BI1144" s="93"/>
      <c r="BJ1144" s="93"/>
      <c r="BK1144" s="93"/>
      <c r="BL1144" s="93"/>
      <c r="BM1144" s="93"/>
      <c r="BN1144" s="93"/>
      <c r="BO1144" s="93"/>
      <c r="BP1144" s="93"/>
      <c r="BQ1144" s="93"/>
      <c r="BR1144" s="93"/>
      <c r="BS1144" s="93"/>
      <c r="BT1144" s="93"/>
      <c r="BU1144" s="93"/>
      <c r="BV1144" s="93"/>
      <c r="BW1144" s="93"/>
      <c r="BX1144" s="93"/>
      <c r="BY1144" s="93"/>
      <c r="BZ1144" s="93"/>
      <c r="CA1144" s="93"/>
      <c r="CB1144" s="93"/>
      <c r="CC1144" s="93"/>
      <c r="CD1144" s="93"/>
      <c r="CE1144" s="93"/>
      <c r="CF1144" s="93"/>
      <c r="CG1144" s="93"/>
      <c r="CH1144" s="93"/>
      <c r="CI1144" s="93"/>
      <c r="CJ1144" s="93"/>
      <c r="CK1144" s="93"/>
      <c r="CL1144" s="93"/>
      <c r="CM1144" s="93"/>
      <c r="CN1144" s="93"/>
      <c r="CO1144" s="93"/>
      <c r="CP1144" s="93"/>
      <c r="CQ1144" s="93"/>
      <c r="CR1144" s="93"/>
      <c r="CS1144" s="93"/>
      <c r="CT1144" s="93"/>
      <c r="CU1144" s="93"/>
      <c r="CV1144" s="93"/>
      <c r="CW1144" s="93"/>
      <c r="CX1144" s="93"/>
      <c r="CY1144" s="93"/>
      <c r="CZ1144" s="93"/>
      <c r="DA1144" s="93"/>
      <c r="DB1144" s="93"/>
      <c r="DC1144" s="93"/>
    </row>
    <row r="1145" spans="30:107" ht="6.95" customHeight="1" x14ac:dyDescent="0.15">
      <c r="AD1145" s="93"/>
      <c r="AE1145" s="93"/>
      <c r="AF1145" s="93"/>
      <c r="AG1145" s="93"/>
      <c r="AH1145" s="93"/>
      <c r="AI1145" s="93"/>
      <c r="AJ1145" s="93"/>
      <c r="AK1145" s="93"/>
      <c r="AL1145" s="93"/>
      <c r="AM1145" s="93"/>
      <c r="AN1145" s="93"/>
      <c r="AO1145" s="93"/>
      <c r="AP1145" s="93"/>
      <c r="AQ1145" s="93"/>
      <c r="AR1145" s="93"/>
      <c r="AS1145" s="93"/>
      <c r="AT1145" s="93"/>
      <c r="AU1145" s="93"/>
      <c r="AV1145" s="93"/>
      <c r="AW1145" s="93"/>
      <c r="AX1145" s="93"/>
      <c r="AY1145" s="93"/>
      <c r="AZ1145" s="93"/>
      <c r="BA1145" s="93"/>
      <c r="BB1145" s="93"/>
      <c r="BC1145" s="93"/>
      <c r="BD1145" s="93"/>
      <c r="BE1145" s="93"/>
      <c r="BF1145" s="93"/>
      <c r="BG1145" s="93"/>
      <c r="BH1145" s="93"/>
      <c r="BI1145" s="93"/>
      <c r="BJ1145" s="93"/>
      <c r="BK1145" s="93"/>
      <c r="BL1145" s="93"/>
      <c r="BM1145" s="93"/>
      <c r="BN1145" s="93"/>
      <c r="BO1145" s="93"/>
      <c r="BP1145" s="93"/>
      <c r="BQ1145" s="93"/>
      <c r="BR1145" s="93"/>
      <c r="BS1145" s="93"/>
      <c r="BT1145" s="93"/>
      <c r="BU1145" s="93"/>
      <c r="BV1145" s="93"/>
      <c r="BW1145" s="93"/>
      <c r="BX1145" s="93"/>
      <c r="BY1145" s="93"/>
      <c r="BZ1145" s="93"/>
      <c r="CA1145" s="93"/>
      <c r="CB1145" s="93"/>
      <c r="CC1145" s="93"/>
      <c r="CD1145" s="93"/>
      <c r="CE1145" s="93"/>
      <c r="CF1145" s="93"/>
      <c r="CG1145" s="93"/>
      <c r="CH1145" s="93"/>
      <c r="CI1145" s="93"/>
      <c r="CJ1145" s="93"/>
      <c r="CK1145" s="93"/>
      <c r="CL1145" s="93"/>
      <c r="CM1145" s="93"/>
      <c r="CN1145" s="93"/>
      <c r="CO1145" s="93"/>
      <c r="CP1145" s="93"/>
      <c r="CQ1145" s="93"/>
      <c r="CR1145" s="93"/>
      <c r="CS1145" s="93"/>
      <c r="CT1145" s="93"/>
      <c r="CU1145" s="93"/>
      <c r="CV1145" s="93"/>
      <c r="CW1145" s="93"/>
      <c r="CX1145" s="93"/>
      <c r="CY1145" s="93"/>
      <c r="CZ1145" s="93"/>
      <c r="DA1145" s="93"/>
      <c r="DB1145" s="93"/>
      <c r="DC1145" s="93"/>
    </row>
    <row r="1146" spans="30:107" ht="6.95" customHeight="1" x14ac:dyDescent="0.15">
      <c r="AD1146" s="93"/>
      <c r="AE1146" s="93"/>
      <c r="AF1146" s="93"/>
      <c r="AG1146" s="93"/>
      <c r="AH1146" s="93"/>
      <c r="AI1146" s="93"/>
      <c r="AJ1146" s="93"/>
      <c r="AK1146" s="93"/>
      <c r="AL1146" s="93"/>
      <c r="AM1146" s="93"/>
      <c r="AN1146" s="93"/>
      <c r="AO1146" s="93"/>
      <c r="AP1146" s="93"/>
      <c r="AQ1146" s="93"/>
      <c r="AR1146" s="93"/>
      <c r="AS1146" s="93"/>
      <c r="AT1146" s="93"/>
      <c r="AU1146" s="93"/>
      <c r="AV1146" s="93"/>
      <c r="AW1146" s="93"/>
      <c r="AX1146" s="93"/>
      <c r="AY1146" s="93"/>
      <c r="AZ1146" s="93"/>
      <c r="BA1146" s="93"/>
      <c r="BB1146" s="93"/>
      <c r="BC1146" s="93"/>
      <c r="BD1146" s="93"/>
      <c r="BE1146" s="93"/>
      <c r="BF1146" s="93"/>
      <c r="BG1146" s="93"/>
      <c r="BH1146" s="93"/>
      <c r="BI1146" s="93"/>
      <c r="BJ1146" s="93"/>
      <c r="BK1146" s="93"/>
      <c r="BL1146" s="93"/>
      <c r="BM1146" s="93"/>
      <c r="BN1146" s="93"/>
      <c r="BO1146" s="93"/>
      <c r="BP1146" s="93"/>
      <c r="BQ1146" s="93"/>
      <c r="BR1146" s="93"/>
      <c r="BS1146" s="93"/>
      <c r="BT1146" s="93"/>
      <c r="BU1146" s="93"/>
      <c r="BV1146" s="93"/>
      <c r="BW1146" s="93"/>
      <c r="BX1146" s="93"/>
      <c r="BY1146" s="93"/>
      <c r="BZ1146" s="93"/>
      <c r="CA1146" s="93"/>
      <c r="CB1146" s="93"/>
      <c r="CC1146" s="93"/>
      <c r="CD1146" s="93"/>
      <c r="CE1146" s="93"/>
      <c r="CF1146" s="93"/>
      <c r="CG1146" s="93"/>
      <c r="CH1146" s="93"/>
      <c r="CI1146" s="93"/>
      <c r="CJ1146" s="93"/>
      <c r="CK1146" s="93"/>
      <c r="CL1146" s="93"/>
      <c r="CM1146" s="93"/>
      <c r="CN1146" s="93"/>
      <c r="CO1146" s="93"/>
      <c r="CP1146" s="93"/>
      <c r="CQ1146" s="93"/>
      <c r="CR1146" s="93"/>
      <c r="CS1146" s="93"/>
      <c r="CT1146" s="93"/>
      <c r="CU1146" s="93"/>
      <c r="CV1146" s="93"/>
      <c r="CW1146" s="93"/>
      <c r="CX1146" s="93"/>
      <c r="CY1146" s="93"/>
      <c r="CZ1146" s="93"/>
      <c r="DA1146" s="93"/>
      <c r="DB1146" s="93"/>
      <c r="DC1146" s="93"/>
    </row>
    <row r="1147" spans="30:107" ht="6.95" customHeight="1" x14ac:dyDescent="0.15">
      <c r="AD1147" s="93"/>
      <c r="AE1147" s="93"/>
      <c r="AF1147" s="93"/>
      <c r="AG1147" s="93"/>
      <c r="AH1147" s="93"/>
      <c r="AI1147" s="93"/>
      <c r="AJ1147" s="93"/>
      <c r="AK1147" s="93"/>
      <c r="AL1147" s="93"/>
      <c r="AM1147" s="93"/>
      <c r="AN1147" s="93"/>
      <c r="AO1147" s="93"/>
      <c r="AP1147" s="93"/>
      <c r="AQ1147" s="93"/>
      <c r="AR1147" s="93"/>
      <c r="AS1147" s="93"/>
      <c r="AT1147" s="93"/>
      <c r="AU1147" s="93"/>
      <c r="AV1147" s="93"/>
      <c r="AW1147" s="93"/>
      <c r="AX1147" s="93"/>
      <c r="AY1147" s="93"/>
      <c r="AZ1147" s="93"/>
      <c r="BA1147" s="93"/>
      <c r="BB1147" s="93"/>
      <c r="BC1147" s="93"/>
      <c r="BD1147" s="93"/>
      <c r="BE1147" s="93"/>
      <c r="BF1147" s="93"/>
      <c r="BG1147" s="93"/>
      <c r="BH1147" s="93"/>
      <c r="BI1147" s="93"/>
      <c r="BJ1147" s="93"/>
      <c r="BK1147" s="93"/>
      <c r="BL1147" s="93"/>
      <c r="BM1147" s="93"/>
      <c r="BN1147" s="93"/>
      <c r="BO1147" s="93"/>
      <c r="BP1147" s="93"/>
      <c r="BQ1147" s="93"/>
      <c r="BR1147" s="93"/>
      <c r="BS1147" s="93"/>
      <c r="BT1147" s="93"/>
      <c r="BU1147" s="93"/>
      <c r="BV1147" s="93"/>
      <c r="BW1147" s="93"/>
      <c r="BX1147" s="93"/>
      <c r="BY1147" s="93"/>
      <c r="BZ1147" s="93"/>
      <c r="CA1147" s="93"/>
      <c r="CB1147" s="93"/>
      <c r="CC1147" s="93"/>
      <c r="CD1147" s="93"/>
      <c r="CE1147" s="93"/>
      <c r="CF1147" s="93"/>
      <c r="CG1147" s="93"/>
      <c r="CH1147" s="93"/>
      <c r="CI1147" s="93"/>
      <c r="CJ1147" s="93"/>
      <c r="CK1147" s="93"/>
      <c r="CL1147" s="93"/>
      <c r="CM1147" s="93"/>
      <c r="CN1147" s="93"/>
      <c r="CO1147" s="93"/>
      <c r="CP1147" s="93"/>
      <c r="CQ1147" s="93"/>
      <c r="CR1147" s="93"/>
      <c r="CS1147" s="93"/>
      <c r="CT1147" s="93"/>
      <c r="CU1147" s="93"/>
      <c r="CV1147" s="93"/>
      <c r="CW1147" s="93"/>
      <c r="CX1147" s="93"/>
      <c r="CY1147" s="93"/>
      <c r="CZ1147" s="93"/>
      <c r="DA1147" s="93"/>
      <c r="DB1147" s="93"/>
      <c r="DC1147" s="93"/>
    </row>
    <row r="1148" spans="30:107" ht="6.95" customHeight="1" x14ac:dyDescent="0.15">
      <c r="AD1148" s="93"/>
      <c r="AE1148" s="93"/>
      <c r="AF1148" s="93"/>
      <c r="AG1148" s="93"/>
      <c r="AH1148" s="93"/>
      <c r="AI1148" s="93"/>
      <c r="AJ1148" s="93"/>
      <c r="AK1148" s="93"/>
      <c r="AL1148" s="93"/>
      <c r="AM1148" s="93"/>
      <c r="AN1148" s="93"/>
      <c r="AO1148" s="93"/>
      <c r="AP1148" s="93"/>
      <c r="AQ1148" s="93"/>
      <c r="AR1148" s="93"/>
      <c r="AS1148" s="93"/>
      <c r="AT1148" s="93"/>
      <c r="AU1148" s="93"/>
      <c r="AV1148" s="93"/>
      <c r="AW1148" s="93"/>
      <c r="AX1148" s="93"/>
      <c r="AY1148" s="93"/>
      <c r="AZ1148" s="93"/>
      <c r="BA1148" s="93"/>
      <c r="BB1148" s="93"/>
      <c r="BC1148" s="93"/>
      <c r="BD1148" s="93"/>
      <c r="BE1148" s="93"/>
      <c r="BF1148" s="93"/>
      <c r="BG1148" s="93"/>
      <c r="BH1148" s="93"/>
      <c r="BI1148" s="93"/>
      <c r="BJ1148" s="93"/>
      <c r="BK1148" s="93"/>
      <c r="BL1148" s="93"/>
      <c r="BM1148" s="93"/>
      <c r="BN1148" s="93"/>
      <c r="BO1148" s="93"/>
      <c r="BP1148" s="93"/>
      <c r="BQ1148" s="93"/>
      <c r="BR1148" s="93"/>
      <c r="BS1148" s="93"/>
      <c r="BT1148" s="93"/>
      <c r="BU1148" s="93"/>
      <c r="BV1148" s="93"/>
      <c r="BW1148" s="93"/>
      <c r="BX1148" s="93"/>
      <c r="BY1148" s="93"/>
      <c r="BZ1148" s="93"/>
      <c r="CA1148" s="93"/>
      <c r="CB1148" s="93"/>
      <c r="CC1148" s="93"/>
      <c r="CD1148" s="93"/>
      <c r="CE1148" s="93"/>
      <c r="CF1148" s="93"/>
      <c r="CG1148" s="93"/>
      <c r="CH1148" s="93"/>
      <c r="CI1148" s="93"/>
      <c r="CJ1148" s="93"/>
      <c r="CK1148" s="93"/>
      <c r="CL1148" s="93"/>
      <c r="CM1148" s="93"/>
      <c r="CN1148" s="93"/>
      <c r="CO1148" s="93"/>
      <c r="CP1148" s="93"/>
      <c r="CQ1148" s="93"/>
      <c r="CR1148" s="93"/>
      <c r="CS1148" s="93"/>
      <c r="CT1148" s="93"/>
      <c r="CU1148" s="93"/>
      <c r="CV1148" s="93"/>
      <c r="CW1148" s="93"/>
      <c r="CX1148" s="93"/>
      <c r="CY1148" s="93"/>
      <c r="CZ1148" s="93"/>
      <c r="DA1148" s="93"/>
      <c r="DB1148" s="93"/>
      <c r="DC1148" s="93"/>
    </row>
    <row r="1149" spans="30:107" ht="6.95" customHeight="1" x14ac:dyDescent="0.15">
      <c r="AD1149" s="93"/>
      <c r="AE1149" s="93"/>
      <c r="AF1149" s="93"/>
      <c r="AG1149" s="93"/>
      <c r="AH1149" s="93"/>
      <c r="AI1149" s="93"/>
      <c r="AJ1149" s="93"/>
      <c r="AK1149" s="93"/>
      <c r="AL1149" s="93"/>
      <c r="AM1149" s="93"/>
      <c r="AN1149" s="93"/>
      <c r="AO1149" s="93"/>
      <c r="AP1149" s="93"/>
      <c r="AQ1149" s="93"/>
      <c r="AR1149" s="93"/>
      <c r="AS1149" s="93"/>
      <c r="AT1149" s="93"/>
      <c r="AU1149" s="93"/>
      <c r="AV1149" s="93"/>
      <c r="AW1149" s="93"/>
      <c r="AX1149" s="93"/>
      <c r="AY1149" s="93"/>
      <c r="AZ1149" s="93"/>
      <c r="BA1149" s="93"/>
      <c r="BB1149" s="93"/>
      <c r="BC1149" s="93"/>
      <c r="BD1149" s="93"/>
      <c r="BE1149" s="93"/>
      <c r="BF1149" s="93"/>
      <c r="BG1149" s="93"/>
      <c r="BH1149" s="93"/>
      <c r="BI1149" s="93"/>
      <c r="BJ1149" s="93"/>
      <c r="BK1149" s="93"/>
      <c r="BL1149" s="93"/>
      <c r="BM1149" s="93"/>
      <c r="BN1149" s="93"/>
      <c r="BO1149" s="93"/>
      <c r="BP1149" s="93"/>
      <c r="BQ1149" s="93"/>
      <c r="BR1149" s="93"/>
      <c r="BS1149" s="93"/>
      <c r="BT1149" s="93"/>
      <c r="BU1149" s="93"/>
      <c r="BV1149" s="93"/>
      <c r="BW1149" s="93"/>
      <c r="BX1149" s="93"/>
      <c r="BY1149" s="93"/>
      <c r="BZ1149" s="93"/>
      <c r="CA1149" s="93"/>
      <c r="CB1149" s="93"/>
      <c r="CC1149" s="93"/>
      <c r="CD1149" s="93"/>
      <c r="CE1149" s="93"/>
      <c r="CF1149" s="93"/>
      <c r="CG1149" s="93"/>
      <c r="CH1149" s="93"/>
      <c r="CI1149" s="93"/>
      <c r="CJ1149" s="93"/>
      <c r="CK1149" s="93"/>
      <c r="CL1149" s="93"/>
      <c r="CM1149" s="93"/>
      <c r="CN1149" s="93"/>
      <c r="CO1149" s="93"/>
      <c r="CP1149" s="93"/>
      <c r="CQ1149" s="93"/>
      <c r="CR1149" s="93"/>
      <c r="CS1149" s="93"/>
      <c r="CT1149" s="93"/>
      <c r="CU1149" s="93"/>
      <c r="CV1149" s="93"/>
      <c r="CW1149" s="93"/>
      <c r="CX1149" s="93"/>
      <c r="CY1149" s="93"/>
      <c r="CZ1149" s="93"/>
      <c r="DA1149" s="93"/>
      <c r="DB1149" s="93"/>
      <c r="DC1149" s="93"/>
    </row>
    <row r="1150" spans="30:107" ht="6.95" customHeight="1" x14ac:dyDescent="0.15">
      <c r="AD1150" s="93"/>
      <c r="AE1150" s="93"/>
      <c r="AF1150" s="93"/>
      <c r="AG1150" s="93"/>
      <c r="AH1150" s="93"/>
      <c r="AI1150" s="93"/>
      <c r="AJ1150" s="93"/>
      <c r="AK1150" s="93"/>
      <c r="AL1150" s="93"/>
      <c r="AM1150" s="93"/>
      <c r="AN1150" s="93"/>
      <c r="AO1150" s="93"/>
      <c r="AP1150" s="93"/>
      <c r="AQ1150" s="93"/>
      <c r="AR1150" s="93"/>
      <c r="AS1150" s="93"/>
      <c r="AT1150" s="93"/>
      <c r="AU1150" s="93"/>
      <c r="AV1150" s="93"/>
      <c r="AW1150" s="93"/>
      <c r="AX1150" s="93"/>
      <c r="AY1150" s="93"/>
      <c r="AZ1150" s="93"/>
      <c r="BA1150" s="93"/>
      <c r="BB1150" s="93"/>
      <c r="BC1150" s="93"/>
      <c r="BD1150" s="93"/>
      <c r="BE1150" s="93"/>
      <c r="BF1150" s="93"/>
      <c r="BG1150" s="93"/>
      <c r="BH1150" s="93"/>
      <c r="BI1150" s="93"/>
      <c r="BJ1150" s="93"/>
      <c r="BK1150" s="93"/>
      <c r="BL1150" s="93"/>
      <c r="BM1150" s="93"/>
      <c r="BN1150" s="93"/>
      <c r="BO1150" s="93"/>
      <c r="BP1150" s="93"/>
      <c r="BQ1150" s="93"/>
      <c r="BR1150" s="93"/>
      <c r="BS1150" s="93"/>
      <c r="BT1150" s="93"/>
      <c r="BU1150" s="93"/>
      <c r="BV1150" s="93"/>
      <c r="BW1150" s="93"/>
      <c r="BX1150" s="93"/>
      <c r="BY1150" s="93"/>
      <c r="BZ1150" s="93"/>
      <c r="CA1150" s="93"/>
      <c r="CB1150" s="93"/>
      <c r="CC1150" s="93"/>
      <c r="CD1150" s="93"/>
      <c r="CE1150" s="93"/>
      <c r="CF1150" s="93"/>
      <c r="CG1150" s="93"/>
      <c r="CH1150" s="93"/>
      <c r="CI1150" s="93"/>
      <c r="CJ1150" s="93"/>
      <c r="CK1150" s="93"/>
      <c r="CL1150" s="93"/>
      <c r="CM1150" s="93"/>
      <c r="CN1150" s="93"/>
      <c r="CO1150" s="93"/>
      <c r="CP1150" s="93"/>
      <c r="CQ1150" s="93"/>
      <c r="CR1150" s="93"/>
      <c r="CS1150" s="93"/>
      <c r="CT1150" s="93"/>
      <c r="CU1150" s="93"/>
      <c r="CV1150" s="93"/>
      <c r="CW1150" s="93"/>
      <c r="CX1150" s="93"/>
      <c r="CY1150" s="93"/>
      <c r="CZ1150" s="93"/>
      <c r="DA1150" s="93"/>
      <c r="DB1150" s="93"/>
      <c r="DC1150" s="93"/>
    </row>
    <row r="1151" spans="30:107" ht="6.95" customHeight="1" x14ac:dyDescent="0.15">
      <c r="AD1151" s="93"/>
      <c r="AE1151" s="93"/>
      <c r="AF1151" s="93"/>
      <c r="AG1151" s="93"/>
      <c r="AH1151" s="93"/>
      <c r="AI1151" s="93"/>
      <c r="AJ1151" s="93"/>
      <c r="AK1151" s="93"/>
      <c r="AL1151" s="93"/>
      <c r="AM1151" s="93"/>
      <c r="AN1151" s="93"/>
      <c r="AO1151" s="93"/>
      <c r="AP1151" s="93"/>
      <c r="AQ1151" s="93"/>
      <c r="AR1151" s="93"/>
      <c r="AS1151" s="93"/>
      <c r="AT1151" s="93"/>
      <c r="AU1151" s="93"/>
      <c r="AV1151" s="93"/>
      <c r="AW1151" s="93"/>
      <c r="AX1151" s="93"/>
      <c r="AY1151" s="93"/>
      <c r="AZ1151" s="93"/>
      <c r="BA1151" s="93"/>
      <c r="BB1151" s="93"/>
      <c r="BC1151" s="93"/>
      <c r="BD1151" s="93"/>
      <c r="BE1151" s="93"/>
      <c r="BF1151" s="93"/>
      <c r="BG1151" s="93"/>
      <c r="BH1151" s="93"/>
      <c r="BI1151" s="93"/>
      <c r="BJ1151" s="93"/>
      <c r="BK1151" s="93"/>
      <c r="BL1151" s="93"/>
      <c r="BM1151" s="93"/>
      <c r="BN1151" s="93"/>
      <c r="BO1151" s="93"/>
      <c r="BP1151" s="93"/>
      <c r="BQ1151" s="93"/>
      <c r="BR1151" s="93"/>
      <c r="BS1151" s="93"/>
      <c r="BT1151" s="93"/>
      <c r="BU1151" s="93"/>
      <c r="BV1151" s="93"/>
      <c r="BW1151" s="93"/>
      <c r="BX1151" s="93"/>
      <c r="BY1151" s="93"/>
      <c r="BZ1151" s="93"/>
      <c r="CA1151" s="93"/>
      <c r="CB1151" s="93"/>
      <c r="CC1151" s="93"/>
      <c r="CD1151" s="93"/>
      <c r="CE1151" s="93"/>
      <c r="CF1151" s="93"/>
      <c r="CG1151" s="93"/>
      <c r="CH1151" s="93"/>
      <c r="CI1151" s="93"/>
      <c r="CJ1151" s="93"/>
      <c r="CK1151" s="93"/>
      <c r="CL1151" s="93"/>
      <c r="CM1151" s="93"/>
      <c r="CN1151" s="93"/>
      <c r="CO1151" s="93"/>
      <c r="CP1151" s="93"/>
      <c r="CQ1151" s="93"/>
      <c r="CR1151" s="93"/>
      <c r="CS1151" s="93"/>
      <c r="CT1151" s="93"/>
      <c r="CU1151" s="93"/>
      <c r="CV1151" s="93"/>
      <c r="CW1151" s="93"/>
      <c r="CX1151" s="93"/>
      <c r="CY1151" s="93"/>
      <c r="CZ1151" s="93"/>
      <c r="DA1151" s="93"/>
      <c r="DB1151" s="93"/>
      <c r="DC1151" s="93"/>
    </row>
    <row r="1152" spans="30:107" ht="6.95" customHeight="1" x14ac:dyDescent="0.15">
      <c r="AD1152" s="93"/>
      <c r="AE1152" s="93"/>
      <c r="AF1152" s="93"/>
      <c r="AG1152" s="93"/>
      <c r="AH1152" s="93"/>
      <c r="AI1152" s="93"/>
      <c r="AJ1152" s="93"/>
      <c r="AK1152" s="93"/>
      <c r="AL1152" s="93"/>
      <c r="AM1152" s="93"/>
      <c r="AN1152" s="93"/>
      <c r="AO1152" s="93"/>
      <c r="AP1152" s="93"/>
      <c r="AQ1152" s="93"/>
      <c r="AR1152" s="93"/>
      <c r="AS1152" s="93"/>
      <c r="AT1152" s="93"/>
      <c r="AU1152" s="93"/>
      <c r="AV1152" s="93"/>
      <c r="AW1152" s="93"/>
      <c r="AX1152" s="93"/>
      <c r="AY1152" s="93"/>
      <c r="AZ1152" s="93"/>
      <c r="BA1152" s="93"/>
      <c r="BB1152" s="93"/>
      <c r="BC1152" s="93"/>
      <c r="BD1152" s="93"/>
      <c r="BE1152" s="93"/>
      <c r="BF1152" s="93"/>
      <c r="BG1152" s="93"/>
      <c r="BH1152" s="93"/>
      <c r="BI1152" s="93"/>
      <c r="BJ1152" s="93"/>
      <c r="BK1152" s="93"/>
      <c r="BL1152" s="93"/>
      <c r="BM1152" s="93"/>
      <c r="BN1152" s="93"/>
      <c r="BO1152" s="93"/>
      <c r="BP1152" s="93"/>
      <c r="BQ1152" s="93"/>
      <c r="BR1152" s="93"/>
      <c r="BS1152" s="93"/>
      <c r="BT1152" s="93"/>
      <c r="BU1152" s="93"/>
      <c r="BV1152" s="93"/>
      <c r="BW1152" s="93"/>
      <c r="BX1152" s="93"/>
      <c r="BY1152" s="93"/>
      <c r="BZ1152" s="93"/>
      <c r="CA1152" s="93"/>
      <c r="CB1152" s="93"/>
      <c r="CC1152" s="93"/>
      <c r="CD1152" s="93"/>
      <c r="CE1152" s="93"/>
      <c r="CF1152" s="93"/>
      <c r="CG1152" s="93"/>
      <c r="CH1152" s="93"/>
      <c r="CI1152" s="93"/>
      <c r="CJ1152" s="93"/>
      <c r="CK1152" s="93"/>
      <c r="CL1152" s="93"/>
      <c r="CM1152" s="93"/>
      <c r="CN1152" s="93"/>
      <c r="CO1152" s="93"/>
      <c r="CP1152" s="93"/>
      <c r="CQ1152" s="93"/>
      <c r="CR1152" s="93"/>
      <c r="CS1152" s="93"/>
      <c r="CT1152" s="93"/>
      <c r="CU1152" s="93"/>
      <c r="CV1152" s="93"/>
      <c r="CW1152" s="93"/>
      <c r="CX1152" s="93"/>
      <c r="CY1152" s="93"/>
      <c r="CZ1152" s="93"/>
      <c r="DA1152" s="93"/>
      <c r="DB1152" s="93"/>
      <c r="DC1152" s="93"/>
    </row>
    <row r="1153" spans="30:107" ht="6.95" customHeight="1" x14ac:dyDescent="0.15">
      <c r="AD1153" s="93"/>
      <c r="AE1153" s="93"/>
      <c r="AF1153" s="93"/>
      <c r="AG1153" s="93"/>
      <c r="AH1153" s="93"/>
      <c r="AI1153" s="93"/>
      <c r="AJ1153" s="93"/>
      <c r="AK1153" s="93"/>
      <c r="AL1153" s="93"/>
      <c r="AM1153" s="93"/>
      <c r="AN1153" s="93"/>
      <c r="AO1153" s="93"/>
      <c r="AP1153" s="93"/>
      <c r="AQ1153" s="93"/>
      <c r="AR1153" s="93"/>
      <c r="AS1153" s="93"/>
      <c r="AT1153" s="93"/>
      <c r="AU1153" s="93"/>
      <c r="AV1153" s="93"/>
      <c r="AW1153" s="93"/>
      <c r="AX1153" s="93"/>
      <c r="AY1153" s="93"/>
      <c r="AZ1153" s="93"/>
      <c r="BA1153" s="93"/>
      <c r="BB1153" s="93"/>
      <c r="BC1153" s="93"/>
      <c r="BD1153" s="93"/>
      <c r="BE1153" s="93"/>
      <c r="BF1153" s="93"/>
      <c r="BG1153" s="93"/>
      <c r="BH1153" s="93"/>
      <c r="BI1153" s="93"/>
      <c r="BJ1153" s="93"/>
      <c r="BK1153" s="93"/>
      <c r="BL1153" s="93"/>
      <c r="BM1153" s="93"/>
      <c r="BN1153" s="93"/>
      <c r="BO1153" s="93"/>
      <c r="BP1153" s="93"/>
      <c r="BQ1153" s="93"/>
      <c r="BR1153" s="93"/>
      <c r="BS1153" s="93"/>
      <c r="BT1153" s="93"/>
      <c r="BU1153" s="93"/>
      <c r="BV1153" s="93"/>
      <c r="BW1153" s="93"/>
      <c r="BX1153" s="93"/>
      <c r="BY1153" s="93"/>
      <c r="BZ1153" s="93"/>
      <c r="CA1153" s="93"/>
      <c r="CB1153" s="93"/>
      <c r="CC1153" s="93"/>
      <c r="CD1153" s="93"/>
      <c r="CE1153" s="93"/>
      <c r="CF1153" s="93"/>
      <c r="CG1153" s="93"/>
      <c r="CH1153" s="93"/>
      <c r="CI1153" s="93"/>
      <c r="CJ1153" s="93"/>
      <c r="CK1153" s="93"/>
      <c r="CL1153" s="93"/>
      <c r="CM1153" s="93"/>
      <c r="CN1153" s="93"/>
      <c r="CO1153" s="93"/>
      <c r="CP1153" s="93"/>
      <c r="CQ1153" s="93"/>
      <c r="CR1153" s="93"/>
      <c r="CS1153" s="93"/>
      <c r="CT1153" s="93"/>
      <c r="CU1153" s="93"/>
      <c r="CV1153" s="93"/>
      <c r="CW1153" s="93"/>
      <c r="CX1153" s="93"/>
      <c r="CY1153" s="93"/>
      <c r="CZ1153" s="93"/>
      <c r="DA1153" s="93"/>
      <c r="DB1153" s="93"/>
      <c r="DC1153" s="93"/>
    </row>
    <row r="1154" spans="30:107" ht="6.95" customHeight="1" x14ac:dyDescent="0.15">
      <c r="AD1154" s="93"/>
      <c r="AE1154" s="93"/>
      <c r="AF1154" s="93"/>
      <c r="AG1154" s="93"/>
      <c r="AH1154" s="93"/>
      <c r="AI1154" s="93"/>
      <c r="AJ1154" s="93"/>
      <c r="AK1154" s="93"/>
      <c r="AL1154" s="93"/>
      <c r="AM1154" s="93"/>
      <c r="AN1154" s="93"/>
      <c r="AO1154" s="93"/>
      <c r="AP1154" s="93"/>
      <c r="AQ1154" s="93"/>
      <c r="AR1154" s="93"/>
      <c r="AS1154" s="93"/>
      <c r="AT1154" s="93"/>
      <c r="AU1154" s="93"/>
      <c r="AV1154" s="93"/>
      <c r="AW1154" s="93"/>
      <c r="AX1154" s="93"/>
      <c r="AY1154" s="93"/>
      <c r="AZ1154" s="93"/>
      <c r="BA1154" s="93"/>
      <c r="BB1154" s="93"/>
      <c r="BC1154" s="93"/>
      <c r="BD1154" s="93"/>
      <c r="BE1154" s="93"/>
      <c r="BF1154" s="93"/>
      <c r="BG1154" s="93"/>
      <c r="BH1154" s="93"/>
      <c r="BI1154" s="93"/>
      <c r="BJ1154" s="93"/>
      <c r="BK1154" s="93"/>
      <c r="BL1154" s="93"/>
      <c r="BM1154" s="93"/>
      <c r="BN1154" s="93"/>
      <c r="BO1154" s="93"/>
      <c r="BP1154" s="93"/>
      <c r="BQ1154" s="93"/>
      <c r="BR1154" s="93"/>
      <c r="BS1154" s="93"/>
      <c r="BT1154" s="93"/>
      <c r="BU1154" s="93"/>
      <c r="BV1154" s="93"/>
      <c r="BW1154" s="93"/>
      <c r="BX1154" s="93"/>
      <c r="BY1154" s="93"/>
      <c r="BZ1154" s="93"/>
      <c r="CA1154" s="93"/>
      <c r="CB1154" s="93"/>
      <c r="CC1154" s="93"/>
      <c r="CD1154" s="93"/>
      <c r="CE1154" s="93"/>
      <c r="CF1154" s="93"/>
      <c r="CG1154" s="93"/>
      <c r="CH1154" s="93"/>
      <c r="CI1154" s="93"/>
      <c r="CJ1154" s="93"/>
      <c r="CK1154" s="93"/>
      <c r="CL1154" s="93"/>
      <c r="CM1154" s="93"/>
      <c r="CN1154" s="93"/>
      <c r="CO1154" s="93"/>
      <c r="CP1154" s="93"/>
      <c r="CQ1154" s="93"/>
      <c r="CR1154" s="93"/>
      <c r="CS1154" s="93"/>
      <c r="CT1154" s="93"/>
      <c r="CU1154" s="93"/>
      <c r="CV1154" s="93"/>
      <c r="CW1154" s="93"/>
      <c r="CX1154" s="93"/>
      <c r="CY1154" s="93"/>
      <c r="CZ1154" s="93"/>
      <c r="DA1154" s="93"/>
      <c r="DB1154" s="93"/>
      <c r="DC1154" s="93"/>
    </row>
    <row r="1155" spans="30:107" ht="6.95" customHeight="1" x14ac:dyDescent="0.15">
      <c r="AD1155" s="93"/>
      <c r="AE1155" s="93"/>
      <c r="AF1155" s="93"/>
      <c r="AG1155" s="93"/>
      <c r="AH1155" s="93"/>
      <c r="AI1155" s="93"/>
      <c r="AJ1155" s="93"/>
      <c r="AK1155" s="93"/>
      <c r="AL1155" s="93"/>
      <c r="AM1155" s="93"/>
      <c r="AN1155" s="93"/>
      <c r="AO1155" s="93"/>
      <c r="AP1155" s="93"/>
      <c r="AQ1155" s="93"/>
      <c r="AR1155" s="93"/>
      <c r="AS1155" s="93"/>
      <c r="AT1155" s="93"/>
      <c r="AU1155" s="93"/>
      <c r="AV1155" s="93"/>
      <c r="AW1155" s="93"/>
      <c r="AX1155" s="93"/>
      <c r="AY1155" s="93"/>
      <c r="AZ1155" s="93"/>
      <c r="BA1155" s="93"/>
      <c r="BB1155" s="93"/>
      <c r="BC1155" s="93"/>
      <c r="BD1155" s="93"/>
      <c r="BE1155" s="93"/>
      <c r="BF1155" s="93"/>
      <c r="BG1155" s="93"/>
      <c r="BH1155" s="93"/>
      <c r="BI1155" s="93"/>
      <c r="BJ1155" s="93"/>
      <c r="BK1155" s="93"/>
      <c r="BL1155" s="93"/>
      <c r="BM1155" s="93"/>
      <c r="BN1155" s="93"/>
      <c r="BO1155" s="93"/>
      <c r="BP1155" s="93"/>
      <c r="BQ1155" s="93"/>
      <c r="BR1155" s="93"/>
      <c r="BS1155" s="93"/>
      <c r="BT1155" s="93"/>
      <c r="BU1155" s="93"/>
      <c r="BV1155" s="93"/>
      <c r="BW1155" s="93"/>
      <c r="BX1155" s="93"/>
      <c r="BY1155" s="93"/>
      <c r="BZ1155" s="93"/>
      <c r="CA1155" s="93"/>
      <c r="CB1155" s="93"/>
      <c r="CC1155" s="93"/>
      <c r="CD1155" s="93"/>
      <c r="CE1155" s="93"/>
      <c r="CF1155" s="93"/>
      <c r="CG1155" s="93"/>
      <c r="CH1155" s="93"/>
      <c r="CI1155" s="93"/>
      <c r="CJ1155" s="93"/>
      <c r="CK1155" s="93"/>
      <c r="CL1155" s="93"/>
      <c r="CM1155" s="93"/>
      <c r="CN1155" s="93"/>
      <c r="CO1155" s="93"/>
      <c r="CP1155" s="93"/>
      <c r="CQ1155" s="93"/>
      <c r="CR1155" s="93"/>
      <c r="CS1155" s="93"/>
      <c r="CT1155" s="93"/>
      <c r="CU1155" s="93"/>
      <c r="CV1155" s="93"/>
      <c r="CW1155" s="93"/>
      <c r="CX1155" s="93"/>
      <c r="CY1155" s="93"/>
      <c r="CZ1155" s="93"/>
      <c r="DA1155" s="93"/>
      <c r="DB1155" s="93"/>
      <c r="DC1155" s="93"/>
    </row>
    <row r="1156" spans="30:107" ht="6.95" customHeight="1" x14ac:dyDescent="0.15">
      <c r="AD1156" s="93"/>
      <c r="AE1156" s="93"/>
      <c r="AF1156" s="93"/>
      <c r="AG1156" s="93"/>
      <c r="AH1156" s="93"/>
      <c r="AI1156" s="93"/>
      <c r="AJ1156" s="93"/>
      <c r="AK1156" s="93"/>
      <c r="AL1156" s="93"/>
      <c r="AM1156" s="93"/>
      <c r="AN1156" s="93"/>
      <c r="AO1156" s="93"/>
      <c r="AP1156" s="93"/>
      <c r="AQ1156" s="93"/>
      <c r="AR1156" s="93"/>
      <c r="AS1156" s="93"/>
      <c r="AT1156" s="93"/>
      <c r="AU1156" s="93"/>
      <c r="AV1156" s="93"/>
      <c r="AW1156" s="93"/>
      <c r="AX1156" s="93"/>
      <c r="AY1156" s="93"/>
      <c r="AZ1156" s="93"/>
      <c r="BA1156" s="93"/>
      <c r="BB1156" s="93"/>
      <c r="BC1156" s="93"/>
      <c r="BD1156" s="93"/>
      <c r="BE1156" s="93"/>
      <c r="BF1156" s="93"/>
      <c r="BG1156" s="93"/>
      <c r="BH1156" s="93"/>
      <c r="BI1156" s="93"/>
      <c r="BJ1156" s="93"/>
      <c r="BK1156" s="93"/>
      <c r="BL1156" s="93"/>
      <c r="BM1156" s="93"/>
      <c r="BN1156" s="93"/>
      <c r="BO1156" s="93"/>
      <c r="BP1156" s="93"/>
      <c r="BQ1156" s="93"/>
      <c r="BR1156" s="93"/>
      <c r="BS1156" s="93"/>
      <c r="BT1156" s="93"/>
      <c r="BU1156" s="93"/>
      <c r="BV1156" s="93"/>
      <c r="BW1156" s="93"/>
      <c r="BX1156" s="93"/>
      <c r="BY1156" s="93"/>
      <c r="BZ1156" s="93"/>
      <c r="CA1156" s="93"/>
      <c r="CB1156" s="93"/>
      <c r="CC1156" s="93"/>
      <c r="CD1156" s="93"/>
      <c r="CE1156" s="93"/>
      <c r="CF1156" s="93"/>
      <c r="CG1156" s="93"/>
      <c r="CH1156" s="93"/>
      <c r="CI1156" s="93"/>
      <c r="CJ1156" s="93"/>
      <c r="CK1156" s="93"/>
      <c r="CL1156" s="93"/>
      <c r="CM1156" s="93"/>
      <c r="CN1156" s="93"/>
      <c r="CO1156" s="93"/>
      <c r="CP1156" s="93"/>
      <c r="CQ1156" s="93"/>
      <c r="CR1156" s="93"/>
      <c r="CS1156" s="93"/>
      <c r="CT1156" s="93"/>
      <c r="CU1156" s="93"/>
      <c r="CV1156" s="93"/>
      <c r="CW1156" s="93"/>
      <c r="CX1156" s="93"/>
      <c r="CY1156" s="93"/>
      <c r="CZ1156" s="93"/>
      <c r="DA1156" s="93"/>
      <c r="DB1156" s="93"/>
      <c r="DC1156" s="93"/>
    </row>
    <row r="1157" spans="30:107" ht="6.95" customHeight="1" x14ac:dyDescent="0.15">
      <c r="AD1157" s="93"/>
      <c r="AE1157" s="93"/>
      <c r="AF1157" s="93"/>
      <c r="AG1157" s="93"/>
      <c r="AH1157" s="93"/>
      <c r="AI1157" s="93"/>
      <c r="AJ1157" s="93"/>
      <c r="AK1157" s="93"/>
      <c r="AL1157" s="93"/>
      <c r="AM1157" s="93"/>
      <c r="AN1157" s="93"/>
      <c r="AO1157" s="93"/>
      <c r="AP1157" s="93"/>
      <c r="AQ1157" s="93"/>
      <c r="AR1157" s="93"/>
      <c r="AS1157" s="93"/>
      <c r="AT1157" s="93"/>
      <c r="AU1157" s="93"/>
      <c r="AV1157" s="93"/>
      <c r="AW1157" s="93"/>
      <c r="AX1157" s="93"/>
      <c r="AY1157" s="93"/>
      <c r="AZ1157" s="93"/>
      <c r="BA1157" s="93"/>
      <c r="BB1157" s="93"/>
      <c r="BC1157" s="93"/>
      <c r="BD1157" s="93"/>
      <c r="BE1157" s="93"/>
      <c r="BF1157" s="93"/>
      <c r="BG1157" s="93"/>
      <c r="BH1157" s="93"/>
      <c r="BI1157" s="93"/>
      <c r="BJ1157" s="93"/>
      <c r="BK1157" s="93"/>
      <c r="BL1157" s="93"/>
      <c r="BM1157" s="93"/>
      <c r="BN1157" s="93"/>
      <c r="BO1157" s="93"/>
      <c r="BP1157" s="93"/>
      <c r="BQ1157" s="93"/>
      <c r="BR1157" s="93"/>
      <c r="BS1157" s="93"/>
      <c r="BT1157" s="93"/>
      <c r="BU1157" s="93"/>
      <c r="BV1157" s="93"/>
      <c r="BW1157" s="93"/>
      <c r="BX1157" s="93"/>
      <c r="BY1157" s="93"/>
      <c r="BZ1157" s="93"/>
      <c r="CA1157" s="93"/>
      <c r="CB1157" s="93"/>
      <c r="CC1157" s="93"/>
      <c r="CD1157" s="93"/>
      <c r="CE1157" s="93"/>
      <c r="CF1157" s="93"/>
      <c r="CG1157" s="93"/>
      <c r="CH1157" s="93"/>
      <c r="CI1157" s="93"/>
      <c r="CJ1157" s="93"/>
      <c r="CK1157" s="93"/>
      <c r="CL1157" s="93"/>
      <c r="CM1157" s="93"/>
      <c r="CN1157" s="93"/>
      <c r="CO1157" s="93"/>
      <c r="CP1157" s="93"/>
      <c r="CQ1157" s="93"/>
      <c r="CR1157" s="93"/>
      <c r="CS1157" s="93"/>
      <c r="CT1157" s="93"/>
      <c r="CU1157" s="93"/>
      <c r="CV1157" s="93"/>
      <c r="CW1157" s="93"/>
      <c r="CX1157" s="93"/>
      <c r="CY1157" s="93"/>
      <c r="CZ1157" s="93"/>
      <c r="DA1157" s="93"/>
      <c r="DB1157" s="93"/>
      <c r="DC1157" s="93"/>
    </row>
    <row r="1158" spans="30:107" ht="6.95" customHeight="1" x14ac:dyDescent="0.15">
      <c r="AD1158" s="93"/>
      <c r="AE1158" s="93"/>
      <c r="AF1158" s="93"/>
      <c r="AG1158" s="93"/>
      <c r="AH1158" s="93"/>
      <c r="AI1158" s="93"/>
      <c r="AJ1158" s="93"/>
      <c r="AK1158" s="93"/>
      <c r="AL1158" s="93"/>
      <c r="AM1158" s="93"/>
      <c r="AN1158" s="93"/>
      <c r="AO1158" s="93"/>
      <c r="AP1158" s="93"/>
      <c r="AQ1158" s="93"/>
      <c r="AR1158" s="93"/>
      <c r="AS1158" s="93"/>
      <c r="AT1158" s="93"/>
      <c r="AU1158" s="93"/>
      <c r="AV1158" s="93"/>
      <c r="AW1158" s="93"/>
      <c r="AX1158" s="93"/>
      <c r="AY1158" s="93"/>
      <c r="AZ1158" s="93"/>
      <c r="BA1158" s="93"/>
      <c r="BB1158" s="93"/>
      <c r="BC1158" s="93"/>
      <c r="BD1158" s="93"/>
      <c r="BE1158" s="93"/>
      <c r="BF1158" s="93"/>
      <c r="BG1158" s="93"/>
      <c r="BH1158" s="93"/>
      <c r="BI1158" s="93"/>
      <c r="BJ1158" s="93"/>
      <c r="BK1158" s="93"/>
      <c r="BL1158" s="93"/>
      <c r="BM1158" s="93"/>
      <c r="BN1158" s="93"/>
      <c r="BO1158" s="93"/>
      <c r="BP1158" s="93"/>
      <c r="BQ1158" s="93"/>
      <c r="BR1158" s="93"/>
      <c r="BS1158" s="93"/>
      <c r="BT1158" s="93"/>
      <c r="BU1158" s="93"/>
      <c r="BV1158" s="93"/>
      <c r="BW1158" s="93"/>
      <c r="BX1158" s="93"/>
      <c r="BY1158" s="93"/>
      <c r="BZ1158" s="93"/>
      <c r="CA1158" s="93"/>
      <c r="CB1158" s="93"/>
      <c r="CC1158" s="93"/>
      <c r="CD1158" s="93"/>
      <c r="CE1158" s="93"/>
      <c r="CF1158" s="93"/>
      <c r="CG1158" s="93"/>
      <c r="CH1158" s="93"/>
      <c r="CI1158" s="93"/>
      <c r="CJ1158" s="93"/>
      <c r="CK1158" s="93"/>
      <c r="CL1158" s="93"/>
      <c r="CM1158" s="93"/>
      <c r="CN1158" s="93"/>
      <c r="CO1158" s="93"/>
      <c r="CP1158" s="93"/>
      <c r="CQ1158" s="93"/>
      <c r="CR1158" s="93"/>
      <c r="CS1158" s="93"/>
      <c r="CT1158" s="93"/>
      <c r="CU1158" s="93"/>
      <c r="CV1158" s="93"/>
      <c r="CW1158" s="93"/>
      <c r="CX1158" s="93"/>
      <c r="CY1158" s="93"/>
      <c r="CZ1158" s="93"/>
      <c r="DA1158" s="93"/>
      <c r="DB1158" s="93"/>
      <c r="DC1158" s="93"/>
    </row>
    <row r="1159" spans="30:107" ht="6.95" customHeight="1" x14ac:dyDescent="0.15">
      <c r="AD1159" s="93"/>
      <c r="AE1159" s="93"/>
      <c r="AF1159" s="93"/>
      <c r="AG1159" s="93"/>
      <c r="AH1159" s="93"/>
      <c r="AI1159" s="93"/>
      <c r="AJ1159" s="93"/>
      <c r="AK1159" s="93"/>
      <c r="AL1159" s="93"/>
      <c r="AM1159" s="93"/>
      <c r="AN1159" s="93"/>
      <c r="AO1159" s="93"/>
      <c r="AP1159" s="93"/>
      <c r="AQ1159" s="93"/>
      <c r="AR1159" s="93"/>
      <c r="AS1159" s="93"/>
      <c r="AT1159" s="93"/>
      <c r="AU1159" s="93"/>
      <c r="AV1159" s="93"/>
      <c r="AW1159" s="93"/>
      <c r="AX1159" s="93"/>
      <c r="AY1159" s="93"/>
      <c r="AZ1159" s="93"/>
      <c r="BA1159" s="93"/>
      <c r="BB1159" s="93"/>
      <c r="BC1159" s="93"/>
      <c r="BD1159" s="93"/>
      <c r="BE1159" s="93"/>
      <c r="BF1159" s="93"/>
      <c r="BG1159" s="93"/>
      <c r="BH1159" s="93"/>
      <c r="BI1159" s="93"/>
      <c r="BJ1159" s="93"/>
      <c r="BK1159" s="93"/>
      <c r="BL1159" s="93"/>
      <c r="BM1159" s="93"/>
      <c r="BN1159" s="93"/>
      <c r="BO1159" s="93"/>
      <c r="BP1159" s="93"/>
      <c r="BQ1159" s="93"/>
      <c r="BR1159" s="93"/>
      <c r="BS1159" s="93"/>
      <c r="BT1159" s="93"/>
      <c r="BU1159" s="93"/>
      <c r="BV1159" s="93"/>
      <c r="BW1159" s="93"/>
      <c r="BX1159" s="93"/>
      <c r="BY1159" s="93"/>
      <c r="BZ1159" s="93"/>
      <c r="CA1159" s="93"/>
      <c r="CB1159" s="93"/>
      <c r="CC1159" s="93"/>
      <c r="CD1159" s="93"/>
      <c r="CE1159" s="93"/>
      <c r="CF1159" s="93"/>
      <c r="CG1159" s="93"/>
      <c r="CH1159" s="93"/>
      <c r="CI1159" s="93"/>
      <c r="CJ1159" s="93"/>
      <c r="CK1159" s="93"/>
      <c r="CL1159" s="93"/>
      <c r="CM1159" s="93"/>
      <c r="CN1159" s="93"/>
      <c r="CO1159" s="93"/>
      <c r="CP1159" s="93"/>
      <c r="CQ1159" s="93"/>
      <c r="CR1159" s="93"/>
      <c r="CS1159" s="93"/>
      <c r="CT1159" s="93"/>
      <c r="CU1159" s="93"/>
      <c r="CV1159" s="93"/>
      <c r="CW1159" s="93"/>
      <c r="CX1159" s="93"/>
      <c r="CY1159" s="93"/>
      <c r="CZ1159" s="93"/>
      <c r="DA1159" s="93"/>
      <c r="DB1159" s="93"/>
      <c r="DC1159" s="93"/>
    </row>
    <row r="1160" spans="30:107" ht="6.95" customHeight="1" x14ac:dyDescent="0.15">
      <c r="AD1160" s="93"/>
      <c r="AE1160" s="93"/>
      <c r="AF1160" s="93"/>
      <c r="AG1160" s="93"/>
      <c r="AH1160" s="93"/>
      <c r="AI1160" s="93"/>
      <c r="AJ1160" s="93"/>
      <c r="AK1160" s="93"/>
      <c r="AL1160" s="93"/>
      <c r="AM1160" s="93"/>
      <c r="AN1160" s="93"/>
      <c r="AO1160" s="93"/>
      <c r="AP1160" s="93"/>
      <c r="AQ1160" s="93"/>
      <c r="AR1160" s="93"/>
      <c r="AS1160" s="93"/>
      <c r="AT1160" s="93"/>
      <c r="AU1160" s="93"/>
      <c r="AV1160" s="93"/>
      <c r="AW1160" s="93"/>
      <c r="AX1160" s="93"/>
      <c r="AY1160" s="93"/>
      <c r="AZ1160" s="93"/>
      <c r="BA1160" s="93"/>
      <c r="BB1160" s="93"/>
      <c r="BC1160" s="93"/>
      <c r="BD1160" s="93"/>
      <c r="BE1160" s="93"/>
      <c r="BF1160" s="93"/>
      <c r="BG1160" s="93"/>
      <c r="BH1160" s="93"/>
      <c r="BI1160" s="93"/>
      <c r="BJ1160" s="93"/>
      <c r="BK1160" s="93"/>
      <c r="BL1160" s="93"/>
      <c r="BM1160" s="93"/>
      <c r="BN1160" s="93"/>
      <c r="BO1160" s="93"/>
      <c r="BP1160" s="93"/>
      <c r="BQ1160" s="93"/>
      <c r="BR1160" s="93"/>
      <c r="BS1160" s="93"/>
      <c r="BT1160" s="93"/>
      <c r="BU1160" s="93"/>
      <c r="BV1160" s="93"/>
      <c r="BW1160" s="93"/>
      <c r="BX1160" s="93"/>
      <c r="BY1160" s="93"/>
      <c r="BZ1160" s="93"/>
      <c r="CA1160" s="93"/>
      <c r="CB1160" s="93"/>
      <c r="CC1160" s="93"/>
      <c r="CD1160" s="93"/>
      <c r="CE1160" s="93"/>
      <c r="CF1160" s="93"/>
      <c r="CG1160" s="93"/>
      <c r="CH1160" s="93"/>
      <c r="CI1160" s="93"/>
      <c r="CJ1160" s="93"/>
      <c r="CK1160" s="93"/>
      <c r="CL1160" s="93"/>
      <c r="CM1160" s="93"/>
      <c r="CN1160" s="93"/>
      <c r="CO1160" s="93"/>
      <c r="CP1160" s="93"/>
      <c r="CQ1160" s="93"/>
      <c r="CR1160" s="93"/>
      <c r="CS1160" s="93"/>
      <c r="CT1160" s="93"/>
      <c r="CU1160" s="93"/>
      <c r="CV1160" s="93"/>
      <c r="CW1160" s="93"/>
      <c r="CX1160" s="93"/>
      <c r="CY1160" s="93"/>
      <c r="CZ1160" s="93"/>
      <c r="DA1160" s="93"/>
      <c r="DB1160" s="93"/>
      <c r="DC1160" s="93"/>
    </row>
    <row r="1161" spans="30:107" ht="6.95" customHeight="1" x14ac:dyDescent="0.15">
      <c r="AD1161" s="93"/>
      <c r="AE1161" s="93"/>
      <c r="AF1161" s="93"/>
      <c r="AG1161" s="93"/>
      <c r="AH1161" s="93"/>
      <c r="AI1161" s="93"/>
      <c r="AJ1161" s="93"/>
      <c r="AK1161" s="93"/>
      <c r="AL1161" s="93"/>
      <c r="AM1161" s="93"/>
      <c r="AN1161" s="93"/>
      <c r="AO1161" s="93"/>
      <c r="AP1161" s="93"/>
      <c r="AQ1161" s="93"/>
      <c r="AR1161" s="93"/>
      <c r="AS1161" s="93"/>
      <c r="AT1161" s="93"/>
      <c r="AU1161" s="93"/>
      <c r="AV1161" s="93"/>
      <c r="AW1161" s="93"/>
      <c r="AX1161" s="93"/>
      <c r="AY1161" s="93"/>
      <c r="AZ1161" s="93"/>
      <c r="BA1161" s="93"/>
      <c r="BB1161" s="93"/>
      <c r="BC1161" s="93"/>
      <c r="BD1161" s="93"/>
      <c r="BE1161" s="93"/>
      <c r="BF1161" s="93"/>
      <c r="BG1161" s="93"/>
      <c r="BH1161" s="93"/>
      <c r="BI1161" s="93"/>
      <c r="BJ1161" s="93"/>
      <c r="BK1161" s="93"/>
      <c r="BL1161" s="93"/>
      <c r="BM1161" s="93"/>
      <c r="BN1161" s="93"/>
      <c r="BO1161" s="93"/>
      <c r="BP1161" s="93"/>
      <c r="BQ1161" s="93"/>
      <c r="BR1161" s="93"/>
      <c r="BS1161" s="93"/>
      <c r="BT1161" s="93"/>
      <c r="BU1161" s="93"/>
      <c r="BV1161" s="93"/>
      <c r="BW1161" s="93"/>
      <c r="BX1161" s="93"/>
      <c r="BY1161" s="93"/>
      <c r="BZ1161" s="93"/>
      <c r="CA1161" s="93"/>
      <c r="CB1161" s="93"/>
      <c r="CC1161" s="93"/>
      <c r="CD1161" s="93"/>
      <c r="CE1161" s="93"/>
      <c r="CF1161" s="93"/>
      <c r="CG1161" s="93"/>
      <c r="CH1161" s="93"/>
      <c r="CI1161" s="93"/>
      <c r="CJ1161" s="93"/>
      <c r="CK1161" s="93"/>
      <c r="CL1161" s="93"/>
      <c r="CM1161" s="93"/>
      <c r="CN1161" s="93"/>
      <c r="CO1161" s="93"/>
      <c r="CP1161" s="93"/>
      <c r="CQ1161" s="93"/>
      <c r="CR1161" s="93"/>
      <c r="CS1161" s="93"/>
      <c r="CT1161" s="93"/>
      <c r="CU1161" s="93"/>
      <c r="CV1161" s="93"/>
      <c r="CW1161" s="93"/>
      <c r="CX1161" s="93"/>
      <c r="CY1161" s="93"/>
      <c r="CZ1161" s="93"/>
      <c r="DA1161" s="93"/>
      <c r="DB1161" s="93"/>
      <c r="DC1161" s="93"/>
    </row>
    <row r="1162" spans="30:107" ht="6.95" customHeight="1" x14ac:dyDescent="0.15">
      <c r="AD1162" s="93"/>
      <c r="AE1162" s="93"/>
      <c r="AF1162" s="93"/>
      <c r="AG1162" s="93"/>
      <c r="AH1162" s="93"/>
      <c r="AI1162" s="93"/>
      <c r="AJ1162" s="93"/>
      <c r="AK1162" s="93"/>
      <c r="AL1162" s="93"/>
      <c r="AM1162" s="93"/>
      <c r="AN1162" s="93"/>
      <c r="AO1162" s="93"/>
      <c r="AP1162" s="93"/>
      <c r="AQ1162" s="93"/>
      <c r="AR1162" s="93"/>
      <c r="AS1162" s="93"/>
      <c r="AT1162" s="93"/>
      <c r="AU1162" s="93"/>
      <c r="AV1162" s="93"/>
      <c r="AW1162" s="93"/>
      <c r="AX1162" s="93"/>
      <c r="AY1162" s="93"/>
      <c r="AZ1162" s="93"/>
      <c r="BA1162" s="93"/>
      <c r="BB1162" s="93"/>
      <c r="BC1162" s="93"/>
      <c r="BD1162" s="93"/>
      <c r="BE1162" s="93"/>
      <c r="BF1162" s="93"/>
      <c r="BG1162" s="93"/>
      <c r="BH1162" s="93"/>
      <c r="BI1162" s="93"/>
      <c r="BJ1162" s="93"/>
      <c r="BK1162" s="93"/>
      <c r="BL1162" s="93"/>
      <c r="BM1162" s="93"/>
      <c r="BN1162" s="93"/>
      <c r="BO1162" s="93"/>
      <c r="BP1162" s="93"/>
      <c r="BQ1162" s="93"/>
      <c r="BR1162" s="93"/>
      <c r="BS1162" s="93"/>
      <c r="BT1162" s="93"/>
      <c r="BU1162" s="93"/>
      <c r="BV1162" s="93"/>
      <c r="BW1162" s="93"/>
      <c r="BX1162" s="93"/>
      <c r="BY1162" s="93"/>
      <c r="BZ1162" s="93"/>
      <c r="CA1162" s="93"/>
      <c r="CB1162" s="93"/>
      <c r="CC1162" s="93"/>
      <c r="CD1162" s="93"/>
      <c r="CE1162" s="93"/>
      <c r="CF1162" s="93"/>
      <c r="CG1162" s="93"/>
      <c r="CH1162" s="93"/>
      <c r="CI1162" s="93"/>
      <c r="CJ1162" s="93"/>
      <c r="CK1162" s="93"/>
      <c r="CL1162" s="93"/>
      <c r="CM1162" s="93"/>
      <c r="CN1162" s="93"/>
      <c r="CO1162" s="93"/>
      <c r="CP1162" s="93"/>
      <c r="CQ1162" s="93"/>
      <c r="CR1162" s="93"/>
      <c r="CS1162" s="93"/>
      <c r="CT1162" s="93"/>
      <c r="CU1162" s="93"/>
      <c r="CV1162" s="93"/>
      <c r="CW1162" s="93"/>
      <c r="CX1162" s="93"/>
      <c r="CY1162" s="93"/>
      <c r="CZ1162" s="93"/>
      <c r="DA1162" s="93"/>
      <c r="DB1162" s="93"/>
      <c r="DC1162" s="93"/>
    </row>
    <row r="1163" spans="30:107" ht="6.95" customHeight="1" x14ac:dyDescent="0.15">
      <c r="AD1163" s="93"/>
      <c r="AE1163" s="93"/>
      <c r="AF1163" s="93"/>
      <c r="AG1163" s="93"/>
      <c r="AH1163" s="93"/>
      <c r="AI1163" s="93"/>
      <c r="AJ1163" s="93"/>
      <c r="AK1163" s="93"/>
      <c r="AL1163" s="93"/>
      <c r="AM1163" s="93"/>
      <c r="AN1163" s="93"/>
      <c r="AO1163" s="93"/>
      <c r="AP1163" s="93"/>
      <c r="AQ1163" s="93"/>
      <c r="AR1163" s="93"/>
      <c r="AS1163" s="93"/>
      <c r="AT1163" s="93"/>
      <c r="AU1163" s="93"/>
      <c r="AV1163" s="93"/>
      <c r="AW1163" s="93"/>
      <c r="AX1163" s="93"/>
      <c r="AY1163" s="93"/>
      <c r="AZ1163" s="93"/>
      <c r="BA1163" s="93"/>
      <c r="BB1163" s="93"/>
      <c r="BC1163" s="93"/>
      <c r="BD1163" s="93"/>
      <c r="BE1163" s="93"/>
      <c r="BF1163" s="93"/>
      <c r="BG1163" s="93"/>
      <c r="BH1163" s="93"/>
      <c r="BI1163" s="93"/>
      <c r="BJ1163" s="93"/>
      <c r="BK1163" s="93"/>
      <c r="BL1163" s="93"/>
      <c r="BM1163" s="93"/>
      <c r="BN1163" s="93"/>
      <c r="BO1163" s="93"/>
      <c r="BP1163" s="93"/>
      <c r="BQ1163" s="93"/>
      <c r="BR1163" s="93"/>
      <c r="BS1163" s="93"/>
      <c r="BT1163" s="93"/>
      <c r="BU1163" s="93"/>
      <c r="BV1163" s="93"/>
      <c r="BW1163" s="93"/>
      <c r="BX1163" s="93"/>
      <c r="BY1163" s="93"/>
      <c r="BZ1163" s="93"/>
      <c r="CA1163" s="93"/>
      <c r="CB1163" s="93"/>
      <c r="CC1163" s="93"/>
      <c r="CD1163" s="93"/>
      <c r="CE1163" s="93"/>
      <c r="CF1163" s="93"/>
      <c r="CG1163" s="93"/>
      <c r="CH1163" s="93"/>
      <c r="CI1163" s="93"/>
      <c r="CJ1163" s="93"/>
      <c r="CK1163" s="93"/>
      <c r="CL1163" s="93"/>
      <c r="CM1163" s="93"/>
      <c r="CN1163" s="93"/>
      <c r="CO1163" s="93"/>
      <c r="CP1163" s="93"/>
      <c r="CQ1163" s="93"/>
      <c r="CR1163" s="93"/>
      <c r="CS1163" s="93"/>
      <c r="CT1163" s="93"/>
      <c r="CU1163" s="93"/>
      <c r="CV1163" s="93"/>
      <c r="CW1163" s="93"/>
      <c r="CX1163" s="93"/>
      <c r="CY1163" s="93"/>
      <c r="CZ1163" s="93"/>
      <c r="DA1163" s="93"/>
      <c r="DB1163" s="93"/>
      <c r="DC1163" s="93"/>
    </row>
    <row r="1164" spans="30:107" ht="6.95" customHeight="1" x14ac:dyDescent="0.15">
      <c r="AD1164" s="93"/>
      <c r="AE1164" s="93"/>
      <c r="AF1164" s="93"/>
      <c r="AG1164" s="93"/>
      <c r="AH1164" s="93"/>
      <c r="AI1164" s="93"/>
      <c r="AJ1164" s="93"/>
      <c r="AK1164" s="93"/>
      <c r="AL1164" s="93"/>
      <c r="AM1164" s="93"/>
      <c r="AN1164" s="93"/>
      <c r="AO1164" s="93"/>
      <c r="AP1164" s="93"/>
      <c r="AQ1164" s="93"/>
      <c r="AR1164" s="93"/>
      <c r="AS1164" s="93"/>
      <c r="AT1164" s="93"/>
      <c r="AU1164" s="93"/>
      <c r="AV1164" s="93"/>
      <c r="AW1164" s="93"/>
      <c r="AX1164" s="93"/>
      <c r="AY1164" s="93"/>
      <c r="AZ1164" s="93"/>
      <c r="BA1164" s="93"/>
      <c r="BB1164" s="93"/>
      <c r="BC1164" s="93"/>
      <c r="BD1164" s="93"/>
      <c r="BE1164" s="93"/>
      <c r="BF1164" s="93"/>
      <c r="BG1164" s="93"/>
      <c r="BH1164" s="93"/>
      <c r="BI1164" s="93"/>
      <c r="BJ1164" s="93"/>
      <c r="BK1164" s="93"/>
      <c r="BL1164" s="93"/>
      <c r="BM1164" s="93"/>
      <c r="BN1164" s="93"/>
      <c r="BO1164" s="93"/>
      <c r="BP1164" s="93"/>
      <c r="BQ1164" s="93"/>
      <c r="BR1164" s="93"/>
      <c r="BS1164" s="93"/>
      <c r="BT1164" s="93"/>
      <c r="BU1164" s="93"/>
      <c r="BV1164" s="93"/>
      <c r="BW1164" s="93"/>
      <c r="BX1164" s="93"/>
      <c r="BY1164" s="93"/>
      <c r="BZ1164" s="93"/>
      <c r="CA1164" s="93"/>
      <c r="CB1164" s="93"/>
      <c r="CC1164" s="93"/>
      <c r="CD1164" s="93"/>
      <c r="CE1164" s="93"/>
      <c r="CF1164" s="93"/>
      <c r="CG1164" s="93"/>
      <c r="CH1164" s="93"/>
      <c r="CI1164" s="93"/>
      <c r="CJ1164" s="93"/>
      <c r="CK1164" s="93"/>
      <c r="CL1164" s="93"/>
      <c r="CM1164" s="93"/>
      <c r="CN1164" s="93"/>
      <c r="CO1164" s="93"/>
      <c r="CP1164" s="93"/>
      <c r="CQ1164" s="93"/>
      <c r="CR1164" s="93"/>
      <c r="CS1164" s="93"/>
      <c r="CT1164" s="93"/>
      <c r="CU1164" s="93"/>
      <c r="CV1164" s="93"/>
      <c r="CW1164" s="93"/>
      <c r="CX1164" s="93"/>
      <c r="CY1164" s="93"/>
      <c r="CZ1164" s="93"/>
      <c r="DA1164" s="93"/>
      <c r="DB1164" s="93"/>
      <c r="DC1164" s="93"/>
    </row>
    <row r="1165" spans="30:107" ht="6.95" customHeight="1" x14ac:dyDescent="0.15">
      <c r="AD1165" s="93"/>
      <c r="AE1165" s="93"/>
      <c r="AF1165" s="93"/>
      <c r="AG1165" s="93"/>
      <c r="AH1165" s="93"/>
      <c r="AI1165" s="93"/>
      <c r="AJ1165" s="93"/>
      <c r="AK1165" s="93"/>
      <c r="AL1165" s="93"/>
      <c r="AM1165" s="93"/>
      <c r="AN1165" s="93"/>
      <c r="AO1165" s="93"/>
      <c r="AP1165" s="93"/>
      <c r="AQ1165" s="93"/>
      <c r="AR1165" s="93"/>
      <c r="AS1165" s="93"/>
      <c r="AT1165" s="93"/>
      <c r="AU1165" s="93"/>
      <c r="AV1165" s="93"/>
      <c r="AW1165" s="93"/>
      <c r="AX1165" s="93"/>
      <c r="AY1165" s="93"/>
      <c r="AZ1165" s="93"/>
      <c r="BA1165" s="93"/>
      <c r="BB1165" s="93"/>
      <c r="BC1165" s="93"/>
      <c r="BD1165" s="93"/>
      <c r="BE1165" s="93"/>
      <c r="BF1165" s="93"/>
      <c r="BG1165" s="93"/>
      <c r="BH1165" s="93"/>
      <c r="BI1165" s="93"/>
      <c r="BJ1165" s="93"/>
      <c r="BK1165" s="93"/>
      <c r="BL1165" s="93"/>
      <c r="BM1165" s="93"/>
      <c r="BN1165" s="93"/>
      <c r="BO1165" s="93"/>
      <c r="BP1165" s="93"/>
      <c r="BQ1165" s="93"/>
      <c r="BR1165" s="93"/>
      <c r="BS1165" s="93"/>
      <c r="BT1165" s="93"/>
      <c r="BU1165" s="93"/>
      <c r="BV1165" s="93"/>
      <c r="BW1165" s="93"/>
      <c r="BX1165" s="93"/>
      <c r="BY1165" s="93"/>
      <c r="BZ1165" s="93"/>
      <c r="CA1165" s="93"/>
      <c r="CB1165" s="93"/>
      <c r="CC1165" s="93"/>
      <c r="CD1165" s="93"/>
      <c r="CE1165" s="93"/>
      <c r="CF1165" s="93"/>
      <c r="CG1165" s="93"/>
      <c r="CH1165" s="93"/>
      <c r="CI1165" s="93"/>
      <c r="CJ1165" s="93"/>
      <c r="CK1165" s="93"/>
      <c r="CL1165" s="93"/>
      <c r="CM1165" s="93"/>
      <c r="CN1165" s="93"/>
      <c r="CO1165" s="93"/>
      <c r="CP1165" s="93"/>
      <c r="CQ1165" s="93"/>
      <c r="CR1165" s="93"/>
      <c r="CS1165" s="93"/>
      <c r="CT1165" s="93"/>
      <c r="CU1165" s="93"/>
      <c r="CV1165" s="93"/>
      <c r="CW1165" s="93"/>
      <c r="CX1165" s="93"/>
      <c r="CY1165" s="93"/>
      <c r="CZ1165" s="93"/>
      <c r="DA1165" s="93"/>
      <c r="DB1165" s="93"/>
      <c r="DC1165" s="93"/>
    </row>
    <row r="1166" spans="30:107" ht="6.95" customHeight="1" x14ac:dyDescent="0.15">
      <c r="AD1166" s="93"/>
      <c r="AE1166" s="93"/>
      <c r="AF1166" s="93"/>
      <c r="AG1166" s="93"/>
      <c r="AH1166" s="93"/>
      <c r="AI1166" s="93"/>
      <c r="AJ1166" s="93"/>
      <c r="AK1166" s="93"/>
      <c r="AL1166" s="93"/>
      <c r="AM1166" s="93"/>
      <c r="AN1166" s="93"/>
      <c r="AO1166" s="93"/>
      <c r="AP1166" s="93"/>
      <c r="AQ1166" s="93"/>
      <c r="AR1166" s="93"/>
      <c r="AS1166" s="93"/>
      <c r="AT1166" s="93"/>
      <c r="AU1166" s="93"/>
      <c r="AV1166" s="93"/>
      <c r="AW1166" s="93"/>
      <c r="AX1166" s="93"/>
      <c r="AY1166" s="93"/>
      <c r="AZ1166" s="93"/>
      <c r="BA1166" s="93"/>
      <c r="BB1166" s="93"/>
      <c r="BC1166" s="93"/>
      <c r="BD1166" s="93"/>
      <c r="BE1166" s="93"/>
      <c r="BF1166" s="93"/>
      <c r="BG1166" s="93"/>
      <c r="BH1166" s="93"/>
      <c r="BI1166" s="93"/>
      <c r="BJ1166" s="93"/>
      <c r="BK1166" s="93"/>
      <c r="BL1166" s="93"/>
      <c r="BM1166" s="93"/>
      <c r="BN1166" s="93"/>
      <c r="BO1166" s="93"/>
      <c r="BP1166" s="93"/>
      <c r="BQ1166" s="93"/>
      <c r="BR1166" s="93"/>
      <c r="BS1166" s="93"/>
      <c r="BT1166" s="93"/>
      <c r="BU1166" s="93"/>
      <c r="BV1166" s="93"/>
      <c r="BW1166" s="93"/>
      <c r="BX1166" s="93"/>
      <c r="BY1166" s="93"/>
      <c r="BZ1166" s="93"/>
      <c r="CA1166" s="93"/>
      <c r="CB1166" s="93"/>
      <c r="CC1166" s="93"/>
      <c r="CD1166" s="93"/>
      <c r="CE1166" s="93"/>
      <c r="CF1166" s="93"/>
      <c r="CG1166" s="93"/>
      <c r="CH1166" s="93"/>
      <c r="CI1166" s="93"/>
      <c r="CJ1166" s="93"/>
      <c r="CK1166" s="93"/>
      <c r="CL1166" s="93"/>
      <c r="CM1166" s="93"/>
      <c r="CN1166" s="93"/>
      <c r="CO1166" s="93"/>
      <c r="CP1166" s="93"/>
      <c r="CQ1166" s="93"/>
      <c r="CR1166" s="93"/>
      <c r="CS1166" s="93"/>
      <c r="CT1166" s="93"/>
      <c r="CU1166" s="93"/>
      <c r="CV1166" s="93"/>
      <c r="CW1166" s="93"/>
      <c r="CX1166" s="93"/>
      <c r="CY1166" s="93"/>
      <c r="CZ1166" s="93"/>
      <c r="DA1166" s="93"/>
      <c r="DB1166" s="93"/>
      <c r="DC1166" s="93"/>
    </row>
    <row r="1167" spans="30:107" ht="6.95" customHeight="1" x14ac:dyDescent="0.15">
      <c r="AD1167" s="93"/>
      <c r="AE1167" s="93"/>
      <c r="AF1167" s="93"/>
      <c r="AG1167" s="93"/>
      <c r="AH1167" s="93"/>
      <c r="AI1167" s="93"/>
      <c r="AJ1167" s="93"/>
      <c r="AK1167" s="93"/>
      <c r="AL1167" s="93"/>
      <c r="AM1167" s="93"/>
      <c r="AN1167" s="93"/>
      <c r="AO1167" s="93"/>
      <c r="AP1167" s="93"/>
      <c r="AQ1167" s="93"/>
      <c r="AR1167" s="93"/>
      <c r="AS1167" s="93"/>
      <c r="AT1167" s="93"/>
      <c r="AU1167" s="93"/>
      <c r="AV1167" s="93"/>
      <c r="AW1167" s="93"/>
      <c r="AX1167" s="93"/>
      <c r="AY1167" s="93"/>
      <c r="AZ1167" s="93"/>
      <c r="BA1167" s="93"/>
      <c r="BB1167" s="93"/>
      <c r="BC1167" s="93"/>
      <c r="BD1167" s="93"/>
      <c r="BE1167" s="93"/>
      <c r="BF1167" s="93"/>
      <c r="BG1167" s="93"/>
      <c r="BH1167" s="93"/>
      <c r="BI1167" s="93"/>
      <c r="BJ1167" s="93"/>
      <c r="BK1167" s="93"/>
      <c r="BL1167" s="93"/>
      <c r="BM1167" s="93"/>
      <c r="BN1167" s="93"/>
      <c r="BO1167" s="93"/>
      <c r="BP1167" s="93"/>
      <c r="BQ1167" s="93"/>
      <c r="BR1167" s="93"/>
      <c r="BS1167" s="93"/>
      <c r="BT1167" s="93"/>
      <c r="BU1167" s="93"/>
      <c r="BV1167" s="93"/>
      <c r="BW1167" s="93"/>
      <c r="BX1167" s="93"/>
      <c r="BY1167" s="93"/>
      <c r="BZ1167" s="93"/>
      <c r="CA1167" s="93"/>
      <c r="CB1167" s="93"/>
      <c r="CC1167" s="93"/>
      <c r="CD1167" s="93"/>
      <c r="CE1167" s="93"/>
      <c r="CF1167" s="93"/>
      <c r="CG1167" s="93"/>
      <c r="CH1167" s="93"/>
      <c r="CI1167" s="93"/>
      <c r="CJ1167" s="93"/>
      <c r="CK1167" s="93"/>
      <c r="CL1167" s="93"/>
      <c r="CM1167" s="93"/>
      <c r="CN1167" s="93"/>
      <c r="CO1167" s="93"/>
      <c r="CP1167" s="93"/>
      <c r="CQ1167" s="93"/>
      <c r="CR1167" s="93"/>
      <c r="CS1167" s="93"/>
      <c r="CT1167" s="93"/>
      <c r="CU1167" s="93"/>
      <c r="CV1167" s="93"/>
      <c r="CW1167" s="93"/>
      <c r="CX1167" s="93"/>
      <c r="CY1167" s="93"/>
      <c r="CZ1167" s="93"/>
      <c r="DA1167" s="93"/>
      <c r="DB1167" s="93"/>
      <c r="DC1167" s="93"/>
    </row>
    <row r="1168" spans="30:107" ht="6.95" customHeight="1" x14ac:dyDescent="0.15">
      <c r="AD1168" s="93"/>
      <c r="AE1168" s="93"/>
      <c r="AF1168" s="93"/>
      <c r="AG1168" s="93"/>
      <c r="AH1168" s="93"/>
      <c r="AI1168" s="93"/>
      <c r="AJ1168" s="93"/>
      <c r="AK1168" s="93"/>
      <c r="AL1168" s="93"/>
      <c r="AM1168" s="93"/>
      <c r="AN1168" s="93"/>
      <c r="AO1168" s="93"/>
      <c r="AP1168" s="93"/>
      <c r="AQ1168" s="93"/>
      <c r="AR1168" s="93"/>
      <c r="AS1168" s="93"/>
      <c r="AT1168" s="93"/>
      <c r="AU1168" s="93"/>
      <c r="AV1168" s="93"/>
      <c r="AW1168" s="93"/>
      <c r="AX1168" s="93"/>
      <c r="AY1168" s="93"/>
      <c r="AZ1168" s="93"/>
      <c r="BA1168" s="93"/>
      <c r="BB1168" s="93"/>
      <c r="BC1168" s="93"/>
      <c r="BD1168" s="93"/>
      <c r="BE1168" s="93"/>
      <c r="BF1168" s="93"/>
      <c r="BG1168" s="93"/>
      <c r="BH1168" s="93"/>
      <c r="BI1168" s="93"/>
      <c r="BJ1168" s="93"/>
      <c r="BK1168" s="93"/>
      <c r="BL1168" s="93"/>
      <c r="BM1168" s="93"/>
      <c r="BN1168" s="93"/>
      <c r="BO1168" s="93"/>
      <c r="BP1168" s="93"/>
      <c r="BQ1168" s="93"/>
      <c r="BR1168" s="93"/>
      <c r="BS1168" s="93"/>
      <c r="BT1168" s="93"/>
      <c r="BU1168" s="93"/>
      <c r="BV1168" s="93"/>
      <c r="BW1168" s="93"/>
      <c r="BX1168" s="93"/>
      <c r="BY1168" s="93"/>
      <c r="BZ1168" s="93"/>
      <c r="CA1168" s="93"/>
      <c r="CB1168" s="93"/>
      <c r="CC1168" s="93"/>
      <c r="CD1168" s="93"/>
      <c r="CE1168" s="93"/>
      <c r="CF1168" s="93"/>
      <c r="CG1168" s="93"/>
      <c r="CH1168" s="93"/>
      <c r="CI1168" s="93"/>
      <c r="CJ1168" s="93"/>
      <c r="CK1168" s="93"/>
      <c r="CL1168" s="93"/>
      <c r="CM1168" s="93"/>
      <c r="CN1168" s="93"/>
      <c r="CO1168" s="93"/>
      <c r="CP1168" s="93"/>
      <c r="CQ1168" s="93"/>
      <c r="CR1168" s="93"/>
      <c r="CS1168" s="93"/>
      <c r="CT1168" s="93"/>
      <c r="CU1168" s="93"/>
      <c r="CV1168" s="93"/>
      <c r="CW1168" s="93"/>
      <c r="CX1168" s="93"/>
      <c r="CY1168" s="93"/>
      <c r="CZ1168" s="93"/>
      <c r="DA1168" s="93"/>
      <c r="DB1168" s="93"/>
      <c r="DC1168" s="93"/>
    </row>
    <row r="1169" spans="30:107" ht="6.95" customHeight="1" x14ac:dyDescent="0.15">
      <c r="AD1169" s="93"/>
      <c r="AE1169" s="93"/>
      <c r="AF1169" s="93"/>
      <c r="AG1169" s="93"/>
      <c r="AH1169" s="93"/>
      <c r="AI1169" s="93"/>
      <c r="AJ1169" s="93"/>
      <c r="AK1169" s="93"/>
      <c r="AL1169" s="93"/>
      <c r="AM1169" s="93"/>
      <c r="AN1169" s="93"/>
      <c r="AO1169" s="93"/>
      <c r="AP1169" s="93"/>
      <c r="AQ1169" s="93"/>
      <c r="AR1169" s="93"/>
      <c r="AS1169" s="93"/>
      <c r="AT1169" s="93"/>
      <c r="AU1169" s="93"/>
      <c r="AV1169" s="93"/>
      <c r="AW1169" s="93"/>
      <c r="AX1169" s="93"/>
      <c r="AY1169" s="93"/>
      <c r="AZ1169" s="93"/>
      <c r="BA1169" s="93"/>
      <c r="BB1169" s="93"/>
      <c r="BC1169" s="93"/>
      <c r="BD1169" s="93"/>
      <c r="BE1169" s="93"/>
      <c r="BF1169" s="93"/>
      <c r="BG1169" s="93"/>
      <c r="BH1169" s="93"/>
      <c r="BI1169" s="93"/>
      <c r="BJ1169" s="93"/>
      <c r="BK1169" s="93"/>
      <c r="BL1169" s="93"/>
      <c r="BM1169" s="93"/>
      <c r="BN1169" s="93"/>
      <c r="BO1169" s="93"/>
      <c r="BP1169" s="93"/>
      <c r="BQ1169" s="93"/>
      <c r="BR1169" s="93"/>
      <c r="BS1169" s="93"/>
      <c r="BT1169" s="93"/>
      <c r="BU1169" s="93"/>
      <c r="BV1169" s="93"/>
      <c r="BW1169" s="93"/>
      <c r="BX1169" s="93"/>
      <c r="BY1169" s="93"/>
      <c r="BZ1169" s="93"/>
      <c r="CA1169" s="93"/>
      <c r="CB1169" s="93"/>
      <c r="CC1169" s="93"/>
      <c r="CD1169" s="93"/>
      <c r="CE1169" s="93"/>
      <c r="CF1169" s="93"/>
      <c r="CG1169" s="93"/>
      <c r="CH1169" s="93"/>
      <c r="CI1169" s="93"/>
      <c r="CJ1169" s="93"/>
      <c r="CK1169" s="93"/>
      <c r="CL1169" s="93"/>
      <c r="CM1169" s="93"/>
      <c r="CN1169" s="93"/>
      <c r="CO1169" s="93"/>
      <c r="CP1169" s="93"/>
      <c r="CQ1169" s="93"/>
      <c r="CR1169" s="93"/>
      <c r="CS1169" s="93"/>
      <c r="CT1169" s="93"/>
      <c r="CU1169" s="93"/>
      <c r="CV1169" s="93"/>
      <c r="CW1169" s="93"/>
      <c r="CX1169" s="93"/>
      <c r="CY1169" s="93"/>
      <c r="CZ1169" s="93"/>
      <c r="DA1169" s="93"/>
      <c r="DB1169" s="93"/>
      <c r="DC1169" s="93"/>
    </row>
    <row r="1170" spans="30:107" ht="6.95" customHeight="1" x14ac:dyDescent="0.15">
      <c r="AD1170" s="93"/>
      <c r="AE1170" s="93"/>
      <c r="AF1170" s="93"/>
      <c r="AG1170" s="93"/>
      <c r="AH1170" s="93"/>
      <c r="AI1170" s="93"/>
      <c r="AJ1170" s="93"/>
      <c r="AK1170" s="93"/>
      <c r="AL1170" s="93"/>
      <c r="AM1170" s="93"/>
      <c r="AN1170" s="93"/>
      <c r="AO1170" s="93"/>
      <c r="AP1170" s="93"/>
      <c r="AQ1170" s="93"/>
      <c r="AR1170" s="93"/>
      <c r="AS1170" s="93"/>
      <c r="AT1170" s="93"/>
      <c r="AU1170" s="93"/>
      <c r="AV1170" s="93"/>
      <c r="AW1170" s="93"/>
      <c r="AX1170" s="93"/>
      <c r="AY1170" s="93"/>
      <c r="AZ1170" s="93"/>
      <c r="BA1170" s="93"/>
      <c r="BB1170" s="93"/>
      <c r="BC1170" s="93"/>
      <c r="BD1170" s="93"/>
      <c r="BE1170" s="93"/>
      <c r="BF1170" s="93"/>
      <c r="BG1170" s="93"/>
      <c r="BH1170" s="93"/>
      <c r="BI1170" s="93"/>
      <c r="BJ1170" s="93"/>
      <c r="BK1170" s="93"/>
      <c r="BL1170" s="93"/>
      <c r="BM1170" s="93"/>
      <c r="BN1170" s="93"/>
      <c r="BO1170" s="93"/>
      <c r="BP1170" s="93"/>
      <c r="BQ1170" s="93"/>
      <c r="BR1170" s="93"/>
      <c r="BS1170" s="93"/>
      <c r="BT1170" s="93"/>
      <c r="BU1170" s="93"/>
      <c r="BV1170" s="93"/>
      <c r="BW1170" s="93"/>
      <c r="BX1170" s="93"/>
      <c r="BY1170" s="93"/>
      <c r="BZ1170" s="93"/>
      <c r="CA1170" s="93"/>
      <c r="CB1170" s="93"/>
      <c r="CC1170" s="93"/>
      <c r="CD1170" s="93"/>
      <c r="CE1170" s="93"/>
      <c r="CF1170" s="93"/>
      <c r="CG1170" s="93"/>
      <c r="CH1170" s="93"/>
      <c r="CI1170" s="93"/>
      <c r="CJ1170" s="93"/>
      <c r="CK1170" s="93"/>
      <c r="CL1170" s="93"/>
      <c r="CM1170" s="93"/>
      <c r="CN1170" s="93"/>
      <c r="CO1170" s="93"/>
      <c r="CP1170" s="93"/>
      <c r="CQ1170" s="93"/>
      <c r="CR1170" s="93"/>
      <c r="CS1170" s="93"/>
      <c r="CT1170" s="93"/>
      <c r="CU1170" s="93"/>
      <c r="CV1170" s="93"/>
      <c r="CW1170" s="93"/>
      <c r="CX1170" s="93"/>
      <c r="CY1170" s="93"/>
      <c r="CZ1170" s="93"/>
      <c r="DA1170" s="93"/>
      <c r="DB1170" s="93"/>
      <c r="DC1170" s="93"/>
    </row>
    <row r="1171" spans="30:107" ht="6.95" customHeight="1" x14ac:dyDescent="0.15">
      <c r="AD1171" s="93"/>
      <c r="AE1171" s="93"/>
      <c r="AF1171" s="93"/>
      <c r="AG1171" s="93"/>
      <c r="AH1171" s="93"/>
      <c r="AI1171" s="93"/>
      <c r="AJ1171" s="93"/>
      <c r="AK1171" s="93"/>
      <c r="AL1171" s="93"/>
      <c r="AM1171" s="93"/>
      <c r="AN1171" s="93"/>
      <c r="AO1171" s="93"/>
      <c r="AP1171" s="93"/>
      <c r="AQ1171" s="93"/>
      <c r="AR1171" s="93"/>
      <c r="AS1171" s="93"/>
      <c r="AT1171" s="93"/>
      <c r="AU1171" s="93"/>
      <c r="AV1171" s="93"/>
      <c r="AW1171" s="93"/>
      <c r="AX1171" s="93"/>
      <c r="AY1171" s="93"/>
      <c r="AZ1171" s="93"/>
      <c r="BA1171" s="93"/>
      <c r="BB1171" s="93"/>
      <c r="BC1171" s="93"/>
      <c r="BD1171" s="93"/>
      <c r="BE1171" s="93"/>
      <c r="BF1171" s="93"/>
      <c r="BG1171" s="93"/>
      <c r="BH1171" s="93"/>
      <c r="BI1171" s="93"/>
      <c r="BJ1171" s="93"/>
      <c r="BK1171" s="93"/>
      <c r="BL1171" s="93"/>
      <c r="BM1171" s="93"/>
      <c r="BN1171" s="93"/>
      <c r="BO1171" s="93"/>
      <c r="BP1171" s="93"/>
      <c r="BQ1171" s="93"/>
      <c r="BR1171" s="93"/>
      <c r="BS1171" s="93"/>
      <c r="BT1171" s="93"/>
      <c r="BU1171" s="93"/>
      <c r="BV1171" s="93"/>
      <c r="BW1171" s="93"/>
      <c r="BX1171" s="93"/>
      <c r="BY1171" s="93"/>
      <c r="BZ1171" s="93"/>
      <c r="CA1171" s="93"/>
      <c r="CB1171" s="93"/>
      <c r="CC1171" s="93"/>
      <c r="CD1171" s="93"/>
      <c r="CE1171" s="93"/>
      <c r="CF1171" s="93"/>
      <c r="CG1171" s="93"/>
      <c r="CH1171" s="93"/>
      <c r="CI1171" s="93"/>
      <c r="CJ1171" s="93"/>
      <c r="CK1171" s="93"/>
      <c r="CL1171" s="93"/>
      <c r="CM1171" s="93"/>
      <c r="CN1171" s="93"/>
      <c r="CO1171" s="93"/>
      <c r="CP1171" s="93"/>
      <c r="CQ1171" s="93"/>
      <c r="CR1171" s="93"/>
      <c r="CS1171" s="93"/>
      <c r="CT1171" s="93"/>
      <c r="CU1171" s="93"/>
      <c r="CV1171" s="93"/>
      <c r="CW1171" s="93"/>
      <c r="CX1171" s="93"/>
      <c r="CY1171" s="93"/>
      <c r="CZ1171" s="93"/>
      <c r="DA1171" s="93"/>
      <c r="DB1171" s="93"/>
      <c r="DC1171" s="93"/>
    </row>
    <row r="1172" spans="30:107" ht="6.95" customHeight="1" x14ac:dyDescent="0.15">
      <c r="AD1172" s="93"/>
      <c r="AE1172" s="93"/>
      <c r="AF1172" s="93"/>
      <c r="AG1172" s="93"/>
      <c r="AH1172" s="93"/>
      <c r="AI1172" s="93"/>
      <c r="AJ1172" s="93"/>
      <c r="AK1172" s="93"/>
      <c r="AL1172" s="93"/>
      <c r="AM1172" s="93"/>
      <c r="AN1172" s="93"/>
      <c r="AO1172" s="93"/>
      <c r="AP1172" s="93"/>
      <c r="AQ1172" s="93"/>
      <c r="AR1172" s="93"/>
      <c r="AS1172" s="93"/>
      <c r="AT1172" s="93"/>
      <c r="AU1172" s="93"/>
      <c r="AV1172" s="93"/>
      <c r="AW1172" s="93"/>
      <c r="AX1172" s="93"/>
      <c r="AY1172" s="93"/>
      <c r="AZ1172" s="93"/>
      <c r="BA1172" s="93"/>
      <c r="BB1172" s="93"/>
      <c r="BC1172" s="93"/>
      <c r="BD1172" s="93"/>
      <c r="BE1172" s="93"/>
      <c r="BF1172" s="93"/>
      <c r="BG1172" s="93"/>
      <c r="BH1172" s="93"/>
      <c r="BI1172" s="93"/>
      <c r="BJ1172" s="93"/>
      <c r="BK1172" s="93"/>
      <c r="BL1172" s="93"/>
      <c r="BM1172" s="93"/>
      <c r="BN1172" s="93"/>
      <c r="BO1172" s="93"/>
      <c r="BP1172" s="93"/>
      <c r="BQ1172" s="93"/>
      <c r="BR1172" s="93"/>
      <c r="BS1172" s="93"/>
      <c r="BT1172" s="93"/>
      <c r="BU1172" s="93"/>
      <c r="BV1172" s="93"/>
      <c r="BW1172" s="93"/>
      <c r="BX1172" s="93"/>
      <c r="BY1172" s="93"/>
      <c r="BZ1172" s="93"/>
      <c r="CA1172" s="93"/>
      <c r="CB1172" s="93"/>
      <c r="CC1172" s="93"/>
      <c r="CD1172" s="93"/>
      <c r="CE1172" s="93"/>
      <c r="CF1172" s="93"/>
      <c r="CG1172" s="93"/>
      <c r="CH1172" s="93"/>
      <c r="CI1172" s="93"/>
      <c r="CJ1172" s="93"/>
      <c r="CK1172" s="93"/>
      <c r="CL1172" s="93"/>
      <c r="CM1172" s="93"/>
      <c r="CN1172" s="93"/>
      <c r="CO1172" s="93"/>
      <c r="CP1172" s="93"/>
      <c r="CQ1172" s="93"/>
      <c r="CR1172" s="93"/>
      <c r="CS1172" s="93"/>
      <c r="CT1172" s="93"/>
      <c r="CU1172" s="93"/>
      <c r="CV1172" s="93"/>
      <c r="CW1172" s="93"/>
      <c r="CX1172" s="93"/>
      <c r="CY1172" s="93"/>
      <c r="CZ1172" s="93"/>
      <c r="DA1172" s="93"/>
      <c r="DB1172" s="93"/>
      <c r="DC1172" s="93"/>
    </row>
    <row r="1173" spans="30:107" ht="6.95" customHeight="1" x14ac:dyDescent="0.15">
      <c r="AD1173" s="93"/>
      <c r="AE1173" s="93"/>
      <c r="AF1173" s="93"/>
      <c r="AG1173" s="93"/>
      <c r="AH1173" s="93"/>
      <c r="AI1173" s="93"/>
      <c r="AJ1173" s="93"/>
      <c r="AK1173" s="93"/>
      <c r="AL1173" s="93"/>
      <c r="AM1173" s="93"/>
      <c r="AN1173" s="93"/>
      <c r="AO1173" s="93"/>
      <c r="AP1173" s="93"/>
      <c r="AQ1173" s="93"/>
      <c r="AR1173" s="93"/>
      <c r="AS1173" s="93"/>
      <c r="AT1173" s="93"/>
      <c r="AU1173" s="93"/>
      <c r="AV1173" s="93"/>
      <c r="AW1173" s="93"/>
      <c r="AX1173" s="93"/>
      <c r="AY1173" s="93"/>
      <c r="AZ1173" s="93"/>
      <c r="BA1173" s="93"/>
      <c r="BB1173" s="93"/>
      <c r="BC1173" s="93"/>
      <c r="BD1173" s="93"/>
      <c r="BE1173" s="93"/>
      <c r="BF1173" s="93"/>
      <c r="BG1173" s="93"/>
      <c r="BH1173" s="93"/>
      <c r="BI1173" s="93"/>
      <c r="BJ1173" s="93"/>
      <c r="BK1173" s="93"/>
      <c r="BL1173" s="93"/>
      <c r="BM1173" s="93"/>
      <c r="BN1173" s="93"/>
      <c r="BO1173" s="93"/>
      <c r="BP1173" s="93"/>
      <c r="BQ1173" s="93"/>
      <c r="BR1173" s="93"/>
      <c r="BS1173" s="93"/>
      <c r="BT1173" s="93"/>
      <c r="BU1173" s="93"/>
      <c r="BV1173" s="93"/>
      <c r="BW1173" s="93"/>
      <c r="BX1173" s="93"/>
      <c r="BY1173" s="93"/>
      <c r="BZ1173" s="93"/>
      <c r="CA1173" s="93"/>
      <c r="CB1173" s="93"/>
      <c r="CC1173" s="93"/>
      <c r="CD1173" s="93"/>
      <c r="CE1173" s="93"/>
      <c r="CF1173" s="93"/>
      <c r="CG1173" s="93"/>
      <c r="CH1173" s="93"/>
      <c r="CI1173" s="93"/>
      <c r="CJ1173" s="93"/>
      <c r="CK1173" s="93"/>
      <c r="CL1173" s="93"/>
      <c r="CM1173" s="93"/>
      <c r="CN1173" s="93"/>
      <c r="CO1173" s="93"/>
      <c r="CP1173" s="93"/>
      <c r="CQ1173" s="93"/>
      <c r="CR1173" s="93"/>
      <c r="CS1173" s="93"/>
      <c r="CT1173" s="93"/>
      <c r="CU1173" s="93"/>
      <c r="CV1173" s="93"/>
      <c r="CW1173" s="93"/>
      <c r="CX1173" s="93"/>
      <c r="CY1173" s="93"/>
      <c r="CZ1173" s="93"/>
      <c r="DA1173" s="93"/>
      <c r="DB1173" s="93"/>
      <c r="DC1173" s="93"/>
    </row>
    <row r="1174" spans="30:107" ht="6.95" customHeight="1" x14ac:dyDescent="0.15">
      <c r="AD1174" s="93"/>
      <c r="AE1174" s="93"/>
      <c r="AF1174" s="93"/>
      <c r="AG1174" s="93"/>
      <c r="AH1174" s="93"/>
      <c r="AI1174" s="93"/>
      <c r="AJ1174" s="93"/>
      <c r="AK1174" s="93"/>
      <c r="AL1174" s="93"/>
      <c r="AM1174" s="93"/>
      <c r="AN1174" s="93"/>
      <c r="AO1174" s="93"/>
      <c r="AP1174" s="93"/>
      <c r="AQ1174" s="93"/>
      <c r="AR1174" s="93"/>
      <c r="AS1174" s="93"/>
      <c r="AT1174" s="93"/>
      <c r="AU1174" s="93"/>
      <c r="AV1174" s="93"/>
      <c r="AW1174" s="93"/>
      <c r="AX1174" s="93"/>
      <c r="AY1174" s="93"/>
      <c r="AZ1174" s="93"/>
      <c r="BA1174" s="93"/>
      <c r="BB1174" s="93"/>
      <c r="BC1174" s="93"/>
      <c r="BD1174" s="93"/>
      <c r="BE1174" s="93"/>
      <c r="BF1174" s="93"/>
      <c r="BG1174" s="93"/>
      <c r="BH1174" s="93"/>
      <c r="BI1174" s="93"/>
      <c r="BJ1174" s="93"/>
      <c r="BK1174" s="93"/>
      <c r="BL1174" s="93"/>
      <c r="BM1174" s="93"/>
      <c r="BN1174" s="93"/>
      <c r="BO1174" s="93"/>
      <c r="BP1174" s="93"/>
      <c r="BQ1174" s="93"/>
      <c r="BR1174" s="93"/>
      <c r="BS1174" s="93"/>
      <c r="BT1174" s="93"/>
      <c r="BU1174" s="93"/>
      <c r="BV1174" s="93"/>
      <c r="BW1174" s="93"/>
      <c r="BX1174" s="93"/>
      <c r="BY1174" s="93"/>
      <c r="BZ1174" s="93"/>
      <c r="CA1174" s="93"/>
      <c r="CB1174" s="93"/>
      <c r="CC1174" s="93"/>
      <c r="CD1174" s="93"/>
      <c r="CE1174" s="93"/>
      <c r="CF1174" s="93"/>
      <c r="CG1174" s="93"/>
      <c r="CH1174" s="93"/>
      <c r="CI1174" s="93"/>
      <c r="CJ1174" s="93"/>
      <c r="CK1174" s="93"/>
      <c r="CL1174" s="93"/>
      <c r="CM1174" s="93"/>
      <c r="CN1174" s="93"/>
      <c r="CO1174" s="93"/>
      <c r="CP1174" s="93"/>
      <c r="CQ1174" s="93"/>
      <c r="CR1174" s="93"/>
      <c r="CS1174" s="93"/>
      <c r="CT1174" s="93"/>
      <c r="CU1174" s="93"/>
      <c r="CV1174" s="93"/>
      <c r="CW1174" s="93"/>
      <c r="CX1174" s="93"/>
      <c r="CY1174" s="93"/>
      <c r="CZ1174" s="93"/>
      <c r="DA1174" s="93"/>
      <c r="DB1174" s="93"/>
      <c r="DC1174" s="93"/>
    </row>
    <row r="1175" spans="30:107" ht="6.95" customHeight="1" x14ac:dyDescent="0.15">
      <c r="AD1175" s="93"/>
      <c r="AE1175" s="93"/>
      <c r="AF1175" s="93"/>
      <c r="AG1175" s="93"/>
      <c r="AH1175" s="93"/>
      <c r="AI1175" s="93"/>
      <c r="AJ1175" s="93"/>
      <c r="AK1175" s="93"/>
      <c r="AL1175" s="93"/>
      <c r="AM1175" s="93"/>
      <c r="AN1175" s="93"/>
      <c r="AO1175" s="93"/>
      <c r="AP1175" s="93"/>
      <c r="AQ1175" s="93"/>
      <c r="AR1175" s="93"/>
      <c r="AS1175" s="93"/>
      <c r="AT1175" s="93"/>
      <c r="AU1175" s="93"/>
      <c r="AV1175" s="93"/>
      <c r="AW1175" s="93"/>
      <c r="AX1175" s="93"/>
      <c r="AY1175" s="93"/>
      <c r="AZ1175" s="93"/>
      <c r="BA1175" s="93"/>
      <c r="BB1175" s="93"/>
      <c r="BC1175" s="93"/>
      <c r="BD1175" s="93"/>
      <c r="BE1175" s="93"/>
      <c r="BF1175" s="93"/>
      <c r="BG1175" s="93"/>
      <c r="BH1175" s="93"/>
      <c r="BI1175" s="93"/>
      <c r="BJ1175" s="93"/>
      <c r="BK1175" s="93"/>
      <c r="BL1175" s="93"/>
      <c r="BM1175" s="93"/>
      <c r="BN1175" s="93"/>
      <c r="BO1175" s="93"/>
      <c r="BP1175" s="93"/>
      <c r="BQ1175" s="93"/>
      <c r="BR1175" s="93"/>
      <c r="BS1175" s="93"/>
      <c r="BT1175" s="93"/>
      <c r="BU1175" s="93"/>
      <c r="BV1175" s="93"/>
      <c r="BW1175" s="93"/>
      <c r="BX1175" s="93"/>
      <c r="BY1175" s="93"/>
      <c r="BZ1175" s="93"/>
      <c r="CA1175" s="93"/>
      <c r="CB1175" s="93"/>
      <c r="CC1175" s="93"/>
      <c r="CD1175" s="93"/>
      <c r="CE1175" s="93"/>
      <c r="CF1175" s="93"/>
      <c r="CG1175" s="93"/>
      <c r="CH1175" s="93"/>
      <c r="CI1175" s="93"/>
      <c r="CJ1175" s="93"/>
      <c r="CK1175" s="93"/>
      <c r="CL1175" s="93"/>
      <c r="CM1175" s="93"/>
      <c r="CN1175" s="93"/>
      <c r="CO1175" s="93"/>
      <c r="CP1175" s="93"/>
      <c r="CQ1175" s="93"/>
      <c r="CR1175" s="93"/>
      <c r="CS1175" s="93"/>
      <c r="CT1175" s="93"/>
      <c r="CU1175" s="93"/>
      <c r="CV1175" s="93"/>
      <c r="CW1175" s="93"/>
      <c r="CX1175" s="93"/>
      <c r="CY1175" s="93"/>
      <c r="CZ1175" s="93"/>
      <c r="DA1175" s="93"/>
      <c r="DB1175" s="93"/>
      <c r="DC1175" s="93"/>
    </row>
    <row r="1176" spans="30:107" ht="6.95" customHeight="1" x14ac:dyDescent="0.15">
      <c r="AD1176" s="93"/>
      <c r="AE1176" s="93"/>
      <c r="AF1176" s="93"/>
      <c r="AG1176" s="93"/>
      <c r="AH1176" s="93"/>
      <c r="AI1176" s="93"/>
      <c r="AJ1176" s="93"/>
      <c r="AK1176" s="93"/>
      <c r="AL1176" s="93"/>
      <c r="AM1176" s="93"/>
      <c r="AN1176" s="93"/>
      <c r="AO1176" s="93"/>
      <c r="AP1176" s="93"/>
      <c r="AQ1176" s="93"/>
      <c r="AR1176" s="93"/>
      <c r="AS1176" s="93"/>
      <c r="AT1176" s="93"/>
      <c r="AU1176" s="93"/>
      <c r="AV1176" s="93"/>
      <c r="AW1176" s="93"/>
      <c r="AX1176" s="93"/>
      <c r="AY1176" s="93"/>
      <c r="AZ1176" s="93"/>
      <c r="BA1176" s="93"/>
      <c r="BB1176" s="93"/>
      <c r="BC1176" s="93"/>
      <c r="BD1176" s="93"/>
      <c r="BE1176" s="93"/>
      <c r="BF1176" s="93"/>
      <c r="BG1176" s="93"/>
      <c r="BH1176" s="93"/>
      <c r="BI1176" s="93"/>
      <c r="BJ1176" s="93"/>
      <c r="BK1176" s="93"/>
      <c r="BL1176" s="93"/>
      <c r="BM1176" s="93"/>
      <c r="BN1176" s="93"/>
      <c r="BO1176" s="93"/>
      <c r="BP1176" s="93"/>
      <c r="BQ1176" s="93"/>
      <c r="BR1176" s="93"/>
      <c r="BS1176" s="93"/>
      <c r="BT1176" s="93"/>
      <c r="BU1176" s="93"/>
      <c r="BV1176" s="93"/>
      <c r="BW1176" s="93"/>
      <c r="BX1176" s="93"/>
      <c r="BY1176" s="93"/>
      <c r="BZ1176" s="93"/>
      <c r="CA1176" s="93"/>
      <c r="CB1176" s="93"/>
      <c r="CC1176" s="93"/>
      <c r="CD1176" s="93"/>
      <c r="CE1176" s="93"/>
      <c r="CF1176" s="93"/>
      <c r="CG1176" s="93"/>
      <c r="CH1176" s="93"/>
      <c r="CI1176" s="93"/>
      <c r="CJ1176" s="93"/>
      <c r="CK1176" s="93"/>
      <c r="CL1176" s="93"/>
      <c r="CM1176" s="93"/>
      <c r="CN1176" s="93"/>
      <c r="CO1176" s="93"/>
      <c r="CP1176" s="93"/>
      <c r="CQ1176" s="93"/>
      <c r="CR1176" s="93"/>
      <c r="CS1176" s="93"/>
      <c r="CT1176" s="93"/>
      <c r="CU1176" s="93"/>
      <c r="CV1176" s="93"/>
      <c r="CW1176" s="93"/>
      <c r="CX1176" s="93"/>
      <c r="CY1176" s="93"/>
      <c r="CZ1176" s="93"/>
      <c r="DA1176" s="93"/>
      <c r="DB1176" s="93"/>
      <c r="DC1176" s="93"/>
    </row>
    <row r="1177" spans="30:107" ht="6.95" customHeight="1" x14ac:dyDescent="0.15">
      <c r="AD1177" s="93"/>
      <c r="AE1177" s="93"/>
      <c r="AF1177" s="93"/>
      <c r="AG1177" s="93"/>
      <c r="AH1177" s="93"/>
      <c r="AI1177" s="93"/>
      <c r="AJ1177" s="93"/>
      <c r="AK1177" s="93"/>
      <c r="AL1177" s="93"/>
      <c r="AM1177" s="93"/>
      <c r="AN1177" s="93"/>
      <c r="AO1177" s="93"/>
      <c r="AP1177" s="93"/>
      <c r="AQ1177" s="93"/>
      <c r="AR1177" s="93"/>
      <c r="AS1177" s="93"/>
      <c r="AT1177" s="93"/>
      <c r="AU1177" s="93"/>
      <c r="AV1177" s="93"/>
      <c r="AW1177" s="93"/>
      <c r="AX1177" s="93"/>
      <c r="AY1177" s="93"/>
      <c r="AZ1177" s="93"/>
      <c r="BA1177" s="93"/>
      <c r="BB1177" s="93"/>
      <c r="BC1177" s="93"/>
      <c r="BD1177" s="93"/>
      <c r="BE1177" s="93"/>
      <c r="BF1177" s="93"/>
      <c r="BG1177" s="93"/>
      <c r="BH1177" s="93"/>
      <c r="BI1177" s="93"/>
      <c r="BJ1177" s="93"/>
      <c r="BK1177" s="93"/>
      <c r="BL1177" s="93"/>
      <c r="BM1177" s="93"/>
      <c r="BN1177" s="93"/>
      <c r="BO1177" s="93"/>
      <c r="BP1177" s="93"/>
      <c r="BQ1177" s="93"/>
      <c r="BR1177" s="93"/>
      <c r="BS1177" s="93"/>
      <c r="BT1177" s="93"/>
      <c r="BU1177" s="93"/>
      <c r="BV1177" s="93"/>
      <c r="BW1177" s="93"/>
      <c r="BX1177" s="93"/>
      <c r="BY1177" s="93"/>
      <c r="BZ1177" s="93"/>
      <c r="CA1177" s="93"/>
      <c r="CB1177" s="93"/>
      <c r="CC1177" s="93"/>
      <c r="CD1177" s="93"/>
      <c r="CE1177" s="93"/>
      <c r="CF1177" s="93"/>
      <c r="CG1177" s="93"/>
      <c r="CH1177" s="93"/>
      <c r="CI1177" s="93"/>
      <c r="CJ1177" s="93"/>
      <c r="CK1177" s="93"/>
      <c r="CL1177" s="93"/>
      <c r="CM1177" s="93"/>
      <c r="CN1177" s="93"/>
      <c r="CO1177" s="93"/>
      <c r="CP1177" s="93"/>
      <c r="CQ1177" s="93"/>
      <c r="CR1177" s="93"/>
      <c r="CS1177" s="93"/>
      <c r="CT1177" s="93"/>
      <c r="CU1177" s="93"/>
      <c r="CV1177" s="93"/>
      <c r="CW1177" s="93"/>
      <c r="CX1177" s="93"/>
      <c r="CY1177" s="93"/>
      <c r="CZ1177" s="93"/>
      <c r="DA1177" s="93"/>
      <c r="DB1177" s="93"/>
      <c r="DC1177" s="93"/>
    </row>
    <row r="1178" spans="30:107" ht="6.95" customHeight="1" x14ac:dyDescent="0.15">
      <c r="AD1178" s="93"/>
      <c r="AE1178" s="93"/>
      <c r="AF1178" s="93"/>
      <c r="AG1178" s="93"/>
      <c r="AH1178" s="93"/>
      <c r="AI1178" s="93"/>
      <c r="AJ1178" s="93"/>
      <c r="AK1178" s="93"/>
      <c r="AL1178" s="93"/>
      <c r="AM1178" s="93"/>
      <c r="AN1178" s="93"/>
      <c r="AO1178" s="93"/>
      <c r="AP1178" s="93"/>
      <c r="AQ1178" s="93"/>
      <c r="AR1178" s="93"/>
      <c r="AS1178" s="93"/>
      <c r="AT1178" s="93"/>
      <c r="AU1178" s="93"/>
      <c r="AV1178" s="93"/>
      <c r="AW1178" s="93"/>
      <c r="AX1178" s="93"/>
      <c r="AY1178" s="93"/>
      <c r="AZ1178" s="93"/>
      <c r="BA1178" s="93"/>
      <c r="BB1178" s="93"/>
      <c r="BC1178" s="93"/>
      <c r="BD1178" s="93"/>
      <c r="BE1178" s="93"/>
      <c r="BF1178" s="93"/>
      <c r="BG1178" s="93"/>
      <c r="BH1178" s="93"/>
      <c r="BI1178" s="93"/>
      <c r="BJ1178" s="93"/>
      <c r="BK1178" s="93"/>
      <c r="BL1178" s="93"/>
      <c r="BM1178" s="93"/>
      <c r="BN1178" s="93"/>
      <c r="BO1178" s="93"/>
      <c r="BP1178" s="93"/>
      <c r="BQ1178" s="93"/>
      <c r="BR1178" s="93"/>
      <c r="BS1178" s="93"/>
      <c r="BT1178" s="93"/>
      <c r="BU1178" s="93"/>
      <c r="BV1178" s="93"/>
      <c r="BW1178" s="93"/>
      <c r="BX1178" s="93"/>
      <c r="BY1178" s="93"/>
      <c r="BZ1178" s="93"/>
      <c r="CA1178" s="93"/>
      <c r="CB1178" s="93"/>
      <c r="CC1178" s="93"/>
      <c r="CD1178" s="93"/>
      <c r="CE1178" s="93"/>
      <c r="CF1178" s="93"/>
      <c r="CG1178" s="93"/>
      <c r="CH1178" s="93"/>
      <c r="CI1178" s="93"/>
      <c r="CJ1178" s="93"/>
      <c r="CK1178" s="93"/>
      <c r="CL1178" s="93"/>
      <c r="CM1178" s="93"/>
      <c r="CN1178" s="93"/>
      <c r="CO1178" s="93"/>
      <c r="CP1178" s="93"/>
      <c r="CQ1178" s="93"/>
      <c r="CR1178" s="93"/>
      <c r="CS1178" s="93"/>
      <c r="CT1178" s="93"/>
      <c r="CU1178" s="93"/>
      <c r="CV1178" s="93"/>
      <c r="CW1178" s="93"/>
      <c r="CX1178" s="93"/>
      <c r="CY1178" s="93"/>
      <c r="CZ1178" s="93"/>
      <c r="DA1178" s="93"/>
      <c r="DB1178" s="93"/>
      <c r="DC1178" s="93"/>
    </row>
    <row r="1179" spans="30:107" ht="6.95" customHeight="1" x14ac:dyDescent="0.15">
      <c r="AD1179" s="93"/>
      <c r="AE1179" s="93"/>
      <c r="AF1179" s="93"/>
      <c r="AG1179" s="93"/>
      <c r="AH1179" s="93"/>
      <c r="AI1179" s="93"/>
      <c r="AJ1179" s="93"/>
      <c r="AK1179" s="93"/>
      <c r="AL1179" s="93"/>
      <c r="AM1179" s="93"/>
      <c r="AN1179" s="93"/>
      <c r="AO1179" s="93"/>
      <c r="AP1179" s="93"/>
      <c r="AQ1179" s="93"/>
      <c r="AR1179" s="93"/>
      <c r="AS1179" s="93"/>
      <c r="AT1179" s="93"/>
      <c r="AU1179" s="93"/>
      <c r="AV1179" s="93"/>
      <c r="AW1179" s="93"/>
      <c r="AX1179" s="93"/>
      <c r="AY1179" s="93"/>
      <c r="AZ1179" s="93"/>
      <c r="BA1179" s="93"/>
      <c r="BB1179" s="93"/>
      <c r="BC1179" s="93"/>
      <c r="BD1179" s="93"/>
      <c r="BE1179" s="93"/>
      <c r="BF1179" s="93"/>
      <c r="BG1179" s="93"/>
      <c r="BH1179" s="93"/>
      <c r="BI1179" s="93"/>
      <c r="BJ1179" s="93"/>
      <c r="BK1179" s="93"/>
      <c r="BL1179" s="93"/>
      <c r="BM1179" s="93"/>
      <c r="BN1179" s="93"/>
      <c r="BO1179" s="93"/>
      <c r="BP1179" s="93"/>
      <c r="BQ1179" s="93"/>
      <c r="BR1179" s="93"/>
      <c r="BS1179" s="93"/>
      <c r="BT1179" s="93"/>
      <c r="BU1179" s="93"/>
      <c r="BV1179" s="93"/>
      <c r="BW1179" s="93"/>
      <c r="BX1179" s="93"/>
      <c r="BY1179" s="93"/>
      <c r="BZ1179" s="93"/>
      <c r="CA1179" s="93"/>
      <c r="CB1179" s="93"/>
      <c r="CC1179" s="93"/>
      <c r="CD1179" s="93"/>
      <c r="CE1179" s="93"/>
      <c r="CF1179" s="93"/>
      <c r="CG1179" s="93"/>
      <c r="CH1179" s="93"/>
      <c r="CI1179" s="93"/>
      <c r="CJ1179" s="93"/>
      <c r="CK1179" s="93"/>
      <c r="CL1179" s="93"/>
      <c r="CM1179" s="93"/>
      <c r="CN1179" s="93"/>
      <c r="CO1179" s="93"/>
      <c r="CP1179" s="93"/>
      <c r="CQ1179" s="93"/>
      <c r="CR1179" s="93"/>
      <c r="CS1179" s="93"/>
      <c r="CT1179" s="93"/>
      <c r="CU1179" s="93"/>
      <c r="CV1179" s="93"/>
      <c r="CW1179" s="93"/>
      <c r="CX1179" s="93"/>
      <c r="CY1179" s="93"/>
      <c r="CZ1179" s="93"/>
      <c r="DA1179" s="93"/>
      <c r="DB1179" s="93"/>
      <c r="DC1179" s="93"/>
    </row>
    <row r="1180" spans="30:107" ht="6.95" customHeight="1" x14ac:dyDescent="0.15">
      <c r="AD1180" s="93"/>
      <c r="AE1180" s="93"/>
      <c r="AF1180" s="93"/>
      <c r="AG1180" s="93"/>
      <c r="AH1180" s="93"/>
      <c r="AI1180" s="93"/>
      <c r="AJ1180" s="93"/>
      <c r="AK1180" s="93"/>
      <c r="AL1180" s="93"/>
      <c r="AM1180" s="93"/>
      <c r="AN1180" s="93"/>
      <c r="AO1180" s="93"/>
      <c r="AP1180" s="93"/>
      <c r="AQ1180" s="93"/>
      <c r="AR1180" s="93"/>
      <c r="AS1180" s="93"/>
      <c r="AT1180" s="93"/>
      <c r="AU1180" s="93"/>
      <c r="AV1180" s="93"/>
      <c r="AW1180" s="93"/>
      <c r="AX1180" s="93"/>
      <c r="AY1180" s="93"/>
      <c r="AZ1180" s="93"/>
      <c r="BA1180" s="93"/>
      <c r="BB1180" s="93"/>
      <c r="BC1180" s="93"/>
      <c r="BD1180" s="93"/>
      <c r="BE1180" s="93"/>
      <c r="BF1180" s="93"/>
      <c r="BG1180" s="93"/>
      <c r="BH1180" s="93"/>
      <c r="BI1180" s="93"/>
      <c r="BJ1180" s="93"/>
      <c r="BK1180" s="93"/>
      <c r="BL1180" s="93"/>
      <c r="BM1180" s="93"/>
      <c r="BN1180" s="93"/>
      <c r="BO1180" s="93"/>
      <c r="BP1180" s="93"/>
      <c r="BQ1180" s="93"/>
      <c r="BR1180" s="93"/>
      <c r="BS1180" s="93"/>
      <c r="BT1180" s="93"/>
      <c r="BU1180" s="93"/>
      <c r="BV1180" s="93"/>
      <c r="BW1180" s="93"/>
      <c r="BX1180" s="93"/>
      <c r="BY1180" s="93"/>
      <c r="BZ1180" s="93"/>
      <c r="CA1180" s="93"/>
      <c r="CB1180" s="93"/>
      <c r="CC1180" s="93"/>
      <c r="CD1180" s="93"/>
      <c r="CE1180" s="93"/>
      <c r="CF1180" s="93"/>
      <c r="CG1180" s="93"/>
      <c r="CH1180" s="93"/>
      <c r="CI1180" s="93"/>
      <c r="CJ1180" s="93"/>
      <c r="CK1180" s="93"/>
      <c r="CL1180" s="93"/>
      <c r="CM1180" s="93"/>
      <c r="CN1180" s="93"/>
      <c r="CO1180" s="93"/>
      <c r="CP1180" s="93"/>
      <c r="CQ1180" s="93"/>
      <c r="CR1180" s="93"/>
      <c r="CS1180" s="93"/>
      <c r="CT1180" s="93"/>
      <c r="CU1180" s="93"/>
      <c r="CV1180" s="93"/>
      <c r="CW1180" s="93"/>
      <c r="CX1180" s="93"/>
      <c r="CY1180" s="93"/>
      <c r="CZ1180" s="93"/>
      <c r="DA1180" s="93"/>
      <c r="DB1180" s="93"/>
      <c r="DC1180" s="93"/>
    </row>
    <row r="1181" spans="30:107" ht="6.95" customHeight="1" x14ac:dyDescent="0.15">
      <c r="AD1181" s="93"/>
      <c r="AE1181" s="93"/>
      <c r="AF1181" s="93"/>
      <c r="AG1181" s="93"/>
      <c r="AH1181" s="93"/>
      <c r="AI1181" s="93"/>
      <c r="AJ1181" s="93"/>
      <c r="AK1181" s="93"/>
      <c r="AL1181" s="93"/>
      <c r="AM1181" s="93"/>
      <c r="AN1181" s="93"/>
      <c r="AO1181" s="93"/>
      <c r="AP1181" s="93"/>
      <c r="AQ1181" s="93"/>
      <c r="AR1181" s="93"/>
      <c r="AS1181" s="93"/>
      <c r="AT1181" s="93"/>
      <c r="AU1181" s="93"/>
      <c r="AV1181" s="93"/>
      <c r="AW1181" s="93"/>
      <c r="AX1181" s="93"/>
      <c r="AY1181" s="93"/>
      <c r="AZ1181" s="93"/>
      <c r="BA1181" s="93"/>
      <c r="BB1181" s="93"/>
      <c r="BC1181" s="93"/>
      <c r="BD1181" s="93"/>
      <c r="BE1181" s="93"/>
      <c r="BF1181" s="93"/>
      <c r="BG1181" s="93"/>
      <c r="BH1181" s="93"/>
      <c r="BI1181" s="93"/>
      <c r="BJ1181" s="93"/>
      <c r="BK1181" s="93"/>
      <c r="BL1181" s="93"/>
      <c r="BM1181" s="93"/>
      <c r="BN1181" s="93"/>
      <c r="BO1181" s="93"/>
      <c r="BP1181" s="93"/>
      <c r="BQ1181" s="93"/>
      <c r="BR1181" s="93"/>
      <c r="BS1181" s="93"/>
      <c r="BT1181" s="93"/>
      <c r="BU1181" s="93"/>
      <c r="BV1181" s="93"/>
      <c r="BW1181" s="93"/>
      <c r="BX1181" s="93"/>
      <c r="BY1181" s="93"/>
      <c r="BZ1181" s="93"/>
      <c r="CA1181" s="93"/>
      <c r="CB1181" s="93"/>
      <c r="CC1181" s="93"/>
      <c r="CD1181" s="93"/>
      <c r="CE1181" s="93"/>
      <c r="CF1181" s="93"/>
      <c r="CG1181" s="93"/>
      <c r="CH1181" s="93"/>
      <c r="CI1181" s="93"/>
      <c r="CJ1181" s="93"/>
      <c r="CK1181" s="93"/>
      <c r="CL1181" s="93"/>
      <c r="CM1181" s="93"/>
      <c r="CN1181" s="93"/>
      <c r="CO1181" s="93"/>
      <c r="CP1181" s="93"/>
      <c r="CQ1181" s="93"/>
      <c r="CR1181" s="93"/>
      <c r="CS1181" s="93"/>
      <c r="CT1181" s="93"/>
      <c r="CU1181" s="93"/>
      <c r="CV1181" s="93"/>
      <c r="CW1181" s="93"/>
      <c r="CX1181" s="93"/>
      <c r="CY1181" s="93"/>
      <c r="CZ1181" s="93"/>
      <c r="DA1181" s="93"/>
      <c r="DB1181" s="93"/>
      <c r="DC1181" s="93"/>
    </row>
    <row r="1182" spans="30:107" ht="6.95" customHeight="1" x14ac:dyDescent="0.15">
      <c r="AD1182" s="93"/>
      <c r="AE1182" s="93"/>
      <c r="AF1182" s="93"/>
      <c r="AG1182" s="93"/>
      <c r="AH1182" s="93"/>
      <c r="AI1182" s="93"/>
      <c r="AJ1182" s="93"/>
      <c r="AK1182" s="93"/>
      <c r="AL1182" s="93"/>
      <c r="AM1182" s="93"/>
      <c r="AN1182" s="93"/>
      <c r="AO1182" s="93"/>
      <c r="AP1182" s="93"/>
      <c r="AQ1182" s="93"/>
      <c r="AR1182" s="93"/>
      <c r="AS1182" s="93"/>
      <c r="AT1182" s="93"/>
      <c r="AU1182" s="93"/>
      <c r="AV1182" s="93"/>
      <c r="AW1182" s="93"/>
      <c r="AX1182" s="93"/>
      <c r="AY1182" s="93"/>
      <c r="AZ1182" s="93"/>
      <c r="BA1182" s="93"/>
      <c r="BB1182" s="93"/>
      <c r="BC1182" s="93"/>
      <c r="BD1182" s="93"/>
      <c r="BE1182" s="93"/>
      <c r="BF1182" s="93"/>
      <c r="BG1182" s="93"/>
      <c r="BH1182" s="93"/>
      <c r="BI1182" s="93"/>
      <c r="BJ1182" s="93"/>
      <c r="BK1182" s="93"/>
      <c r="BL1182" s="93"/>
      <c r="BM1182" s="93"/>
      <c r="BN1182" s="93"/>
      <c r="BO1182" s="93"/>
      <c r="BP1182" s="93"/>
      <c r="BQ1182" s="93"/>
      <c r="BR1182" s="93"/>
      <c r="BS1182" s="93"/>
      <c r="BT1182" s="93"/>
      <c r="BU1182" s="93"/>
      <c r="BV1182" s="93"/>
      <c r="BW1182" s="93"/>
      <c r="BX1182" s="93"/>
      <c r="BY1182" s="93"/>
      <c r="BZ1182" s="93"/>
      <c r="CA1182" s="93"/>
      <c r="CB1182" s="93"/>
      <c r="CC1182" s="93"/>
      <c r="CD1182" s="93"/>
      <c r="CE1182" s="93"/>
      <c r="CF1182" s="93"/>
      <c r="CG1182" s="93"/>
      <c r="CH1182" s="93"/>
      <c r="CI1182" s="93"/>
      <c r="CJ1182" s="93"/>
      <c r="CK1182" s="93"/>
      <c r="CL1182" s="93"/>
      <c r="CM1182" s="93"/>
      <c r="CN1182" s="93"/>
      <c r="CO1182" s="93"/>
      <c r="CP1182" s="93"/>
      <c r="CQ1182" s="93"/>
      <c r="CR1182" s="93"/>
      <c r="CS1182" s="93"/>
      <c r="CT1182" s="93"/>
      <c r="CU1182" s="93"/>
      <c r="CV1182" s="93"/>
      <c r="CW1182" s="93"/>
      <c r="CX1182" s="93"/>
      <c r="CY1182" s="93"/>
      <c r="CZ1182" s="93"/>
      <c r="DA1182" s="93"/>
      <c r="DB1182" s="93"/>
      <c r="DC1182" s="93"/>
    </row>
    <row r="1183" spans="30:107" ht="6.95" customHeight="1" x14ac:dyDescent="0.15">
      <c r="AD1183" s="93"/>
      <c r="AE1183" s="93"/>
      <c r="AF1183" s="93"/>
      <c r="AG1183" s="93"/>
      <c r="AH1183" s="93"/>
      <c r="AI1183" s="93"/>
      <c r="AJ1183" s="93"/>
      <c r="AK1183" s="93"/>
      <c r="AL1183" s="93"/>
      <c r="AM1183" s="93"/>
      <c r="AN1183" s="93"/>
      <c r="AO1183" s="93"/>
      <c r="AP1183" s="93"/>
      <c r="AQ1183" s="93"/>
      <c r="AR1183" s="93"/>
      <c r="AS1183" s="93"/>
      <c r="AT1183" s="93"/>
      <c r="AU1183" s="93"/>
      <c r="AV1183" s="93"/>
      <c r="AW1183" s="93"/>
      <c r="AX1183" s="93"/>
      <c r="AY1183" s="93"/>
      <c r="AZ1183" s="93"/>
      <c r="BA1183" s="93"/>
      <c r="BB1183" s="93"/>
      <c r="BC1183" s="93"/>
      <c r="BD1183" s="93"/>
      <c r="BE1183" s="93"/>
      <c r="BF1183" s="93"/>
      <c r="BG1183" s="93"/>
      <c r="BH1183" s="93"/>
      <c r="BI1183" s="93"/>
      <c r="BJ1183" s="93"/>
      <c r="BK1183" s="93"/>
      <c r="BL1183" s="93"/>
      <c r="BM1183" s="93"/>
      <c r="BN1183" s="93"/>
      <c r="BO1183" s="93"/>
      <c r="BP1183" s="93"/>
      <c r="BQ1183" s="93"/>
      <c r="BR1183" s="93"/>
      <c r="BS1183" s="93"/>
      <c r="BT1183" s="93"/>
      <c r="BU1183" s="93"/>
      <c r="BV1183" s="93"/>
      <c r="BW1183" s="93"/>
      <c r="BX1183" s="93"/>
      <c r="BY1183" s="93"/>
      <c r="BZ1183" s="93"/>
      <c r="CA1183" s="93"/>
      <c r="CB1183" s="93"/>
      <c r="CC1183" s="93"/>
      <c r="CD1183" s="93"/>
      <c r="CE1183" s="93"/>
      <c r="CF1183" s="93"/>
      <c r="CG1183" s="93"/>
      <c r="CH1183" s="93"/>
      <c r="CI1183" s="93"/>
      <c r="CJ1183" s="93"/>
      <c r="CK1183" s="93"/>
      <c r="CL1183" s="93"/>
      <c r="CM1183" s="93"/>
      <c r="CN1183" s="93"/>
      <c r="CO1183" s="93"/>
      <c r="CP1183" s="93"/>
      <c r="CQ1183" s="93"/>
      <c r="CR1183" s="93"/>
      <c r="CS1183" s="93"/>
      <c r="CT1183" s="93"/>
      <c r="CU1183" s="93"/>
      <c r="CV1183" s="93"/>
      <c r="CW1183" s="93"/>
      <c r="CX1183" s="93"/>
      <c r="CY1183" s="93"/>
      <c r="CZ1183" s="93"/>
      <c r="DA1183" s="93"/>
      <c r="DB1183" s="93"/>
      <c r="DC1183" s="93"/>
    </row>
    <row r="1184" spans="30:107" ht="6.95" customHeight="1" x14ac:dyDescent="0.15">
      <c r="AD1184" s="93"/>
      <c r="AE1184" s="93"/>
      <c r="AF1184" s="93"/>
      <c r="AG1184" s="93"/>
      <c r="AH1184" s="93"/>
      <c r="AI1184" s="93"/>
      <c r="AJ1184" s="93"/>
      <c r="AK1184" s="93"/>
      <c r="AL1184" s="93"/>
      <c r="AM1184" s="93"/>
      <c r="AN1184" s="93"/>
      <c r="AO1184" s="93"/>
      <c r="AP1184" s="93"/>
      <c r="AQ1184" s="93"/>
      <c r="AR1184" s="93"/>
      <c r="AS1184" s="93"/>
      <c r="AT1184" s="93"/>
      <c r="AU1184" s="93"/>
      <c r="AV1184" s="93"/>
      <c r="AW1184" s="93"/>
      <c r="AX1184" s="93"/>
      <c r="AY1184" s="93"/>
      <c r="AZ1184" s="93"/>
      <c r="BA1184" s="93"/>
      <c r="BB1184" s="93"/>
      <c r="BC1184" s="93"/>
      <c r="BD1184" s="93"/>
      <c r="BE1184" s="93"/>
      <c r="BF1184" s="93"/>
      <c r="BG1184" s="93"/>
      <c r="BH1184" s="93"/>
      <c r="BI1184" s="93"/>
      <c r="BJ1184" s="93"/>
      <c r="BK1184" s="93"/>
      <c r="BL1184" s="93"/>
      <c r="BM1184" s="93"/>
      <c r="BN1184" s="93"/>
      <c r="BO1184" s="93"/>
      <c r="BP1184" s="93"/>
      <c r="BQ1184" s="93"/>
      <c r="BR1184" s="93"/>
      <c r="BS1184" s="93"/>
      <c r="BT1184" s="93"/>
      <c r="BU1184" s="93"/>
      <c r="BV1184" s="93"/>
      <c r="BW1184" s="93"/>
      <c r="BX1184" s="93"/>
      <c r="BY1184" s="93"/>
      <c r="BZ1184" s="93"/>
      <c r="CA1184" s="93"/>
      <c r="CB1184" s="93"/>
      <c r="CC1184" s="93"/>
      <c r="CD1184" s="93"/>
      <c r="CE1184" s="93"/>
      <c r="CF1184" s="93"/>
      <c r="CG1184" s="93"/>
      <c r="CH1184" s="93"/>
      <c r="CI1184" s="93"/>
      <c r="CJ1184" s="93"/>
      <c r="CK1184" s="93"/>
      <c r="CL1184" s="93"/>
      <c r="CM1184" s="93"/>
      <c r="CN1184" s="93"/>
      <c r="CO1184" s="93"/>
      <c r="CP1184" s="93"/>
      <c r="CQ1184" s="93"/>
      <c r="CR1184" s="93"/>
      <c r="CS1184" s="93"/>
      <c r="CT1184" s="93"/>
      <c r="CU1184" s="93"/>
      <c r="CV1184" s="93"/>
      <c r="CW1184" s="93"/>
      <c r="CX1184" s="93"/>
      <c r="CY1184" s="93"/>
      <c r="CZ1184" s="93"/>
      <c r="DA1184" s="93"/>
      <c r="DB1184" s="93"/>
      <c r="DC1184" s="93"/>
    </row>
    <row r="1185" spans="30:107" ht="6.95" customHeight="1" x14ac:dyDescent="0.15">
      <c r="AD1185" s="93"/>
      <c r="AE1185" s="93"/>
      <c r="AF1185" s="93"/>
      <c r="AG1185" s="93"/>
      <c r="AH1185" s="93"/>
      <c r="AI1185" s="93"/>
      <c r="AJ1185" s="93"/>
      <c r="AK1185" s="93"/>
      <c r="AL1185" s="93"/>
      <c r="AM1185" s="93"/>
      <c r="AN1185" s="93"/>
      <c r="AO1185" s="93"/>
      <c r="AP1185" s="93"/>
      <c r="AQ1185" s="93"/>
      <c r="AR1185" s="93"/>
      <c r="AS1185" s="93"/>
      <c r="AT1185" s="93"/>
      <c r="AU1185" s="93"/>
      <c r="AV1185" s="93"/>
      <c r="AW1185" s="93"/>
      <c r="AX1185" s="93"/>
      <c r="AY1185" s="93"/>
      <c r="AZ1185" s="93"/>
      <c r="BA1185" s="93"/>
      <c r="BB1185" s="93"/>
      <c r="BC1185" s="93"/>
      <c r="BD1185" s="93"/>
      <c r="BE1185" s="93"/>
      <c r="BF1185" s="93"/>
      <c r="BG1185" s="93"/>
      <c r="BH1185" s="93"/>
      <c r="BI1185" s="93"/>
      <c r="BJ1185" s="93"/>
      <c r="BK1185" s="93"/>
      <c r="BL1185" s="93"/>
      <c r="BM1185" s="93"/>
      <c r="BN1185" s="93"/>
      <c r="BO1185" s="93"/>
      <c r="BP1185" s="93"/>
      <c r="BQ1185" s="93"/>
      <c r="BR1185" s="93"/>
      <c r="BS1185" s="93"/>
      <c r="BT1185" s="93"/>
      <c r="BU1185" s="93"/>
      <c r="BV1185" s="93"/>
      <c r="BW1185" s="93"/>
      <c r="BX1185" s="93"/>
      <c r="BY1185" s="93"/>
      <c r="BZ1185" s="93"/>
      <c r="CA1185" s="93"/>
      <c r="CB1185" s="93"/>
      <c r="CC1185" s="93"/>
      <c r="CD1185" s="93"/>
      <c r="CE1185" s="93"/>
      <c r="CF1185" s="93"/>
      <c r="CG1185" s="93"/>
      <c r="CH1185" s="93"/>
      <c r="CI1185" s="93"/>
      <c r="CJ1185" s="93"/>
      <c r="CK1185" s="93"/>
      <c r="CL1185" s="93"/>
      <c r="CM1185" s="93"/>
      <c r="CN1185" s="93"/>
      <c r="CO1185" s="93"/>
      <c r="CP1185" s="93"/>
      <c r="CQ1185" s="93"/>
      <c r="CR1185" s="93"/>
      <c r="CS1185" s="93"/>
      <c r="CT1185" s="93"/>
      <c r="CU1185" s="93"/>
      <c r="CV1185" s="93"/>
      <c r="CW1185" s="93"/>
      <c r="CX1185" s="93"/>
      <c r="CY1185" s="93"/>
      <c r="CZ1185" s="93"/>
      <c r="DA1185" s="93"/>
      <c r="DB1185" s="93"/>
      <c r="DC1185" s="93"/>
    </row>
    <row r="1186" spans="30:107" ht="6.95" customHeight="1" x14ac:dyDescent="0.15">
      <c r="AD1186" s="93"/>
      <c r="AE1186" s="93"/>
      <c r="AF1186" s="93"/>
      <c r="AG1186" s="93"/>
      <c r="AH1186" s="93"/>
      <c r="AI1186" s="93"/>
      <c r="AJ1186" s="93"/>
      <c r="AK1186" s="93"/>
      <c r="AL1186" s="93"/>
      <c r="AM1186" s="93"/>
      <c r="AN1186" s="93"/>
      <c r="AO1186" s="93"/>
      <c r="AP1186" s="93"/>
      <c r="AQ1186" s="93"/>
      <c r="AR1186" s="93"/>
      <c r="AS1186" s="93"/>
      <c r="AT1186" s="93"/>
      <c r="AU1186" s="93"/>
      <c r="AV1186" s="93"/>
      <c r="AW1186" s="93"/>
      <c r="AX1186" s="93"/>
      <c r="AY1186" s="93"/>
      <c r="AZ1186" s="93"/>
      <c r="BA1186" s="93"/>
      <c r="BB1186" s="93"/>
      <c r="BC1186" s="93"/>
      <c r="BD1186" s="93"/>
      <c r="BE1186" s="93"/>
      <c r="BF1186" s="93"/>
      <c r="BG1186" s="93"/>
      <c r="BH1186" s="93"/>
      <c r="BI1186" s="93"/>
      <c r="BJ1186" s="93"/>
      <c r="BK1186" s="93"/>
      <c r="BL1186" s="93"/>
      <c r="BM1186" s="93"/>
      <c r="BN1186" s="93"/>
      <c r="BO1186" s="93"/>
      <c r="BP1186" s="93"/>
      <c r="BQ1186" s="93"/>
      <c r="BR1186" s="93"/>
      <c r="BS1186" s="93"/>
      <c r="BT1186" s="93"/>
      <c r="BU1186" s="93"/>
      <c r="BV1186" s="93"/>
      <c r="BW1186" s="93"/>
      <c r="BX1186" s="93"/>
      <c r="BY1186" s="93"/>
      <c r="BZ1186" s="93"/>
      <c r="CA1186" s="93"/>
      <c r="CB1186" s="93"/>
      <c r="CC1186" s="93"/>
      <c r="CD1186" s="93"/>
      <c r="CE1186" s="93"/>
      <c r="CF1186" s="93"/>
      <c r="CG1186" s="93"/>
      <c r="CH1186" s="93"/>
      <c r="CI1186" s="93"/>
      <c r="CJ1186" s="93"/>
      <c r="CK1186" s="93"/>
      <c r="CL1186" s="93"/>
      <c r="CM1186" s="93"/>
      <c r="CN1186" s="93"/>
      <c r="CO1186" s="93"/>
      <c r="CP1186" s="93"/>
      <c r="CQ1186" s="93"/>
      <c r="CR1186" s="93"/>
      <c r="CS1186" s="93"/>
      <c r="CT1186" s="93"/>
      <c r="CU1186" s="93"/>
      <c r="CV1186" s="93"/>
      <c r="CW1186" s="93"/>
      <c r="CX1186" s="93"/>
      <c r="CY1186" s="93"/>
      <c r="CZ1186" s="93"/>
      <c r="DA1186" s="93"/>
      <c r="DB1186" s="93"/>
      <c r="DC1186" s="93"/>
    </row>
    <row r="1187" spans="30:107" ht="6.95" customHeight="1" x14ac:dyDescent="0.15">
      <c r="AD1187" s="93"/>
      <c r="AE1187" s="93"/>
      <c r="AF1187" s="93"/>
      <c r="AG1187" s="93"/>
      <c r="AH1187" s="93"/>
      <c r="AI1187" s="93"/>
      <c r="AJ1187" s="93"/>
      <c r="AK1187" s="93"/>
      <c r="AL1187" s="93"/>
      <c r="AM1187" s="93"/>
      <c r="AN1187" s="93"/>
      <c r="AO1187" s="93"/>
      <c r="AP1187" s="93"/>
      <c r="AQ1187" s="93"/>
      <c r="AR1187" s="93"/>
      <c r="AS1187" s="93"/>
      <c r="AT1187" s="93"/>
      <c r="AU1187" s="93"/>
      <c r="AV1187" s="93"/>
      <c r="AW1187" s="93"/>
      <c r="AX1187" s="93"/>
      <c r="AY1187" s="93"/>
      <c r="AZ1187" s="93"/>
      <c r="BA1187" s="93"/>
      <c r="BB1187" s="93"/>
      <c r="BC1187" s="93"/>
      <c r="BD1187" s="93"/>
      <c r="BE1187" s="93"/>
      <c r="BF1187" s="93"/>
      <c r="BG1187" s="93"/>
      <c r="BH1187" s="93"/>
      <c r="BI1187" s="93"/>
      <c r="BJ1187" s="93"/>
      <c r="BK1187" s="93"/>
      <c r="BL1187" s="93"/>
      <c r="BM1187" s="93"/>
      <c r="BN1187" s="93"/>
      <c r="BO1187" s="93"/>
      <c r="BP1187" s="93"/>
      <c r="BQ1187" s="93"/>
      <c r="BR1187" s="93"/>
      <c r="BS1187" s="93"/>
      <c r="BT1187" s="93"/>
      <c r="BU1187" s="93"/>
      <c r="BV1187" s="93"/>
      <c r="BW1187" s="93"/>
      <c r="BX1187" s="93"/>
      <c r="BY1187" s="93"/>
      <c r="BZ1187" s="93"/>
      <c r="CA1187" s="93"/>
      <c r="CB1187" s="93"/>
      <c r="CC1187" s="93"/>
      <c r="CD1187" s="93"/>
      <c r="CE1187" s="93"/>
      <c r="CF1187" s="93"/>
      <c r="CG1187" s="93"/>
      <c r="CH1187" s="93"/>
      <c r="CI1187" s="93"/>
      <c r="CJ1187" s="93"/>
      <c r="CK1187" s="93"/>
      <c r="CL1187" s="93"/>
      <c r="CM1187" s="93"/>
      <c r="CN1187" s="93"/>
      <c r="CO1187" s="93"/>
      <c r="CP1187" s="93"/>
      <c r="CQ1187" s="93"/>
      <c r="CR1187" s="93"/>
      <c r="CS1187" s="93"/>
      <c r="CT1187" s="93"/>
      <c r="CU1187" s="93"/>
      <c r="CV1187" s="93"/>
      <c r="CW1187" s="93"/>
      <c r="CX1187" s="93"/>
      <c r="CY1187" s="93"/>
      <c r="CZ1187" s="93"/>
      <c r="DA1187" s="93"/>
      <c r="DB1187" s="93"/>
      <c r="DC1187" s="93"/>
    </row>
    <row r="1188" spans="30:107" ht="6.95" customHeight="1" x14ac:dyDescent="0.15">
      <c r="AD1188" s="93"/>
      <c r="AE1188" s="93"/>
      <c r="AF1188" s="93"/>
      <c r="AG1188" s="93"/>
      <c r="AH1188" s="93"/>
      <c r="AI1188" s="93"/>
      <c r="AJ1188" s="93"/>
      <c r="AK1188" s="93"/>
      <c r="AL1188" s="93"/>
      <c r="AM1188" s="93"/>
      <c r="AN1188" s="93"/>
      <c r="AO1188" s="93"/>
      <c r="AP1188" s="93"/>
      <c r="AQ1188" s="93"/>
      <c r="AR1188" s="93"/>
      <c r="AS1188" s="93"/>
      <c r="AT1188" s="93"/>
      <c r="AU1188" s="93"/>
      <c r="AV1188" s="93"/>
      <c r="AW1188" s="93"/>
      <c r="AX1188" s="93"/>
      <c r="AY1188" s="93"/>
      <c r="AZ1188" s="93"/>
      <c r="BA1188" s="93"/>
      <c r="BB1188" s="93"/>
      <c r="BC1188" s="93"/>
      <c r="BD1188" s="93"/>
      <c r="BE1188" s="93"/>
      <c r="BF1188" s="93"/>
      <c r="BG1188" s="93"/>
      <c r="BH1188" s="93"/>
      <c r="BI1188" s="93"/>
      <c r="BJ1188" s="93"/>
      <c r="BK1188" s="93"/>
      <c r="BL1188" s="93"/>
      <c r="BM1188" s="93"/>
      <c r="BN1188" s="93"/>
      <c r="BO1188" s="93"/>
      <c r="BP1188" s="93"/>
      <c r="BQ1188" s="93"/>
      <c r="BR1188" s="93"/>
      <c r="BS1188" s="93"/>
      <c r="BT1188" s="93"/>
      <c r="BU1188" s="93"/>
      <c r="BV1188" s="93"/>
      <c r="BW1188" s="93"/>
      <c r="BX1188" s="93"/>
      <c r="BY1188" s="93"/>
      <c r="BZ1188" s="93"/>
      <c r="CA1188" s="93"/>
      <c r="CB1188" s="93"/>
      <c r="CC1188" s="93"/>
      <c r="CD1188" s="93"/>
      <c r="CE1188" s="93"/>
      <c r="CF1188" s="93"/>
      <c r="CG1188" s="93"/>
      <c r="CH1188" s="93"/>
      <c r="CI1188" s="93"/>
      <c r="CJ1188" s="93"/>
      <c r="CK1188" s="93"/>
      <c r="CL1188" s="93"/>
      <c r="CM1188" s="93"/>
      <c r="CN1188" s="93"/>
      <c r="CO1188" s="93"/>
      <c r="CP1188" s="93"/>
      <c r="CQ1188" s="93"/>
      <c r="CR1188" s="93"/>
      <c r="CS1188" s="93"/>
      <c r="CT1188" s="93"/>
      <c r="CU1188" s="93"/>
      <c r="CV1188" s="93"/>
      <c r="CW1188" s="93"/>
      <c r="CX1188" s="93"/>
      <c r="CY1188" s="93"/>
      <c r="CZ1188" s="93"/>
      <c r="DA1188" s="93"/>
      <c r="DB1188" s="93"/>
      <c r="DC1188" s="93"/>
    </row>
    <row r="1189" spans="30:107" ht="6.95" customHeight="1" x14ac:dyDescent="0.15">
      <c r="AD1189" s="93"/>
      <c r="AE1189" s="93"/>
      <c r="AF1189" s="93"/>
      <c r="AG1189" s="93"/>
      <c r="AH1189" s="93"/>
      <c r="AI1189" s="93"/>
      <c r="AJ1189" s="93"/>
      <c r="AK1189" s="93"/>
      <c r="AL1189" s="93"/>
      <c r="AM1189" s="93"/>
      <c r="AN1189" s="93"/>
      <c r="AO1189" s="93"/>
      <c r="AP1189" s="93"/>
      <c r="AQ1189" s="93"/>
      <c r="AR1189" s="93"/>
      <c r="AS1189" s="93"/>
      <c r="AT1189" s="93"/>
      <c r="AU1189" s="93"/>
      <c r="AV1189" s="93"/>
      <c r="AW1189" s="93"/>
      <c r="AX1189" s="93"/>
      <c r="AY1189" s="93"/>
      <c r="AZ1189" s="93"/>
      <c r="BA1189" s="93"/>
      <c r="BB1189" s="93"/>
      <c r="BC1189" s="93"/>
      <c r="BD1189" s="93"/>
      <c r="BE1189" s="93"/>
      <c r="BF1189" s="93"/>
      <c r="BG1189" s="93"/>
      <c r="BH1189" s="93"/>
      <c r="BI1189" s="93"/>
      <c r="BJ1189" s="93"/>
      <c r="BK1189" s="93"/>
      <c r="BL1189" s="93"/>
      <c r="BM1189" s="93"/>
      <c r="BN1189" s="93"/>
      <c r="BO1189" s="93"/>
      <c r="BP1189" s="93"/>
      <c r="BQ1189" s="93"/>
      <c r="BR1189" s="93"/>
      <c r="BS1189" s="93"/>
      <c r="BT1189" s="93"/>
      <c r="BU1189" s="93"/>
      <c r="BV1189" s="93"/>
      <c r="BW1189" s="93"/>
      <c r="BX1189" s="93"/>
      <c r="BY1189" s="93"/>
      <c r="BZ1189" s="93"/>
      <c r="CA1189" s="93"/>
      <c r="CB1189" s="93"/>
      <c r="CC1189" s="93"/>
      <c r="CD1189" s="93"/>
      <c r="CE1189" s="93"/>
      <c r="CF1189" s="93"/>
      <c r="CG1189" s="93"/>
      <c r="CH1189" s="93"/>
      <c r="CI1189" s="93"/>
      <c r="CJ1189" s="93"/>
      <c r="CK1189" s="93"/>
      <c r="CL1189" s="93"/>
      <c r="CM1189" s="93"/>
      <c r="CN1189" s="93"/>
      <c r="CO1189" s="93"/>
      <c r="CP1189" s="93"/>
      <c r="CQ1189" s="93"/>
      <c r="CR1189" s="93"/>
      <c r="CS1189" s="93"/>
      <c r="CT1189" s="93"/>
      <c r="CU1189" s="93"/>
      <c r="CV1189" s="93"/>
      <c r="CW1189" s="93"/>
      <c r="CX1189" s="93"/>
      <c r="CY1189" s="93"/>
      <c r="CZ1189" s="93"/>
      <c r="DA1189" s="93"/>
      <c r="DB1189" s="93"/>
      <c r="DC1189" s="93"/>
    </row>
    <row r="1190" spans="30:107" ht="6.95" customHeight="1" x14ac:dyDescent="0.15">
      <c r="AD1190" s="93"/>
      <c r="AE1190" s="93"/>
      <c r="AF1190" s="93"/>
      <c r="AG1190" s="93"/>
      <c r="AH1190" s="93"/>
      <c r="AI1190" s="93"/>
      <c r="AJ1190" s="93"/>
      <c r="AK1190" s="93"/>
      <c r="AL1190" s="93"/>
      <c r="AM1190" s="93"/>
      <c r="AN1190" s="93"/>
      <c r="AO1190" s="93"/>
      <c r="AP1190" s="93"/>
      <c r="AQ1190" s="93"/>
      <c r="AR1190" s="93"/>
      <c r="AS1190" s="93"/>
      <c r="AT1190" s="93"/>
      <c r="AU1190" s="93"/>
      <c r="AV1190" s="93"/>
      <c r="AW1190" s="93"/>
      <c r="AX1190" s="93"/>
      <c r="AY1190" s="93"/>
      <c r="AZ1190" s="93"/>
      <c r="BA1190" s="93"/>
      <c r="BB1190" s="93"/>
      <c r="BC1190" s="93"/>
      <c r="BD1190" s="93"/>
      <c r="BE1190" s="93"/>
      <c r="BF1190" s="93"/>
      <c r="BG1190" s="93"/>
      <c r="BH1190" s="93"/>
      <c r="BI1190" s="93"/>
      <c r="BJ1190" s="93"/>
      <c r="BK1190" s="93"/>
      <c r="BL1190" s="93"/>
      <c r="BM1190" s="93"/>
      <c r="BN1190" s="93"/>
      <c r="BO1190" s="93"/>
      <c r="BP1190" s="93"/>
      <c r="BQ1190" s="93"/>
      <c r="BR1190" s="93"/>
      <c r="BS1190" s="93"/>
      <c r="BT1190" s="93"/>
      <c r="BU1190" s="93"/>
      <c r="BV1190" s="93"/>
      <c r="BW1190" s="93"/>
      <c r="BX1190" s="93"/>
      <c r="BY1190" s="93"/>
      <c r="BZ1190" s="93"/>
      <c r="CA1190" s="93"/>
      <c r="CB1190" s="93"/>
      <c r="CC1190" s="93"/>
      <c r="CD1190" s="93"/>
      <c r="CE1190" s="93"/>
      <c r="CF1190" s="93"/>
      <c r="CG1190" s="93"/>
      <c r="CH1190" s="93"/>
      <c r="CI1190" s="93"/>
      <c r="CJ1190" s="93"/>
      <c r="CK1190" s="93"/>
      <c r="CL1190" s="93"/>
      <c r="CM1190" s="93"/>
      <c r="CN1190" s="93"/>
      <c r="CO1190" s="93"/>
      <c r="CP1190" s="93"/>
      <c r="CQ1190" s="93"/>
      <c r="CR1190" s="93"/>
      <c r="CS1190" s="93"/>
      <c r="CT1190" s="93"/>
      <c r="CU1190" s="93"/>
      <c r="CV1190" s="93"/>
      <c r="CW1190" s="93"/>
      <c r="CX1190" s="93"/>
      <c r="CY1190" s="93"/>
      <c r="CZ1190" s="93"/>
      <c r="DA1190" s="93"/>
      <c r="DB1190" s="93"/>
      <c r="DC1190" s="93"/>
    </row>
    <row r="1191" spans="30:107" ht="6.95" customHeight="1" x14ac:dyDescent="0.15">
      <c r="AD1191" s="93"/>
      <c r="AE1191" s="93"/>
      <c r="AF1191" s="93"/>
      <c r="AG1191" s="93"/>
      <c r="AH1191" s="93"/>
      <c r="AI1191" s="93"/>
      <c r="AJ1191" s="93"/>
      <c r="AK1191" s="93"/>
      <c r="AL1191" s="93"/>
      <c r="AM1191" s="93"/>
      <c r="AN1191" s="93"/>
      <c r="AO1191" s="93"/>
      <c r="AP1191" s="93"/>
      <c r="AQ1191" s="93"/>
      <c r="AR1191" s="93"/>
      <c r="AS1191" s="93"/>
      <c r="AT1191" s="93"/>
      <c r="AU1191" s="93"/>
      <c r="AV1191" s="93"/>
      <c r="AW1191" s="93"/>
      <c r="AX1191" s="93"/>
      <c r="AY1191" s="93"/>
      <c r="AZ1191" s="93"/>
      <c r="BA1191" s="93"/>
      <c r="BB1191" s="93"/>
      <c r="BC1191" s="93"/>
      <c r="BD1191" s="93"/>
      <c r="BE1191" s="93"/>
      <c r="BF1191" s="93"/>
      <c r="BG1191" s="93"/>
      <c r="BH1191" s="93"/>
      <c r="BI1191" s="93"/>
      <c r="BJ1191" s="93"/>
      <c r="BK1191" s="93"/>
      <c r="BL1191" s="93"/>
      <c r="BM1191" s="93"/>
      <c r="BN1191" s="93"/>
      <c r="BO1191" s="93"/>
      <c r="BP1191" s="93"/>
      <c r="BQ1191" s="93"/>
      <c r="BR1191" s="93"/>
      <c r="BS1191" s="93"/>
      <c r="BT1191" s="93"/>
      <c r="BU1191" s="93"/>
      <c r="BV1191" s="93"/>
      <c r="BW1191" s="93"/>
      <c r="BX1191" s="93"/>
      <c r="BY1191" s="93"/>
      <c r="BZ1191" s="93"/>
      <c r="CA1191" s="93"/>
      <c r="CB1191" s="93"/>
      <c r="CC1191" s="93"/>
      <c r="CD1191" s="93"/>
      <c r="CE1191" s="93"/>
      <c r="CF1191" s="93"/>
      <c r="CG1191" s="93"/>
      <c r="CH1191" s="93"/>
      <c r="CI1191" s="93"/>
      <c r="CJ1191" s="93"/>
      <c r="CK1191" s="93"/>
      <c r="CL1191" s="93"/>
      <c r="CM1191" s="93"/>
      <c r="CN1191" s="93"/>
      <c r="CO1191" s="93"/>
      <c r="CP1191" s="93"/>
      <c r="CQ1191" s="93"/>
      <c r="CR1191" s="93"/>
      <c r="CS1191" s="93"/>
      <c r="CT1191" s="93"/>
      <c r="CU1191" s="93"/>
      <c r="CV1191" s="93"/>
      <c r="CW1191" s="93"/>
      <c r="CX1191" s="93"/>
      <c r="CY1191" s="93"/>
      <c r="CZ1191" s="93"/>
      <c r="DA1191" s="93"/>
      <c r="DB1191" s="93"/>
      <c r="DC1191" s="93"/>
    </row>
    <row r="1192" spans="30:107" ht="6.95" customHeight="1" x14ac:dyDescent="0.15">
      <c r="AD1192" s="93"/>
      <c r="AE1192" s="93"/>
      <c r="AF1192" s="93"/>
      <c r="AG1192" s="93"/>
      <c r="AH1192" s="93"/>
      <c r="AI1192" s="93"/>
      <c r="AJ1192" s="93"/>
      <c r="AK1192" s="93"/>
      <c r="AL1192" s="93"/>
      <c r="AM1192" s="93"/>
      <c r="AN1192" s="93"/>
      <c r="AO1192" s="93"/>
      <c r="AP1192" s="93"/>
      <c r="AQ1192" s="93"/>
      <c r="AR1192" s="93"/>
      <c r="AS1192" s="93"/>
      <c r="AT1192" s="93"/>
      <c r="AU1192" s="93"/>
      <c r="AV1192" s="93"/>
      <c r="AW1192" s="93"/>
      <c r="AX1192" s="93"/>
      <c r="AY1192" s="93"/>
      <c r="AZ1192" s="93"/>
      <c r="BA1192" s="93"/>
      <c r="BB1192" s="93"/>
      <c r="BC1192" s="93"/>
      <c r="BD1192" s="93"/>
      <c r="BE1192" s="93"/>
      <c r="BF1192" s="93"/>
      <c r="BG1192" s="93"/>
      <c r="BH1192" s="93"/>
      <c r="BI1192" s="93"/>
      <c r="BJ1192" s="93"/>
      <c r="BK1192" s="93"/>
      <c r="BL1192" s="93"/>
      <c r="BM1192" s="93"/>
      <c r="BN1192" s="93"/>
      <c r="BO1192" s="93"/>
      <c r="BP1192" s="93"/>
      <c r="BQ1192" s="93"/>
      <c r="BR1192" s="93"/>
      <c r="BS1192" s="93"/>
      <c r="BT1192" s="93"/>
      <c r="BU1192" s="93"/>
      <c r="BV1192" s="93"/>
      <c r="BW1192" s="93"/>
      <c r="BX1192" s="93"/>
      <c r="BY1192" s="93"/>
      <c r="BZ1192" s="93"/>
      <c r="CA1192" s="93"/>
      <c r="CB1192" s="93"/>
      <c r="CC1192" s="93"/>
      <c r="CD1192" s="93"/>
      <c r="CE1192" s="93"/>
      <c r="CF1192" s="93"/>
      <c r="CG1192" s="93"/>
      <c r="CH1192" s="93"/>
      <c r="CI1192" s="93"/>
      <c r="CJ1192" s="93"/>
      <c r="CK1192" s="93"/>
      <c r="CL1192" s="93"/>
      <c r="CM1192" s="93"/>
      <c r="CN1192" s="93"/>
      <c r="CO1192" s="93"/>
      <c r="CP1192" s="93"/>
      <c r="CQ1192" s="93"/>
      <c r="CR1192" s="93"/>
      <c r="CS1192" s="93"/>
      <c r="CT1192" s="93"/>
      <c r="CU1192" s="93"/>
      <c r="CV1192" s="93"/>
      <c r="CW1192" s="93"/>
      <c r="CX1192" s="93"/>
      <c r="CY1192" s="93"/>
      <c r="CZ1192" s="93"/>
      <c r="DA1192" s="93"/>
      <c r="DB1192" s="93"/>
      <c r="DC1192" s="93"/>
    </row>
    <row r="1193" spans="30:107" ht="6.95" customHeight="1" x14ac:dyDescent="0.15">
      <c r="AD1193" s="93"/>
      <c r="AE1193" s="93"/>
      <c r="AF1193" s="93"/>
      <c r="AG1193" s="93"/>
      <c r="AH1193" s="93"/>
      <c r="AI1193" s="93"/>
      <c r="AJ1193" s="93"/>
      <c r="AK1193" s="93"/>
      <c r="AL1193" s="93"/>
      <c r="AM1193" s="93"/>
      <c r="AN1193" s="93"/>
      <c r="AO1193" s="93"/>
      <c r="AP1193" s="93"/>
      <c r="AQ1193" s="93"/>
      <c r="AR1193" s="93"/>
      <c r="AS1193" s="93"/>
      <c r="AT1193" s="93"/>
      <c r="AU1193" s="93"/>
      <c r="AV1193" s="93"/>
      <c r="AW1193" s="93"/>
      <c r="AX1193" s="93"/>
      <c r="AY1193" s="93"/>
      <c r="AZ1193" s="93"/>
      <c r="BA1193" s="93"/>
      <c r="BB1193" s="93"/>
      <c r="BC1193" s="93"/>
      <c r="BD1193" s="93"/>
      <c r="BE1193" s="93"/>
      <c r="BF1193" s="93"/>
      <c r="BG1193" s="93"/>
      <c r="BH1193" s="93"/>
      <c r="BI1193" s="93"/>
      <c r="BJ1193" s="93"/>
      <c r="BK1193" s="93"/>
      <c r="BL1193" s="93"/>
      <c r="BM1193" s="93"/>
      <c r="BN1193" s="93"/>
      <c r="BO1193" s="93"/>
      <c r="BP1193" s="93"/>
      <c r="BQ1193" s="93"/>
      <c r="BR1193" s="93"/>
      <c r="BS1193" s="93"/>
      <c r="BT1193" s="93"/>
      <c r="BU1193" s="93"/>
      <c r="BV1193" s="93"/>
      <c r="BW1193" s="93"/>
      <c r="BX1193" s="93"/>
      <c r="BY1193" s="93"/>
      <c r="BZ1193" s="93"/>
      <c r="CA1193" s="93"/>
      <c r="CB1193" s="93"/>
      <c r="CC1193" s="93"/>
      <c r="CD1193" s="93"/>
      <c r="CE1193" s="93"/>
      <c r="CF1193" s="93"/>
      <c r="CG1193" s="93"/>
      <c r="CH1193" s="93"/>
      <c r="CI1193" s="93"/>
      <c r="CJ1193" s="93"/>
      <c r="CK1193" s="93"/>
      <c r="CL1193" s="93"/>
      <c r="CM1193" s="93"/>
      <c r="CN1193" s="93"/>
      <c r="CO1193" s="93"/>
      <c r="CP1193" s="93"/>
      <c r="CQ1193" s="93"/>
      <c r="CR1193" s="93"/>
      <c r="CS1193" s="93"/>
      <c r="CT1193" s="93"/>
      <c r="CU1193" s="93"/>
      <c r="CV1193" s="93"/>
      <c r="CW1193" s="93"/>
      <c r="CX1193" s="93"/>
      <c r="CY1193" s="93"/>
      <c r="CZ1193" s="93"/>
      <c r="DA1193" s="93"/>
      <c r="DB1193" s="93"/>
      <c r="DC1193" s="93"/>
    </row>
    <row r="1194" spans="30:107" ht="6.95" customHeight="1" x14ac:dyDescent="0.15">
      <c r="AD1194" s="93"/>
      <c r="AE1194" s="93"/>
      <c r="AF1194" s="93"/>
      <c r="AG1194" s="93"/>
      <c r="AH1194" s="93"/>
      <c r="AI1194" s="93"/>
      <c r="AJ1194" s="93"/>
      <c r="AK1194" s="93"/>
      <c r="AL1194" s="93"/>
      <c r="AM1194" s="93"/>
      <c r="AN1194" s="93"/>
      <c r="AO1194" s="93"/>
      <c r="AP1194" s="93"/>
      <c r="AQ1194" s="93"/>
      <c r="AR1194" s="93"/>
      <c r="AS1194" s="93"/>
      <c r="AT1194" s="93"/>
      <c r="AU1194" s="93"/>
      <c r="AV1194" s="93"/>
      <c r="AW1194" s="93"/>
      <c r="AX1194" s="93"/>
      <c r="AY1194" s="93"/>
      <c r="AZ1194" s="93"/>
      <c r="BA1194" s="93"/>
      <c r="BB1194" s="93"/>
      <c r="BC1194" s="93"/>
      <c r="BD1194" s="93"/>
      <c r="BE1194" s="93"/>
      <c r="BF1194" s="93"/>
      <c r="BG1194" s="93"/>
      <c r="BH1194" s="93"/>
      <c r="BI1194" s="93"/>
      <c r="BJ1194" s="93"/>
      <c r="BK1194" s="93"/>
      <c r="BL1194" s="93"/>
      <c r="BM1194" s="93"/>
      <c r="BN1194" s="93"/>
      <c r="BO1194" s="93"/>
      <c r="BP1194" s="93"/>
      <c r="BQ1194" s="93"/>
      <c r="BR1194" s="93"/>
      <c r="BS1194" s="93"/>
      <c r="BT1194" s="93"/>
      <c r="BU1194" s="93"/>
      <c r="BV1194" s="93"/>
      <c r="BW1194" s="93"/>
      <c r="BX1194" s="93"/>
      <c r="BY1194" s="93"/>
      <c r="BZ1194" s="93"/>
      <c r="CA1194" s="93"/>
      <c r="CB1194" s="93"/>
      <c r="CC1194" s="93"/>
      <c r="CD1194" s="93"/>
      <c r="CE1194" s="93"/>
      <c r="CF1194" s="93"/>
      <c r="CG1194" s="93"/>
      <c r="CH1194" s="93"/>
      <c r="CI1194" s="93"/>
      <c r="CJ1194" s="93"/>
      <c r="CK1194" s="93"/>
      <c r="CL1194" s="93"/>
      <c r="CM1194" s="93"/>
      <c r="CN1194" s="93"/>
      <c r="CO1194" s="93"/>
      <c r="CP1194" s="93"/>
      <c r="CQ1194" s="93"/>
      <c r="CR1194" s="93"/>
      <c r="CS1194" s="93"/>
      <c r="CT1194" s="93"/>
      <c r="CU1194" s="93"/>
      <c r="CV1194" s="93"/>
      <c r="CW1194" s="93"/>
      <c r="CX1194" s="93"/>
      <c r="CY1194" s="93"/>
      <c r="CZ1194" s="93"/>
      <c r="DA1194" s="93"/>
      <c r="DB1194" s="93"/>
      <c r="DC1194" s="93"/>
    </row>
    <row r="1195" spans="30:107" ht="6.95" customHeight="1" x14ac:dyDescent="0.15">
      <c r="AD1195" s="93"/>
      <c r="AE1195" s="93"/>
      <c r="AF1195" s="93"/>
      <c r="AG1195" s="93"/>
      <c r="AH1195" s="93"/>
      <c r="AI1195" s="93"/>
      <c r="AJ1195" s="93"/>
      <c r="AK1195" s="93"/>
      <c r="AL1195" s="93"/>
      <c r="AM1195" s="93"/>
      <c r="AN1195" s="93"/>
      <c r="AO1195" s="93"/>
      <c r="AP1195" s="93"/>
      <c r="AQ1195" s="93"/>
      <c r="AR1195" s="93"/>
      <c r="AS1195" s="93"/>
      <c r="AT1195" s="93"/>
      <c r="AU1195" s="93"/>
      <c r="AV1195" s="93"/>
      <c r="AW1195" s="93"/>
      <c r="AX1195" s="93"/>
      <c r="AY1195" s="93"/>
      <c r="AZ1195" s="93"/>
      <c r="BA1195" s="93"/>
      <c r="BB1195" s="93"/>
      <c r="BC1195" s="93"/>
      <c r="BD1195" s="93"/>
      <c r="BE1195" s="93"/>
      <c r="BF1195" s="93"/>
      <c r="BG1195" s="93"/>
      <c r="BH1195" s="93"/>
      <c r="BI1195" s="93"/>
      <c r="BJ1195" s="93"/>
      <c r="BK1195" s="93"/>
      <c r="BL1195" s="93"/>
      <c r="BM1195" s="93"/>
      <c r="BN1195" s="93"/>
      <c r="BO1195" s="93"/>
      <c r="BP1195" s="93"/>
      <c r="BQ1195" s="93"/>
      <c r="BR1195" s="93"/>
      <c r="BS1195" s="93"/>
      <c r="BT1195" s="93"/>
      <c r="BU1195" s="93"/>
      <c r="BV1195" s="93"/>
      <c r="BW1195" s="93"/>
      <c r="BX1195" s="93"/>
      <c r="BY1195" s="93"/>
      <c r="BZ1195" s="93"/>
      <c r="CA1195" s="93"/>
      <c r="CB1195" s="93"/>
      <c r="CC1195" s="93"/>
      <c r="CD1195" s="93"/>
      <c r="CE1195" s="93"/>
      <c r="CF1195" s="93"/>
      <c r="CG1195" s="93"/>
      <c r="CH1195" s="93"/>
      <c r="CI1195" s="93"/>
      <c r="CJ1195" s="93"/>
      <c r="CK1195" s="93"/>
      <c r="CL1195" s="93"/>
      <c r="CM1195" s="93"/>
      <c r="CN1195" s="93"/>
      <c r="CO1195" s="93"/>
      <c r="CP1195" s="93"/>
      <c r="CQ1195" s="93"/>
      <c r="CR1195" s="93"/>
      <c r="CS1195" s="93"/>
      <c r="CT1195" s="93"/>
      <c r="CU1195" s="93"/>
      <c r="CV1195" s="93"/>
      <c r="CW1195" s="93"/>
      <c r="CX1195" s="93"/>
      <c r="CY1195" s="93"/>
      <c r="CZ1195" s="93"/>
      <c r="DA1195" s="93"/>
      <c r="DB1195" s="93"/>
      <c r="DC1195" s="93"/>
    </row>
    <row r="1196" spans="30:107" ht="6.95" customHeight="1" x14ac:dyDescent="0.15">
      <c r="AD1196" s="93"/>
      <c r="AE1196" s="93"/>
      <c r="AF1196" s="93"/>
      <c r="AG1196" s="93"/>
      <c r="AH1196" s="93"/>
      <c r="AI1196" s="93"/>
      <c r="AJ1196" s="93"/>
      <c r="AK1196" s="93"/>
      <c r="AL1196" s="93"/>
      <c r="AM1196" s="93"/>
      <c r="AN1196" s="93"/>
      <c r="AO1196" s="93"/>
      <c r="AP1196" s="93"/>
      <c r="AQ1196" s="93"/>
      <c r="AR1196" s="93"/>
      <c r="AS1196" s="93"/>
      <c r="AT1196" s="93"/>
      <c r="AU1196" s="93"/>
      <c r="AV1196" s="93"/>
      <c r="AW1196" s="93"/>
      <c r="AX1196" s="93"/>
      <c r="AY1196" s="93"/>
      <c r="AZ1196" s="93"/>
      <c r="BA1196" s="93"/>
      <c r="BB1196" s="93"/>
      <c r="BC1196" s="93"/>
      <c r="BD1196" s="93"/>
      <c r="BE1196" s="93"/>
      <c r="BF1196" s="93"/>
      <c r="BG1196" s="93"/>
      <c r="BH1196" s="93"/>
      <c r="BI1196" s="93"/>
      <c r="BJ1196" s="93"/>
      <c r="BK1196" s="93"/>
      <c r="BL1196" s="93"/>
      <c r="BM1196" s="93"/>
      <c r="BN1196" s="93"/>
      <c r="BO1196" s="93"/>
      <c r="BP1196" s="93"/>
      <c r="BQ1196" s="93"/>
      <c r="BR1196" s="93"/>
      <c r="BS1196" s="93"/>
      <c r="BT1196" s="93"/>
      <c r="BU1196" s="93"/>
      <c r="BV1196" s="93"/>
      <c r="BW1196" s="93"/>
      <c r="BX1196" s="93"/>
      <c r="BY1196" s="93"/>
      <c r="BZ1196" s="93"/>
      <c r="CA1196" s="93"/>
      <c r="CB1196" s="93"/>
      <c r="CC1196" s="93"/>
      <c r="CD1196" s="93"/>
      <c r="CE1196" s="93"/>
      <c r="CF1196" s="93"/>
      <c r="CG1196" s="93"/>
      <c r="CH1196" s="93"/>
      <c r="CI1196" s="93"/>
      <c r="CJ1196" s="93"/>
      <c r="CK1196" s="93"/>
      <c r="CL1196" s="93"/>
      <c r="CM1196" s="93"/>
      <c r="CN1196" s="93"/>
      <c r="CO1196" s="93"/>
      <c r="CP1196" s="93"/>
      <c r="CQ1196" s="93"/>
      <c r="CR1196" s="93"/>
      <c r="CS1196" s="93"/>
      <c r="CT1196" s="93"/>
      <c r="CU1196" s="93"/>
      <c r="CV1196" s="93"/>
      <c r="CW1196" s="93"/>
      <c r="CX1196" s="93"/>
      <c r="CY1196" s="93"/>
      <c r="CZ1196" s="93"/>
      <c r="DA1196" s="93"/>
      <c r="DB1196" s="93"/>
      <c r="DC1196" s="93"/>
    </row>
    <row r="1197" spans="30:107" ht="6.95" customHeight="1" x14ac:dyDescent="0.15">
      <c r="AD1197" s="93"/>
      <c r="AE1197" s="93"/>
      <c r="AF1197" s="93"/>
      <c r="AG1197" s="93"/>
      <c r="AH1197" s="93"/>
      <c r="AI1197" s="93"/>
      <c r="AJ1197" s="93"/>
      <c r="AK1197" s="93"/>
      <c r="AL1197" s="93"/>
      <c r="AM1197" s="93"/>
      <c r="AN1197" s="93"/>
      <c r="AO1197" s="93"/>
      <c r="AP1197" s="93"/>
      <c r="AQ1197" s="93"/>
      <c r="AR1197" s="93"/>
      <c r="AS1197" s="93"/>
      <c r="AT1197" s="93"/>
      <c r="AU1197" s="93"/>
      <c r="AV1197" s="93"/>
      <c r="AW1197" s="93"/>
      <c r="AX1197" s="93"/>
      <c r="AY1197" s="93"/>
      <c r="AZ1197" s="93"/>
      <c r="BA1197" s="93"/>
      <c r="BB1197" s="93"/>
      <c r="BC1197" s="93"/>
      <c r="BD1197" s="93"/>
      <c r="BE1197" s="93"/>
      <c r="BF1197" s="93"/>
      <c r="BG1197" s="93"/>
      <c r="BH1197" s="93"/>
      <c r="BI1197" s="93"/>
      <c r="BJ1197" s="93"/>
      <c r="BK1197" s="93"/>
      <c r="BL1197" s="93"/>
      <c r="BM1197" s="93"/>
      <c r="BN1197" s="93"/>
      <c r="BO1197" s="93"/>
      <c r="BP1197" s="93"/>
      <c r="BQ1197" s="93"/>
      <c r="BR1197" s="93"/>
      <c r="BS1197" s="93"/>
      <c r="BT1197" s="93"/>
      <c r="BU1197" s="93"/>
      <c r="BV1197" s="93"/>
      <c r="BW1197" s="93"/>
      <c r="BX1197" s="93"/>
      <c r="BY1197" s="93"/>
      <c r="BZ1197" s="93"/>
      <c r="CA1197" s="93"/>
      <c r="CB1197" s="93"/>
      <c r="CC1197" s="93"/>
      <c r="CD1197" s="93"/>
      <c r="CE1197" s="93"/>
      <c r="CF1197" s="93"/>
      <c r="CG1197" s="93"/>
      <c r="CH1197" s="93"/>
      <c r="CI1197" s="93"/>
      <c r="CJ1197" s="93"/>
      <c r="CK1197" s="93"/>
      <c r="CL1197" s="93"/>
      <c r="CM1197" s="93"/>
      <c r="CN1197" s="93"/>
      <c r="CO1197" s="93"/>
      <c r="CP1197" s="93"/>
      <c r="CQ1197" s="93"/>
      <c r="CR1197" s="93"/>
      <c r="CS1197" s="93"/>
      <c r="CT1197" s="93"/>
      <c r="CU1197" s="93"/>
      <c r="CV1197" s="93"/>
      <c r="CW1197" s="93"/>
      <c r="CX1197" s="93"/>
      <c r="CY1197" s="93"/>
      <c r="CZ1197" s="93"/>
      <c r="DA1197" s="93"/>
      <c r="DB1197" s="93"/>
      <c r="DC1197" s="93"/>
    </row>
    <row r="1198" spans="30:107" ht="6.95" customHeight="1" x14ac:dyDescent="0.15">
      <c r="AD1198" s="93"/>
      <c r="AE1198" s="93"/>
      <c r="AF1198" s="93"/>
      <c r="AG1198" s="93"/>
      <c r="AH1198" s="93"/>
      <c r="AI1198" s="93"/>
      <c r="AJ1198" s="93"/>
      <c r="AK1198" s="93"/>
      <c r="AL1198" s="93"/>
      <c r="AM1198" s="93"/>
      <c r="AN1198" s="93"/>
      <c r="AO1198" s="93"/>
      <c r="AP1198" s="93"/>
      <c r="AQ1198" s="93"/>
      <c r="AR1198" s="93"/>
      <c r="AS1198" s="93"/>
      <c r="AT1198" s="93"/>
      <c r="AU1198" s="93"/>
      <c r="AV1198" s="93"/>
      <c r="AW1198" s="93"/>
      <c r="AX1198" s="93"/>
      <c r="AY1198" s="93"/>
      <c r="AZ1198" s="93"/>
      <c r="BA1198" s="93"/>
      <c r="BB1198" s="93"/>
      <c r="BC1198" s="93"/>
      <c r="BD1198" s="93"/>
      <c r="BE1198" s="93"/>
      <c r="BF1198" s="93"/>
      <c r="BG1198" s="93"/>
      <c r="BH1198" s="93"/>
      <c r="BI1198" s="93"/>
      <c r="BJ1198" s="93"/>
      <c r="BK1198" s="93"/>
      <c r="BL1198" s="93"/>
      <c r="BM1198" s="93"/>
      <c r="BN1198" s="93"/>
      <c r="BO1198" s="93"/>
      <c r="BP1198" s="93"/>
      <c r="BQ1198" s="93"/>
      <c r="BR1198" s="93"/>
      <c r="BS1198" s="93"/>
      <c r="BT1198" s="93"/>
      <c r="BU1198" s="93"/>
      <c r="BV1198" s="93"/>
      <c r="BW1198" s="93"/>
      <c r="BX1198" s="93"/>
      <c r="BY1198" s="93"/>
      <c r="BZ1198" s="93"/>
      <c r="CA1198" s="93"/>
      <c r="CB1198" s="93"/>
      <c r="CC1198" s="93"/>
      <c r="CD1198" s="93"/>
      <c r="CE1198" s="93"/>
      <c r="CF1198" s="93"/>
      <c r="CG1198" s="93"/>
      <c r="CH1198" s="93"/>
      <c r="CI1198" s="93"/>
      <c r="CJ1198" s="93"/>
      <c r="CK1198" s="93"/>
      <c r="CL1198" s="93"/>
      <c r="CM1198" s="93"/>
      <c r="CN1198" s="93"/>
      <c r="CO1198" s="93"/>
      <c r="CP1198" s="93"/>
      <c r="CQ1198" s="93"/>
      <c r="CR1198" s="93"/>
      <c r="CS1198" s="93"/>
      <c r="CT1198" s="93"/>
      <c r="CU1198" s="93"/>
      <c r="CV1198" s="93"/>
      <c r="CW1198" s="93"/>
      <c r="CX1198" s="93"/>
      <c r="CY1198" s="93"/>
      <c r="CZ1198" s="93"/>
      <c r="DA1198" s="93"/>
      <c r="DB1198" s="93"/>
      <c r="DC1198" s="93"/>
    </row>
    <row r="1199" spans="30:107" ht="6.95" customHeight="1" x14ac:dyDescent="0.15">
      <c r="AD1199" s="93"/>
      <c r="AE1199" s="93"/>
      <c r="AF1199" s="93"/>
      <c r="AG1199" s="93"/>
      <c r="AH1199" s="93"/>
      <c r="AI1199" s="93"/>
      <c r="AJ1199" s="93"/>
      <c r="AK1199" s="93"/>
      <c r="AL1199" s="93"/>
      <c r="AM1199" s="93"/>
      <c r="AN1199" s="93"/>
      <c r="AO1199" s="93"/>
      <c r="AP1199" s="93"/>
      <c r="AQ1199" s="93"/>
      <c r="AR1199" s="93"/>
      <c r="AS1199" s="93"/>
      <c r="AT1199" s="93"/>
      <c r="AU1199" s="93"/>
      <c r="AV1199" s="93"/>
      <c r="AW1199" s="93"/>
      <c r="AX1199" s="93"/>
      <c r="AY1199" s="93"/>
      <c r="AZ1199" s="93"/>
      <c r="BA1199" s="93"/>
      <c r="BB1199" s="93"/>
      <c r="BC1199" s="93"/>
      <c r="BD1199" s="93"/>
      <c r="BE1199" s="93"/>
      <c r="BF1199" s="93"/>
      <c r="BG1199" s="93"/>
      <c r="BH1199" s="93"/>
      <c r="BI1199" s="93"/>
      <c r="BJ1199" s="93"/>
      <c r="BK1199" s="93"/>
      <c r="BL1199" s="93"/>
      <c r="BM1199" s="93"/>
      <c r="BN1199" s="93"/>
      <c r="BO1199" s="93"/>
      <c r="BP1199" s="93"/>
      <c r="BQ1199" s="93"/>
      <c r="BR1199" s="93"/>
      <c r="BS1199" s="93"/>
      <c r="BT1199" s="93"/>
      <c r="BU1199" s="93"/>
      <c r="BV1199" s="93"/>
      <c r="BW1199" s="93"/>
      <c r="BX1199" s="93"/>
      <c r="BY1199" s="93"/>
      <c r="BZ1199" s="93"/>
      <c r="CA1199" s="93"/>
      <c r="CB1199" s="93"/>
      <c r="CC1199" s="93"/>
      <c r="CD1199" s="93"/>
      <c r="CE1199" s="93"/>
      <c r="CF1199" s="93"/>
      <c r="CG1199" s="93"/>
      <c r="CH1199" s="93"/>
      <c r="CI1199" s="93"/>
      <c r="CJ1199" s="93"/>
      <c r="CK1199" s="93"/>
      <c r="CL1199" s="93"/>
      <c r="CM1199" s="93"/>
      <c r="CN1199" s="93"/>
      <c r="CO1199" s="93"/>
      <c r="CP1199" s="93"/>
      <c r="CQ1199" s="93"/>
      <c r="CR1199" s="93"/>
      <c r="CS1199" s="93"/>
      <c r="CT1199" s="93"/>
      <c r="CU1199" s="93"/>
      <c r="CV1199" s="93"/>
      <c r="CW1199" s="93"/>
      <c r="CX1199" s="93"/>
      <c r="CY1199" s="93"/>
      <c r="CZ1199" s="93"/>
      <c r="DA1199" s="93"/>
      <c r="DB1199" s="93"/>
      <c r="DC1199" s="93"/>
    </row>
  </sheetData>
  <mergeCells count="9851">
    <mergeCell ref="AE473:AH474"/>
    <mergeCell ref="AF482:AI483"/>
    <mergeCell ref="BH482:BK483"/>
    <mergeCell ref="AD512:AF512"/>
    <mergeCell ref="BK455:BL456"/>
    <mergeCell ref="AJ452:AL453"/>
    <mergeCell ref="BT428:BW429"/>
    <mergeCell ref="AO421:AR422"/>
    <mergeCell ref="BH421:BK422"/>
    <mergeCell ref="BD422:BG423"/>
    <mergeCell ref="BM441:BO442"/>
    <mergeCell ref="AY425:BB426"/>
    <mergeCell ref="BW459:BX460"/>
    <mergeCell ref="BH455:BJ456"/>
    <mergeCell ref="BT437:BW438"/>
    <mergeCell ref="AK459:AL460"/>
    <mergeCell ref="BM455:BO456"/>
    <mergeCell ref="AJ449:AL450"/>
    <mergeCell ref="AO485:AQ486"/>
    <mergeCell ref="AR485:AS486"/>
    <mergeCell ref="AT485:AV486"/>
    <mergeCell ref="BB485:BE486"/>
    <mergeCell ref="BH485:BJ486"/>
    <mergeCell ref="BK485:BL486"/>
    <mergeCell ref="BR468:BS469"/>
    <mergeCell ref="BH473:BK474"/>
    <mergeCell ref="BI425:BL426"/>
    <mergeCell ref="AF428:AI429"/>
    <mergeCell ref="BH428:BK429"/>
    <mergeCell ref="AF451:AI452"/>
    <mergeCell ref="BX452:BZ453"/>
    <mergeCell ref="BY471:CB472"/>
    <mergeCell ref="BW405:BX406"/>
    <mergeCell ref="BK448:BL449"/>
    <mergeCell ref="BB431:BE432"/>
    <mergeCell ref="BT473:BW474"/>
    <mergeCell ref="AY479:BB480"/>
    <mergeCell ref="BH508:BJ509"/>
    <mergeCell ref="BI479:BL480"/>
    <mergeCell ref="AR539:AS540"/>
    <mergeCell ref="AT539:AV540"/>
    <mergeCell ref="AY470:BB471"/>
    <mergeCell ref="AK422:AN423"/>
    <mergeCell ref="BH423:BJ424"/>
    <mergeCell ref="BK423:BL424"/>
    <mergeCell ref="BH431:BJ432"/>
    <mergeCell ref="BK431:BL432"/>
    <mergeCell ref="BR458:BT458"/>
    <mergeCell ref="BH441:BJ442"/>
    <mergeCell ref="BK441:BL442"/>
    <mergeCell ref="AO423:AQ424"/>
    <mergeCell ref="AR423:AS424"/>
    <mergeCell ref="AL443:AR444"/>
    <mergeCell ref="BH419:BK420"/>
    <mergeCell ref="BT425:BW426"/>
    <mergeCell ref="AK530:AN531"/>
    <mergeCell ref="AJ501:AL502"/>
    <mergeCell ref="BM502:BO503"/>
    <mergeCell ref="AW497:AX498"/>
    <mergeCell ref="BB401:BD402"/>
    <mergeCell ref="BH401:BJ402"/>
    <mergeCell ref="BK401:BL402"/>
    <mergeCell ref="BM401:BO402"/>
    <mergeCell ref="BM431:BO432"/>
    <mergeCell ref="AY416:BB417"/>
    <mergeCell ref="AK417:AN418"/>
    <mergeCell ref="BD417:BG418"/>
    <mergeCell ref="AK405:AL406"/>
    <mergeCell ref="AT423:AV424"/>
    <mergeCell ref="BM423:BO424"/>
    <mergeCell ref="BR414:BS415"/>
    <mergeCell ref="BH475:BK476"/>
    <mergeCell ref="BD476:BG477"/>
    <mergeCell ref="AO477:AQ478"/>
    <mergeCell ref="AO419:AR420"/>
    <mergeCell ref="BP459:BP460"/>
    <mergeCell ref="AY443:BA444"/>
    <mergeCell ref="BJ437:BM438"/>
    <mergeCell ref="AO431:AQ432"/>
    <mergeCell ref="AR431:AS432"/>
    <mergeCell ref="AT431:AV432"/>
    <mergeCell ref="BM448:BO449"/>
    <mergeCell ref="BH448:BJ449"/>
    <mergeCell ref="BM477:BO478"/>
    <mergeCell ref="AM405:AQ406"/>
    <mergeCell ref="AR405:BL406"/>
    <mergeCell ref="BM405:BO406"/>
    <mergeCell ref="BP405:BP406"/>
    <mergeCell ref="BH379:BK380"/>
    <mergeCell ref="AD346:AF346"/>
    <mergeCell ref="AO382:AQ383"/>
    <mergeCell ref="BK382:BL383"/>
    <mergeCell ref="BI376:BL377"/>
    <mergeCell ref="AX372:BA373"/>
    <mergeCell ref="AO374:AQ375"/>
    <mergeCell ref="BK374:BL375"/>
    <mergeCell ref="BH374:BJ375"/>
    <mergeCell ref="AK306:AN307"/>
    <mergeCell ref="BD306:BG307"/>
    <mergeCell ref="AO307:AQ308"/>
    <mergeCell ref="AF336:AI337"/>
    <mergeCell ref="BH365:BJ366"/>
    <mergeCell ref="AR365:AS366"/>
    <mergeCell ref="AO365:AQ366"/>
    <mergeCell ref="AT327:AV328"/>
    <mergeCell ref="AO361:AR362"/>
    <mergeCell ref="AK347:AL348"/>
    <mergeCell ref="AM347:AQ348"/>
    <mergeCell ref="AF379:AI380"/>
    <mergeCell ref="AE372:AH373"/>
    <mergeCell ref="AF334:AI335"/>
    <mergeCell ref="AJ336:AL337"/>
    <mergeCell ref="BK327:BL328"/>
    <mergeCell ref="BK325:BL326"/>
    <mergeCell ref="AT365:AV366"/>
    <mergeCell ref="BH315:BJ316"/>
    <mergeCell ref="BH337:BJ338"/>
    <mergeCell ref="BK337:BL338"/>
    <mergeCell ref="BM347:BO348"/>
    <mergeCell ref="AM289:AQ290"/>
    <mergeCell ref="BM234:BO235"/>
    <mergeCell ref="BH307:BJ308"/>
    <mergeCell ref="BK307:BL308"/>
    <mergeCell ref="AD298:AE299"/>
    <mergeCell ref="AF300:AI301"/>
    <mergeCell ref="AY300:BB301"/>
    <mergeCell ref="AK301:AN302"/>
    <mergeCell ref="BD301:BG302"/>
    <mergeCell ref="BH361:BK362"/>
    <mergeCell ref="AO363:AR364"/>
    <mergeCell ref="AD356:AE357"/>
    <mergeCell ref="BM374:BO375"/>
    <mergeCell ref="BM365:BO366"/>
    <mergeCell ref="AK364:AN365"/>
    <mergeCell ref="BD364:BG365"/>
    <mergeCell ref="BK365:BL366"/>
    <mergeCell ref="AF358:AI359"/>
    <mergeCell ref="AY358:BB359"/>
    <mergeCell ref="AK359:AN360"/>
    <mergeCell ref="BD359:BG360"/>
    <mergeCell ref="BM337:BO338"/>
    <mergeCell ref="BM325:BO326"/>
    <mergeCell ref="BM307:BO308"/>
    <mergeCell ref="BH284:BJ285"/>
    <mergeCell ref="AT307:AV308"/>
    <mergeCell ref="BM265:BO266"/>
    <mergeCell ref="BD256:BG257"/>
    <mergeCell ref="BR356:BS357"/>
    <mergeCell ref="BT379:BW380"/>
    <mergeCell ref="AF376:AI377"/>
    <mergeCell ref="AY376:BB377"/>
    <mergeCell ref="BM392:BO393"/>
    <mergeCell ref="BB382:BE383"/>
    <mergeCell ref="BP347:BP348"/>
    <mergeCell ref="AL396:AR397"/>
    <mergeCell ref="AT396:AV397"/>
    <mergeCell ref="AW396:AX397"/>
    <mergeCell ref="BH382:BJ383"/>
    <mergeCell ref="AF367:AI368"/>
    <mergeCell ref="AY367:BB368"/>
    <mergeCell ref="BH363:BK364"/>
    <mergeCell ref="AR374:AS375"/>
    <mergeCell ref="AT374:AV375"/>
    <mergeCell ref="AI347:AJ348"/>
    <mergeCell ref="AT382:AV383"/>
    <mergeCell ref="AE370:AH371"/>
    <mergeCell ref="AX370:BA371"/>
    <mergeCell ref="AT394:AV395"/>
    <mergeCell ref="BH392:BJ393"/>
    <mergeCell ref="BK392:BL393"/>
    <mergeCell ref="AF396:AI397"/>
    <mergeCell ref="AY396:BA397"/>
    <mergeCell ref="AR382:AS383"/>
    <mergeCell ref="BS370:BV371"/>
    <mergeCell ref="BS372:BV373"/>
    <mergeCell ref="BT392:BW393"/>
    <mergeCell ref="BW347:BX348"/>
    <mergeCell ref="BT367:BW368"/>
    <mergeCell ref="AL394:AR395"/>
    <mergeCell ref="L212:O213"/>
    <mergeCell ref="K215:N216"/>
    <mergeCell ref="K217:N218"/>
    <mergeCell ref="U219:W220"/>
    <mergeCell ref="X219:Y220"/>
    <mergeCell ref="Z219:AB220"/>
    <mergeCell ref="AD288:AF288"/>
    <mergeCell ref="AF425:AI426"/>
    <mergeCell ref="AI289:AJ290"/>
    <mergeCell ref="AK289:AL290"/>
    <mergeCell ref="L223:O224"/>
    <mergeCell ref="U226:X227"/>
    <mergeCell ref="U228:X229"/>
    <mergeCell ref="U230:W231"/>
    <mergeCell ref="X230:Y231"/>
    <mergeCell ref="Z230:AB231"/>
    <mergeCell ref="AF398:AI399"/>
    <mergeCell ref="AF394:AI395"/>
    <mergeCell ref="AF387:AI388"/>
    <mergeCell ref="AJ400:AL401"/>
    <mergeCell ref="AF270:AI271"/>
    <mergeCell ref="AL329:AR330"/>
    <mergeCell ref="AF331:AI332"/>
    <mergeCell ref="AO255:AR256"/>
    <mergeCell ref="CV207:CX208"/>
    <mergeCell ref="CV234:CX235"/>
    <mergeCell ref="CM209:CP210"/>
    <mergeCell ref="BT221:BW222"/>
    <mergeCell ref="BT225:BW226"/>
    <mergeCell ref="BW239:BX240"/>
    <mergeCell ref="CC316:CE317"/>
    <mergeCell ref="CF316:CG317"/>
    <mergeCell ref="CH316:CJ317"/>
    <mergeCell ref="BH312:BK313"/>
    <mergeCell ref="BH305:BK306"/>
    <mergeCell ref="BH265:BJ266"/>
    <mergeCell ref="BH303:BK304"/>
    <mergeCell ref="BT279:BW280"/>
    <mergeCell ref="CC314:CF315"/>
    <mergeCell ref="CV314:CY315"/>
    <mergeCell ref="BT300:BW301"/>
    <mergeCell ref="BY301:CB302"/>
    <mergeCell ref="CY225:CZ226"/>
    <mergeCell ref="BT271:BW272"/>
    <mergeCell ref="BK275:BL276"/>
    <mergeCell ref="CM227:CO228"/>
    <mergeCell ref="BM207:BO208"/>
    <mergeCell ref="BZ336:CF337"/>
    <mergeCell ref="CH336:CJ337"/>
    <mergeCell ref="CK336:CL337"/>
    <mergeCell ref="BM327:BO328"/>
    <mergeCell ref="BB337:BD338"/>
    <mergeCell ref="E126:G126"/>
    <mergeCell ref="DA265:DC266"/>
    <mergeCell ref="CR151:CU152"/>
    <mergeCell ref="AT229:AV230"/>
    <mergeCell ref="AL229:AR230"/>
    <mergeCell ref="AO253:AR254"/>
    <mergeCell ref="AY259:BB260"/>
    <mergeCell ref="CY184:CZ185"/>
    <mergeCell ref="CV162:CY163"/>
    <mergeCell ref="AW177:AX178"/>
    <mergeCell ref="BZ279:CF280"/>
    <mergeCell ref="CF207:CG208"/>
    <mergeCell ref="CH207:CJ208"/>
    <mergeCell ref="BY201:CB202"/>
    <mergeCell ref="CC207:CE208"/>
    <mergeCell ref="CK227:CL228"/>
    <mergeCell ref="BT231:BW232"/>
    <mergeCell ref="CC203:CF204"/>
    <mergeCell ref="CH215:CJ216"/>
    <mergeCell ref="CC215:CE216"/>
    <mergeCell ref="BY227:CF228"/>
    <mergeCell ref="CF157:CG158"/>
    <mergeCell ref="G148:I148"/>
    <mergeCell ref="AF181:AI182"/>
    <mergeCell ref="AJ183:AL184"/>
    <mergeCell ref="CV153:CY154"/>
    <mergeCell ref="CV205:CY206"/>
    <mergeCell ref="AD148:AE149"/>
    <mergeCell ref="AY159:BB160"/>
    <mergeCell ref="AD198:AE199"/>
    <mergeCell ref="AD248:AE249"/>
    <mergeCell ref="BR248:BS249"/>
    <mergeCell ref="BX233:BZ234"/>
    <mergeCell ref="CF239:CZ240"/>
    <mergeCell ref="T204:W205"/>
    <mergeCell ref="T206:W207"/>
    <mergeCell ref="U208:W209"/>
    <mergeCell ref="X208:Y209"/>
    <mergeCell ref="Z208:AB209"/>
    <mergeCell ref="AF173:AI174"/>
    <mergeCell ref="Z196:AB197"/>
    <mergeCell ref="U166:W167"/>
    <mergeCell ref="X166:Y167"/>
    <mergeCell ref="CP234:CR235"/>
    <mergeCell ref="Z166:AB167"/>
    <mergeCell ref="CF165:CG166"/>
    <mergeCell ref="CC205:CF206"/>
    <mergeCell ref="AF220:AI221"/>
    <mergeCell ref="AF227:AI228"/>
    <mergeCell ref="AY229:BA230"/>
    <mergeCell ref="V160:Y161"/>
    <mergeCell ref="BH212:BK213"/>
    <mergeCell ref="BH234:BJ235"/>
    <mergeCell ref="AI239:AJ240"/>
    <mergeCell ref="AF229:AI230"/>
    <mergeCell ref="AD238:AF238"/>
    <mergeCell ref="U163:X164"/>
    <mergeCell ref="AK151:AN152"/>
    <mergeCell ref="AO157:AQ158"/>
    <mergeCell ref="BK157:BL158"/>
    <mergeCell ref="AL177:AR178"/>
    <mergeCell ref="AF223:AI224"/>
    <mergeCell ref="AO205:AR206"/>
    <mergeCell ref="CM336:CO337"/>
    <mergeCell ref="BT338:BW339"/>
    <mergeCell ref="BZ338:CF339"/>
    <mergeCell ref="BT334:BW335"/>
    <mergeCell ref="CH257:CJ258"/>
    <mergeCell ref="BD251:BG252"/>
    <mergeCell ref="AF153:AI154"/>
    <mergeCell ref="AX203:BA204"/>
    <mergeCell ref="AY209:BB210"/>
    <mergeCell ref="AO215:AQ216"/>
    <mergeCell ref="BR198:BS199"/>
    <mergeCell ref="BI209:BL210"/>
    <mergeCell ref="AF203:AI204"/>
    <mergeCell ref="AX205:BA206"/>
    <mergeCell ref="BM189:BO190"/>
    <mergeCell ref="BP189:BP190"/>
    <mergeCell ref="AK206:AN207"/>
    <mergeCell ref="AW227:AX228"/>
    <mergeCell ref="CM309:CP310"/>
    <mergeCell ref="BY179:CF180"/>
    <mergeCell ref="BT175:BW176"/>
    <mergeCell ref="AD188:AF188"/>
    <mergeCell ref="AY177:BA178"/>
    <mergeCell ref="AF179:AI180"/>
    <mergeCell ref="BT318:BW319"/>
    <mergeCell ref="CM318:CP319"/>
    <mergeCell ref="AK251:AN252"/>
    <mergeCell ref="BH255:BK256"/>
    <mergeCell ref="L172:O173"/>
    <mergeCell ref="Q172:W173"/>
    <mergeCell ref="U177:W178"/>
    <mergeCell ref="X177:Y178"/>
    <mergeCell ref="O166:R167"/>
    <mergeCell ref="L160:O161"/>
    <mergeCell ref="L189:O190"/>
    <mergeCell ref="AY200:BB201"/>
    <mergeCell ref="AM189:AQ190"/>
    <mergeCell ref="AF170:AI171"/>
    <mergeCell ref="AK201:AN202"/>
    <mergeCell ref="AR189:BL190"/>
    <mergeCell ref="AF177:AI178"/>
    <mergeCell ref="AL179:AR180"/>
    <mergeCell ref="AT179:AV180"/>
    <mergeCell ref="Z177:AB178"/>
    <mergeCell ref="CC374:CE375"/>
    <mergeCell ref="BL321:BO322"/>
    <mergeCell ref="BT358:BW359"/>
    <mergeCell ref="CC255:CF256"/>
    <mergeCell ref="BK234:BL235"/>
    <mergeCell ref="BP239:BP240"/>
    <mergeCell ref="BH262:BK263"/>
    <mergeCell ref="CF257:CG258"/>
    <mergeCell ref="BT275:BW276"/>
    <mergeCell ref="BK225:BL226"/>
    <mergeCell ref="BM289:BO290"/>
    <mergeCell ref="BP289:BP290"/>
    <mergeCell ref="CC324:CE325"/>
    <mergeCell ref="CF324:CG325"/>
    <mergeCell ref="AR289:BL290"/>
    <mergeCell ref="BH215:BJ216"/>
    <mergeCell ref="DA215:DC216"/>
    <mergeCell ref="CV265:CX266"/>
    <mergeCell ref="DA234:DC235"/>
    <mergeCell ref="CH277:CJ278"/>
    <mergeCell ref="BY251:CB252"/>
    <mergeCell ref="CY275:CZ276"/>
    <mergeCell ref="CC265:CE266"/>
    <mergeCell ref="CK279:CL280"/>
    <mergeCell ref="CY234:CZ235"/>
    <mergeCell ref="BR298:BS299"/>
    <mergeCell ref="BX283:BZ284"/>
    <mergeCell ref="DA284:DC285"/>
    <mergeCell ref="K192:N193"/>
    <mergeCell ref="K194:N195"/>
    <mergeCell ref="U196:W197"/>
    <mergeCell ref="X196:Y197"/>
    <mergeCell ref="L201:O202"/>
    <mergeCell ref="CY265:CZ266"/>
    <mergeCell ref="CP215:CS216"/>
    <mergeCell ref="CW259:CZ260"/>
    <mergeCell ref="CK277:CL278"/>
    <mergeCell ref="CM277:CO278"/>
    <mergeCell ref="CR251:CU252"/>
    <mergeCell ref="CV262:CY263"/>
    <mergeCell ref="CP284:CR285"/>
    <mergeCell ref="CM279:CO280"/>
    <mergeCell ref="AT227:AV228"/>
    <mergeCell ref="DA275:DC276"/>
    <mergeCell ref="BM275:BO276"/>
    <mergeCell ref="BJ271:BM272"/>
    <mergeCell ref="BH275:BJ276"/>
    <mergeCell ref="AY250:BB251"/>
    <mergeCell ref="DA175:DC176"/>
    <mergeCell ref="CX171:DA172"/>
    <mergeCell ref="CV175:CX176"/>
    <mergeCell ref="CH265:CJ266"/>
    <mergeCell ref="BH253:BK254"/>
    <mergeCell ref="BH257:BJ258"/>
    <mergeCell ref="BM257:BO258"/>
    <mergeCell ref="AF212:AI213"/>
    <mergeCell ref="AT215:AV216"/>
    <mergeCell ref="AI189:AJ190"/>
    <mergeCell ref="AF209:AI210"/>
    <mergeCell ref="BH207:BJ208"/>
    <mergeCell ref="AR165:AS166"/>
    <mergeCell ref="AT177:AV178"/>
    <mergeCell ref="BM184:BO185"/>
    <mergeCell ref="AF200:AI201"/>
    <mergeCell ref="AK189:AL190"/>
    <mergeCell ref="CP265:CS266"/>
    <mergeCell ref="AT207:AV208"/>
    <mergeCell ref="AO207:AQ208"/>
    <mergeCell ref="AR207:AS208"/>
    <mergeCell ref="DA207:DC208"/>
    <mergeCell ref="DA189:DC190"/>
    <mergeCell ref="CY207:CZ208"/>
    <mergeCell ref="CM200:CP201"/>
    <mergeCell ref="DA257:DC258"/>
    <mergeCell ref="DA225:DC226"/>
    <mergeCell ref="BW189:BX190"/>
    <mergeCell ref="CP184:CR185"/>
    <mergeCell ref="CF189:CZ190"/>
    <mergeCell ref="CK177:CL178"/>
    <mergeCell ref="CV203:CY204"/>
    <mergeCell ref="CC382:CE383"/>
    <mergeCell ref="CV382:CX383"/>
    <mergeCell ref="CY423:CZ424"/>
    <mergeCell ref="CV284:CX285"/>
    <mergeCell ref="CV316:CX317"/>
    <mergeCell ref="CV303:CY304"/>
    <mergeCell ref="CV307:CX308"/>
    <mergeCell ref="BT250:BW251"/>
    <mergeCell ref="BT200:BW201"/>
    <mergeCell ref="CW209:CZ210"/>
    <mergeCell ref="CV212:CY213"/>
    <mergeCell ref="BY189:BZ190"/>
    <mergeCell ref="CC257:CE258"/>
    <mergeCell ref="CR206:CU207"/>
    <mergeCell ref="BT376:BW377"/>
    <mergeCell ref="CF289:CZ290"/>
    <mergeCell ref="CF423:CG424"/>
    <mergeCell ref="CC363:CF364"/>
    <mergeCell ref="CH423:CJ424"/>
    <mergeCell ref="CV253:CY254"/>
    <mergeCell ref="CV255:CY256"/>
    <mergeCell ref="CR256:CU257"/>
    <mergeCell ref="CY257:CZ258"/>
    <mergeCell ref="CV257:CX258"/>
    <mergeCell ref="CV275:CX276"/>
    <mergeCell ref="CH279:CJ280"/>
    <mergeCell ref="BT253:BW254"/>
    <mergeCell ref="BR288:BT288"/>
    <mergeCell ref="CV312:CY313"/>
    <mergeCell ref="BY315:CB316"/>
    <mergeCell ref="CR315:CU316"/>
    <mergeCell ref="BT336:BW337"/>
    <mergeCell ref="CY284:CZ285"/>
    <mergeCell ref="CR306:CU307"/>
    <mergeCell ref="CC307:CE308"/>
    <mergeCell ref="CF307:CG308"/>
    <mergeCell ref="CH307:CJ308"/>
    <mergeCell ref="BR188:BT188"/>
    <mergeCell ref="CM159:CP160"/>
    <mergeCell ref="CY175:CZ176"/>
    <mergeCell ref="CY165:CZ166"/>
    <mergeCell ref="DA239:DC240"/>
    <mergeCell ref="CA139:CE140"/>
    <mergeCell ref="BT153:BW154"/>
    <mergeCell ref="CM177:CO178"/>
    <mergeCell ref="CC361:CF362"/>
    <mergeCell ref="CV343:CX344"/>
    <mergeCell ref="CV441:CX442"/>
    <mergeCell ref="CY441:CZ442"/>
    <mergeCell ref="CW425:CZ426"/>
    <mergeCell ref="CX437:DA438"/>
    <mergeCell ref="DA365:DC366"/>
    <mergeCell ref="CA405:CE406"/>
    <mergeCell ref="DA401:DC402"/>
    <mergeCell ref="BT441:BW442"/>
    <mergeCell ref="BT340:BW341"/>
    <mergeCell ref="BY139:BZ140"/>
    <mergeCell ref="BT150:BW151"/>
    <mergeCell ref="BT171:BW172"/>
    <mergeCell ref="BT209:BW210"/>
    <mergeCell ref="CA189:CE190"/>
    <mergeCell ref="CH165:CJ166"/>
    <mergeCell ref="CF215:CG216"/>
    <mergeCell ref="CW318:CZ319"/>
    <mergeCell ref="BY422:CB423"/>
    <mergeCell ref="CC423:CE424"/>
    <mergeCell ref="CC421:CF422"/>
    <mergeCell ref="CC431:CE432"/>
    <mergeCell ref="CF431:CG432"/>
    <mergeCell ref="CR364:CU365"/>
    <mergeCell ref="CM300:CP301"/>
    <mergeCell ref="CR301:CU302"/>
    <mergeCell ref="DA289:DC290"/>
    <mergeCell ref="CY307:CZ308"/>
    <mergeCell ref="DA307:DC308"/>
    <mergeCell ref="CK396:CL397"/>
    <mergeCell ref="CM396:CO397"/>
    <mergeCell ref="CP401:CR402"/>
    <mergeCell ref="CV401:CX402"/>
    <mergeCell ref="CV157:CX158"/>
    <mergeCell ref="CY215:CZ216"/>
    <mergeCell ref="CV215:CX216"/>
    <mergeCell ref="CX221:DA222"/>
    <mergeCell ref="CV225:CX226"/>
    <mergeCell ref="CW376:CZ377"/>
    <mergeCell ref="CA289:CE290"/>
    <mergeCell ref="CC253:CF254"/>
    <mergeCell ref="CM250:CP251"/>
    <mergeCell ref="BY177:CF178"/>
    <mergeCell ref="CH179:CJ180"/>
    <mergeCell ref="CK179:CL180"/>
    <mergeCell ref="CM179:CO180"/>
    <mergeCell ref="DA165:DC166"/>
    <mergeCell ref="CP165:CS166"/>
    <mergeCell ref="CV165:CX166"/>
    <mergeCell ref="CV184:CX185"/>
    <mergeCell ref="DA184:DC185"/>
    <mergeCell ref="CA239:CE240"/>
    <mergeCell ref="CW159:CZ160"/>
    <mergeCell ref="AT315:AV316"/>
    <mergeCell ref="BB315:BE316"/>
    <mergeCell ref="BT388:BW389"/>
    <mergeCell ref="BR404:BT404"/>
    <mergeCell ref="BM485:BO486"/>
    <mergeCell ref="BT398:BW399"/>
    <mergeCell ref="BT451:BW452"/>
    <mergeCell ref="AM459:AQ460"/>
    <mergeCell ref="AR459:BL460"/>
    <mergeCell ref="BM459:BO460"/>
    <mergeCell ref="BD471:BG472"/>
    <mergeCell ref="BK265:BL266"/>
    <mergeCell ref="BT212:BW213"/>
    <mergeCell ref="CM259:CP260"/>
    <mergeCell ref="BZ277:CF278"/>
    <mergeCell ref="CF265:CG266"/>
    <mergeCell ref="BB453:BD454"/>
    <mergeCell ref="BH325:BJ326"/>
    <mergeCell ref="BY347:BZ348"/>
    <mergeCell ref="CA347:CE348"/>
    <mergeCell ref="BY364:CB365"/>
    <mergeCell ref="CM367:CP368"/>
    <mergeCell ref="BY405:BZ406"/>
    <mergeCell ref="BY417:CB418"/>
    <mergeCell ref="BW289:BX290"/>
    <mergeCell ref="BY289:BZ290"/>
    <mergeCell ref="CH338:CJ339"/>
    <mergeCell ref="CK338:CL339"/>
    <mergeCell ref="AR215:AS216"/>
    <mergeCell ref="AY227:BA228"/>
    <mergeCell ref="BM225:BO226"/>
    <mergeCell ref="BB215:BE216"/>
    <mergeCell ref="AT279:AV280"/>
    <mergeCell ref="BI309:BL310"/>
    <mergeCell ref="AF279:AI280"/>
    <mergeCell ref="BB265:BE266"/>
    <mergeCell ref="BI259:BL260"/>
    <mergeCell ref="AW277:AX278"/>
    <mergeCell ref="AT257:AV258"/>
    <mergeCell ref="AL277:AR278"/>
    <mergeCell ref="AR239:BL240"/>
    <mergeCell ref="AT277:AV278"/>
    <mergeCell ref="BB284:BD285"/>
    <mergeCell ref="AK256:AN257"/>
    <mergeCell ref="AR307:AS308"/>
    <mergeCell ref="AO303:AR304"/>
    <mergeCell ref="AO305:AR306"/>
    <mergeCell ref="BK257:BL258"/>
    <mergeCell ref="AF262:AI263"/>
    <mergeCell ref="AJ283:AL284"/>
    <mergeCell ref="AL279:AR280"/>
    <mergeCell ref="AW279:AX280"/>
    <mergeCell ref="BK284:BL285"/>
    <mergeCell ref="AF250:AI251"/>
    <mergeCell ref="BK215:BL216"/>
    <mergeCell ref="BM215:BO216"/>
    <mergeCell ref="BM284:BO285"/>
    <mergeCell ref="BT118:BU118"/>
    <mergeCell ref="BV118:BW118"/>
    <mergeCell ref="BT177:BW178"/>
    <mergeCell ref="BH165:BJ166"/>
    <mergeCell ref="BH175:BJ176"/>
    <mergeCell ref="BN115:BO115"/>
    <mergeCell ref="BN116:BO116"/>
    <mergeCell ref="BR116:BS116"/>
    <mergeCell ref="AW229:AX230"/>
    <mergeCell ref="AR257:AS258"/>
    <mergeCell ref="AF253:AI254"/>
    <mergeCell ref="AF277:AI278"/>
    <mergeCell ref="AF273:AI274"/>
    <mergeCell ref="AO265:AQ266"/>
    <mergeCell ref="AR265:AS266"/>
    <mergeCell ref="AT265:AV266"/>
    <mergeCell ref="AF231:AI232"/>
    <mergeCell ref="AO257:AQ258"/>
    <mergeCell ref="AY277:BA278"/>
    <mergeCell ref="BR148:BS149"/>
    <mergeCell ref="AF150:AI151"/>
    <mergeCell ref="AO153:AR154"/>
    <mergeCell ref="BD151:BG152"/>
    <mergeCell ref="BI159:BL160"/>
    <mergeCell ref="BM157:BO158"/>
    <mergeCell ref="BT162:BW163"/>
    <mergeCell ref="BT203:BW204"/>
    <mergeCell ref="AF159:AI160"/>
    <mergeCell ref="AK156:AN157"/>
    <mergeCell ref="AF162:AI163"/>
    <mergeCell ref="BB165:BE166"/>
    <mergeCell ref="AF259:AI260"/>
    <mergeCell ref="BH115:BI115"/>
    <mergeCell ref="BH116:BI116"/>
    <mergeCell ref="BH117:BI117"/>
    <mergeCell ref="BH118:BI118"/>
    <mergeCell ref="BH119:BI119"/>
    <mergeCell ref="BH120:BI120"/>
    <mergeCell ref="BH121:BI121"/>
    <mergeCell ref="BH122:BI122"/>
    <mergeCell ref="AQ131:AT132"/>
    <mergeCell ref="BJ116:BK116"/>
    <mergeCell ref="BL116:BM116"/>
    <mergeCell ref="AV131:BB132"/>
    <mergeCell ref="AZ136:BB137"/>
    <mergeCell ref="BC136:BD137"/>
    <mergeCell ref="BE136:BG137"/>
    <mergeCell ref="BJ117:BK117"/>
    <mergeCell ref="BL121:BM121"/>
    <mergeCell ref="BF124:BG124"/>
    <mergeCell ref="BF125:BG125"/>
    <mergeCell ref="BF126:BG126"/>
    <mergeCell ref="BH127:BI127"/>
    <mergeCell ref="BL114:BM114"/>
    <mergeCell ref="BJ115:BK115"/>
    <mergeCell ref="BL115:BM115"/>
    <mergeCell ref="BF120:BG120"/>
    <mergeCell ref="AK139:AL140"/>
    <mergeCell ref="BL117:BM117"/>
    <mergeCell ref="BF121:BG121"/>
    <mergeCell ref="BF122:BG122"/>
    <mergeCell ref="BF127:BG127"/>
    <mergeCell ref="BH107:BI107"/>
    <mergeCell ref="BH108:BI108"/>
    <mergeCell ref="BH109:BI109"/>
    <mergeCell ref="BH110:BI110"/>
    <mergeCell ref="BH111:BI111"/>
    <mergeCell ref="BH112:BI112"/>
    <mergeCell ref="BH113:BI113"/>
    <mergeCell ref="BF111:BG111"/>
    <mergeCell ref="BF113:BG113"/>
    <mergeCell ref="BF114:BG114"/>
    <mergeCell ref="BF115:BG115"/>
    <mergeCell ref="BF116:BG116"/>
    <mergeCell ref="BF112:BG112"/>
    <mergeCell ref="BF118:BG118"/>
    <mergeCell ref="BF117:BG117"/>
    <mergeCell ref="BL119:BM119"/>
    <mergeCell ref="BJ120:BK120"/>
    <mergeCell ref="BL120:BM120"/>
    <mergeCell ref="BJ121:BK121"/>
    <mergeCell ref="BL118:BM118"/>
    <mergeCell ref="BL122:BM122"/>
    <mergeCell ref="BL113:BM113"/>
    <mergeCell ref="BJ114:BK114"/>
    <mergeCell ref="BH114:BI114"/>
    <mergeCell ref="BH101:BI101"/>
    <mergeCell ref="BH102:BI102"/>
    <mergeCell ref="BH103:BI103"/>
    <mergeCell ref="BH104:BI104"/>
    <mergeCell ref="BH105:BI105"/>
    <mergeCell ref="BH106:BI106"/>
    <mergeCell ref="BF105:BG105"/>
    <mergeCell ref="BF106:BG106"/>
    <mergeCell ref="BF110:BG110"/>
    <mergeCell ref="BF107:BG107"/>
    <mergeCell ref="BF108:BG108"/>
    <mergeCell ref="BF109:BG109"/>
    <mergeCell ref="BH95:BI95"/>
    <mergeCell ref="BH96:BI96"/>
    <mergeCell ref="BH97:BI97"/>
    <mergeCell ref="BH98:BI98"/>
    <mergeCell ref="BH99:BI99"/>
    <mergeCell ref="BH100:BI100"/>
    <mergeCell ref="BJ113:BK113"/>
    <mergeCell ref="BL110:BM110"/>
    <mergeCell ref="BJ111:BK111"/>
    <mergeCell ref="BL111:BM111"/>
    <mergeCell ref="BJ112:BK112"/>
    <mergeCell ref="BL112:BM112"/>
    <mergeCell ref="BJ107:BK107"/>
    <mergeCell ref="BL107:BM107"/>
    <mergeCell ref="BJ108:BK108"/>
    <mergeCell ref="BL108:BM108"/>
    <mergeCell ref="BJ109:BK109"/>
    <mergeCell ref="BL109:BM109"/>
    <mergeCell ref="BJ104:BK104"/>
    <mergeCell ref="BL104:BM104"/>
    <mergeCell ref="BJ105:BK105"/>
    <mergeCell ref="BL105:BM105"/>
    <mergeCell ref="BJ106:BK106"/>
    <mergeCell ref="BL106:BM106"/>
    <mergeCell ref="BJ110:BK110"/>
    <mergeCell ref="BL101:BM101"/>
    <mergeCell ref="BJ102:BK102"/>
    <mergeCell ref="BL102:BM102"/>
    <mergeCell ref="BJ103:BK103"/>
    <mergeCell ref="BL103:BM103"/>
    <mergeCell ref="BJ98:BK98"/>
    <mergeCell ref="BL98:BM98"/>
    <mergeCell ref="BH89:BI89"/>
    <mergeCell ref="BH90:BI90"/>
    <mergeCell ref="BH91:BI91"/>
    <mergeCell ref="BH92:BI92"/>
    <mergeCell ref="BH93:BI93"/>
    <mergeCell ref="BH94:BI94"/>
    <mergeCell ref="BH83:BI83"/>
    <mergeCell ref="BH84:BI84"/>
    <mergeCell ref="BH85:BI85"/>
    <mergeCell ref="BH86:BI86"/>
    <mergeCell ref="BH87:BI87"/>
    <mergeCell ref="BH88:BI88"/>
    <mergeCell ref="BL87:BM87"/>
    <mergeCell ref="BJ88:BK88"/>
    <mergeCell ref="BL88:BM88"/>
    <mergeCell ref="BJ83:BK83"/>
    <mergeCell ref="BL83:BM83"/>
    <mergeCell ref="BJ84:BK84"/>
    <mergeCell ref="BL84:BM84"/>
    <mergeCell ref="BJ85:BK85"/>
    <mergeCell ref="BL85:BM85"/>
    <mergeCell ref="BH77:BI77"/>
    <mergeCell ref="BH78:BI78"/>
    <mergeCell ref="BH79:BI79"/>
    <mergeCell ref="BH80:BI80"/>
    <mergeCell ref="BH81:BI81"/>
    <mergeCell ref="BH82:BI82"/>
    <mergeCell ref="BH71:BI71"/>
    <mergeCell ref="BH72:BI72"/>
    <mergeCell ref="BH73:BI73"/>
    <mergeCell ref="BH74:BI74"/>
    <mergeCell ref="BH75:BI75"/>
    <mergeCell ref="BH76:BI76"/>
    <mergeCell ref="BH65:BI65"/>
    <mergeCell ref="BH66:BI66"/>
    <mergeCell ref="BH67:BI67"/>
    <mergeCell ref="BH68:BI68"/>
    <mergeCell ref="BH69:BI69"/>
    <mergeCell ref="BH70:BI70"/>
    <mergeCell ref="BH59:BI59"/>
    <mergeCell ref="BH60:BI60"/>
    <mergeCell ref="BH61:BI61"/>
    <mergeCell ref="BH62:BI62"/>
    <mergeCell ref="BH63:BI63"/>
    <mergeCell ref="BH64:BI64"/>
    <mergeCell ref="BH53:BI53"/>
    <mergeCell ref="BH54:BI54"/>
    <mergeCell ref="BH55:BI55"/>
    <mergeCell ref="BH56:BI56"/>
    <mergeCell ref="BH57:BI57"/>
    <mergeCell ref="BH58:BI58"/>
    <mergeCell ref="BH47:BI47"/>
    <mergeCell ref="BH48:BI48"/>
    <mergeCell ref="BH49:BI49"/>
    <mergeCell ref="BH50:BI50"/>
    <mergeCell ref="BH51:BI51"/>
    <mergeCell ref="BH52:BI52"/>
    <mergeCell ref="BH41:BI41"/>
    <mergeCell ref="BH42:BI42"/>
    <mergeCell ref="BH43:BI43"/>
    <mergeCell ref="BH44:BI44"/>
    <mergeCell ref="BH45:BI45"/>
    <mergeCell ref="BH46:BI46"/>
    <mergeCell ref="BH35:BI35"/>
    <mergeCell ref="BH36:BI36"/>
    <mergeCell ref="BH37:BI37"/>
    <mergeCell ref="BH38:BI38"/>
    <mergeCell ref="BH39:BI39"/>
    <mergeCell ref="BH40:BI40"/>
    <mergeCell ref="BH29:BI29"/>
    <mergeCell ref="BH30:BI30"/>
    <mergeCell ref="BH31:BI31"/>
    <mergeCell ref="BH32:BI32"/>
    <mergeCell ref="BH33:BI33"/>
    <mergeCell ref="BH34:BI34"/>
    <mergeCell ref="BH23:BI23"/>
    <mergeCell ref="BH24:BI24"/>
    <mergeCell ref="BH25:BI25"/>
    <mergeCell ref="BH26:BI26"/>
    <mergeCell ref="BH27:BI27"/>
    <mergeCell ref="BH28:BI28"/>
    <mergeCell ref="BH17:BI17"/>
    <mergeCell ref="BH18:BI18"/>
    <mergeCell ref="BH19:BI19"/>
    <mergeCell ref="BH20:BI20"/>
    <mergeCell ref="BH21:BI21"/>
    <mergeCell ref="BH22:BI22"/>
    <mergeCell ref="BH11:BI11"/>
    <mergeCell ref="BH12:BI12"/>
    <mergeCell ref="BH13:BI13"/>
    <mergeCell ref="BH14:BI14"/>
    <mergeCell ref="BH15:BI15"/>
    <mergeCell ref="BH16:BI16"/>
    <mergeCell ref="BH5:BI5"/>
    <mergeCell ref="BH6:BI6"/>
    <mergeCell ref="BH7:BI7"/>
    <mergeCell ref="BH8:BI8"/>
    <mergeCell ref="BH9:BI9"/>
    <mergeCell ref="BH10:BI10"/>
    <mergeCell ref="BJ99:BK99"/>
    <mergeCell ref="BL99:BM99"/>
    <mergeCell ref="BJ100:BK100"/>
    <mergeCell ref="BL100:BM100"/>
    <mergeCell ref="BJ95:BK95"/>
    <mergeCell ref="BL95:BM95"/>
    <mergeCell ref="BJ96:BK96"/>
    <mergeCell ref="BL96:BM96"/>
    <mergeCell ref="BJ97:BK97"/>
    <mergeCell ref="BL97:BM97"/>
    <mergeCell ref="BJ101:BK101"/>
    <mergeCell ref="BJ92:BK92"/>
    <mergeCell ref="BL92:BM92"/>
    <mergeCell ref="BJ93:BK93"/>
    <mergeCell ref="BL93:BM93"/>
    <mergeCell ref="BJ94:BK94"/>
    <mergeCell ref="BL94:BM94"/>
    <mergeCell ref="BJ89:BK89"/>
    <mergeCell ref="BL89:BM89"/>
    <mergeCell ref="BJ90:BK90"/>
    <mergeCell ref="BL90:BM90"/>
    <mergeCell ref="BJ91:BK91"/>
    <mergeCell ref="BL91:BM91"/>
    <mergeCell ref="BJ86:BK86"/>
    <mergeCell ref="BL86:BM86"/>
    <mergeCell ref="BJ87:BK87"/>
    <mergeCell ref="BJ80:BK80"/>
    <mergeCell ref="BL80:BM80"/>
    <mergeCell ref="BJ81:BK81"/>
    <mergeCell ref="BL81:BM81"/>
    <mergeCell ref="BJ82:BK82"/>
    <mergeCell ref="BL82:BM82"/>
    <mergeCell ref="BJ77:BK77"/>
    <mergeCell ref="BL77:BM77"/>
    <mergeCell ref="BJ78:BK78"/>
    <mergeCell ref="BL78:BM78"/>
    <mergeCell ref="BJ79:BK79"/>
    <mergeCell ref="BL79:BM79"/>
    <mergeCell ref="BJ74:BK74"/>
    <mergeCell ref="BL74:BM74"/>
    <mergeCell ref="BJ75:BK75"/>
    <mergeCell ref="BL75:BM75"/>
    <mergeCell ref="BJ76:BK76"/>
    <mergeCell ref="BL76:BM76"/>
    <mergeCell ref="BJ71:BK71"/>
    <mergeCell ref="BL71:BM71"/>
    <mergeCell ref="BJ72:BK72"/>
    <mergeCell ref="BL72:BM72"/>
    <mergeCell ref="BJ73:BK73"/>
    <mergeCell ref="BL73:BM73"/>
    <mergeCell ref="BJ68:BK68"/>
    <mergeCell ref="BL68:BM68"/>
    <mergeCell ref="BJ69:BK69"/>
    <mergeCell ref="BL69:BM69"/>
    <mergeCell ref="BJ70:BK70"/>
    <mergeCell ref="BL70:BM70"/>
    <mergeCell ref="BJ65:BK65"/>
    <mergeCell ref="BL65:BM65"/>
    <mergeCell ref="BJ66:BK66"/>
    <mergeCell ref="BL66:BM66"/>
    <mergeCell ref="BJ67:BK67"/>
    <mergeCell ref="BL67:BM67"/>
    <mergeCell ref="BJ62:BK62"/>
    <mergeCell ref="BL62:BM62"/>
    <mergeCell ref="BJ63:BK63"/>
    <mergeCell ref="BL63:BM63"/>
    <mergeCell ref="BJ64:BK64"/>
    <mergeCell ref="BL64:BM64"/>
    <mergeCell ref="BJ59:BK59"/>
    <mergeCell ref="BL59:BM59"/>
    <mergeCell ref="BJ60:BK60"/>
    <mergeCell ref="BL60:BM60"/>
    <mergeCell ref="BJ61:BK61"/>
    <mergeCell ref="BL61:BM61"/>
    <mergeCell ref="BJ56:BK56"/>
    <mergeCell ref="BL56:BM56"/>
    <mergeCell ref="BJ57:BK57"/>
    <mergeCell ref="BL57:BM57"/>
    <mergeCell ref="BJ58:BK58"/>
    <mergeCell ref="BL58:BM58"/>
    <mergeCell ref="BJ53:BK53"/>
    <mergeCell ref="BL53:BM53"/>
    <mergeCell ref="BJ54:BK54"/>
    <mergeCell ref="BL54:BM54"/>
    <mergeCell ref="BJ55:BK55"/>
    <mergeCell ref="BL55:BM55"/>
    <mergeCell ref="BJ50:BK50"/>
    <mergeCell ref="BL50:BM50"/>
    <mergeCell ref="BJ51:BK51"/>
    <mergeCell ref="BL51:BM51"/>
    <mergeCell ref="BJ52:BK52"/>
    <mergeCell ref="BL52:BM52"/>
    <mergeCell ref="BJ47:BK47"/>
    <mergeCell ref="BL47:BM47"/>
    <mergeCell ref="BJ48:BK48"/>
    <mergeCell ref="BL48:BM48"/>
    <mergeCell ref="BJ49:BK49"/>
    <mergeCell ref="BL49:BM49"/>
    <mergeCell ref="BJ44:BK44"/>
    <mergeCell ref="BL44:BM44"/>
    <mergeCell ref="BJ45:BK45"/>
    <mergeCell ref="BL45:BM45"/>
    <mergeCell ref="BJ46:BK46"/>
    <mergeCell ref="BL46:BM46"/>
    <mergeCell ref="BJ41:BK41"/>
    <mergeCell ref="BL41:BM41"/>
    <mergeCell ref="BJ42:BK42"/>
    <mergeCell ref="BL42:BM42"/>
    <mergeCell ref="BJ43:BK43"/>
    <mergeCell ref="BL43:BM43"/>
    <mergeCell ref="BJ38:BK38"/>
    <mergeCell ref="BL38:BM38"/>
    <mergeCell ref="BJ39:BK39"/>
    <mergeCell ref="BL39:BM39"/>
    <mergeCell ref="BJ40:BK40"/>
    <mergeCell ref="BL40:BM40"/>
    <mergeCell ref="BJ35:BK35"/>
    <mergeCell ref="BL35:BM35"/>
    <mergeCell ref="BJ36:BK36"/>
    <mergeCell ref="BL36:BM36"/>
    <mergeCell ref="BJ37:BK37"/>
    <mergeCell ref="BL37:BM37"/>
    <mergeCell ref="BJ32:BK32"/>
    <mergeCell ref="BL32:BM32"/>
    <mergeCell ref="BJ33:BK33"/>
    <mergeCell ref="BL33:BM33"/>
    <mergeCell ref="BJ34:BK34"/>
    <mergeCell ref="BL34:BM34"/>
    <mergeCell ref="BJ29:BK29"/>
    <mergeCell ref="BL29:BM29"/>
    <mergeCell ref="BJ30:BK30"/>
    <mergeCell ref="BL30:BM30"/>
    <mergeCell ref="BJ31:BK31"/>
    <mergeCell ref="BL31:BM31"/>
    <mergeCell ref="BJ26:BK26"/>
    <mergeCell ref="BL26:BM26"/>
    <mergeCell ref="BJ27:BK27"/>
    <mergeCell ref="BL27:BM27"/>
    <mergeCell ref="BJ28:BK28"/>
    <mergeCell ref="BL28:BM28"/>
    <mergeCell ref="BJ23:BK23"/>
    <mergeCell ref="BL23:BM23"/>
    <mergeCell ref="BJ24:BK24"/>
    <mergeCell ref="BL24:BM24"/>
    <mergeCell ref="BJ25:BK25"/>
    <mergeCell ref="BL25:BM25"/>
    <mergeCell ref="BJ20:BK20"/>
    <mergeCell ref="BL20:BM20"/>
    <mergeCell ref="BJ21:BK21"/>
    <mergeCell ref="BL21:BM21"/>
    <mergeCell ref="BJ22:BK22"/>
    <mergeCell ref="BL22:BM22"/>
    <mergeCell ref="BJ17:BK17"/>
    <mergeCell ref="BL17:BM17"/>
    <mergeCell ref="BJ18:BK18"/>
    <mergeCell ref="BL18:BM18"/>
    <mergeCell ref="BJ19:BK19"/>
    <mergeCell ref="BL19:BM19"/>
    <mergeCell ref="BJ14:BK14"/>
    <mergeCell ref="BL14:BM14"/>
    <mergeCell ref="BJ15:BK15"/>
    <mergeCell ref="BL15:BM15"/>
    <mergeCell ref="BJ16:BK16"/>
    <mergeCell ref="BL16:BM16"/>
    <mergeCell ref="BJ11:BK11"/>
    <mergeCell ref="BL11:BM11"/>
    <mergeCell ref="BJ12:BK12"/>
    <mergeCell ref="BL12:BM12"/>
    <mergeCell ref="BJ13:BK13"/>
    <mergeCell ref="BL13:BM13"/>
    <mergeCell ref="BJ8:BK8"/>
    <mergeCell ref="BL8:BM8"/>
    <mergeCell ref="BJ9:BK9"/>
    <mergeCell ref="BL9:BM9"/>
    <mergeCell ref="BJ10:BK10"/>
    <mergeCell ref="BL10:BM10"/>
    <mergeCell ref="BJ5:BK5"/>
    <mergeCell ref="BL5:BM5"/>
    <mergeCell ref="BJ6:BK6"/>
    <mergeCell ref="BL6:BM6"/>
    <mergeCell ref="BJ7:BK7"/>
    <mergeCell ref="BL7:BM7"/>
    <mergeCell ref="A1:Q3"/>
    <mergeCell ref="R1:AC3"/>
    <mergeCell ref="AD1:BT3"/>
    <mergeCell ref="CN127:CO127"/>
    <mergeCell ref="AO203:AR204"/>
    <mergeCell ref="BJ125:BK125"/>
    <mergeCell ref="BL125:BM125"/>
    <mergeCell ref="CM150:CP151"/>
    <mergeCell ref="BY151:CB152"/>
    <mergeCell ref="BN125:BO125"/>
    <mergeCell ref="BN120:BO120"/>
    <mergeCell ref="BN121:BO121"/>
    <mergeCell ref="BN122:BO122"/>
    <mergeCell ref="BN123:BO123"/>
    <mergeCell ref="BP124:BQ124"/>
    <mergeCell ref="BR124:BS124"/>
    <mergeCell ref="BP121:BQ121"/>
    <mergeCell ref="BN110:BO110"/>
    <mergeCell ref="BN111:BO111"/>
    <mergeCell ref="BN112:BO112"/>
    <mergeCell ref="BN118:BO118"/>
    <mergeCell ref="BN107:BO107"/>
    <mergeCell ref="BN108:BO108"/>
    <mergeCell ref="BN109:BO109"/>
    <mergeCell ref="BT119:BU119"/>
    <mergeCell ref="BV119:BW119"/>
    <mergeCell ref="DD239:DD240"/>
    <mergeCell ref="BR238:BT238"/>
    <mergeCell ref="BY156:CB157"/>
    <mergeCell ref="CC155:CF156"/>
    <mergeCell ref="BT181:BW182"/>
    <mergeCell ref="BY206:CB207"/>
    <mergeCell ref="CH177:CJ178"/>
    <mergeCell ref="BT227:BW228"/>
    <mergeCell ref="BJ126:BK126"/>
    <mergeCell ref="BJ127:BK127"/>
    <mergeCell ref="BL127:BM127"/>
    <mergeCell ref="BL126:BM126"/>
    <mergeCell ref="BV127:BW127"/>
    <mergeCell ref="BR129:BU130"/>
    <mergeCell ref="BT127:BU127"/>
    <mergeCell ref="CR127:CS127"/>
    <mergeCell ref="CT127:CU127"/>
    <mergeCell ref="CV127:CW127"/>
    <mergeCell ref="CX127:CY127"/>
    <mergeCell ref="BX127:BY127"/>
    <mergeCell ref="BZ127:CA127"/>
    <mergeCell ref="CD126:CE126"/>
    <mergeCell ref="CZ126:DA126"/>
    <mergeCell ref="DB126:DC126"/>
    <mergeCell ref="BJ122:BK122"/>
    <mergeCell ref="BJ118:BK118"/>
    <mergeCell ref="DD127:DE127"/>
    <mergeCell ref="BX183:BZ184"/>
    <mergeCell ref="BK175:BL176"/>
    <mergeCell ref="BM239:BO240"/>
    <mergeCell ref="CR201:CU202"/>
    <mergeCell ref="BX119:BY119"/>
    <mergeCell ref="BZ119:CA119"/>
    <mergeCell ref="CB127:CC127"/>
    <mergeCell ref="CD127:CE127"/>
    <mergeCell ref="CF127:CG127"/>
    <mergeCell ref="CH127:CI127"/>
    <mergeCell ref="CF123:CG123"/>
    <mergeCell ref="CH123:CI123"/>
    <mergeCell ref="CB120:CC120"/>
    <mergeCell ref="CD120:CE120"/>
    <mergeCell ref="DD189:DD190"/>
    <mergeCell ref="CU129:CX130"/>
    <mergeCell ref="BR132:BU133"/>
    <mergeCell ref="CT132:CW133"/>
    <mergeCell ref="CA135:CC136"/>
    <mergeCell ref="CD135:CE136"/>
    <mergeCell ref="CF135:CH136"/>
    <mergeCell ref="CN135:CQ136"/>
    <mergeCell ref="CT135:CV136"/>
    <mergeCell ref="CW135:CX136"/>
    <mergeCell ref="DD139:DD140"/>
    <mergeCell ref="CL127:CM127"/>
    <mergeCell ref="CJ122:CK122"/>
    <mergeCell ref="CL122:CM122"/>
    <mergeCell ref="CJ123:CK123"/>
    <mergeCell ref="CB119:CC119"/>
    <mergeCell ref="CK129:CN130"/>
    <mergeCell ref="CF125:CG125"/>
    <mergeCell ref="CH125:CI125"/>
    <mergeCell ref="CB122:CC122"/>
    <mergeCell ref="CD122:CE122"/>
    <mergeCell ref="CF122:CG122"/>
    <mergeCell ref="CH122:CI122"/>
    <mergeCell ref="BN117:BO117"/>
    <mergeCell ref="CZ118:DA118"/>
    <mergeCell ref="CN103:CO103"/>
    <mergeCell ref="CP103:CQ103"/>
    <mergeCell ref="CR103:CS103"/>
    <mergeCell ref="CT103:CU103"/>
    <mergeCell ref="CV103:CW103"/>
    <mergeCell ref="CX103:CY103"/>
    <mergeCell ref="CV105:CW105"/>
    <mergeCell ref="CX105:CY105"/>
    <mergeCell ref="CZ105:DA105"/>
    <mergeCell ref="CN107:CO107"/>
    <mergeCell ref="CP107:CQ107"/>
    <mergeCell ref="CR107:CS107"/>
    <mergeCell ref="CT107:CU107"/>
    <mergeCell ref="CV107:CW107"/>
    <mergeCell ref="CX107:CY107"/>
    <mergeCell ref="CZ107:DA107"/>
    <mergeCell ref="CN109:CO109"/>
    <mergeCell ref="CP109:CQ109"/>
    <mergeCell ref="CR109:CS109"/>
    <mergeCell ref="CT109:CU109"/>
    <mergeCell ref="CV109:CW109"/>
    <mergeCell ref="CX109:CY109"/>
    <mergeCell ref="CZ109:DA109"/>
    <mergeCell ref="CN111:CO111"/>
    <mergeCell ref="BX118:BY118"/>
    <mergeCell ref="BZ118:CA118"/>
    <mergeCell ref="BN97:BO97"/>
    <mergeCell ref="BN98:BO98"/>
    <mergeCell ref="BN99:BO99"/>
    <mergeCell ref="BN100:BO100"/>
    <mergeCell ref="CZ115:DA115"/>
    <mergeCell ref="CZ97:DA97"/>
    <mergeCell ref="CN98:CO98"/>
    <mergeCell ref="DB115:DC115"/>
    <mergeCell ref="BN103:BO103"/>
    <mergeCell ref="BN104:BO104"/>
    <mergeCell ref="BN105:BO105"/>
    <mergeCell ref="BN106:BO106"/>
    <mergeCell ref="BN101:BO101"/>
    <mergeCell ref="BN102:BO102"/>
    <mergeCell ref="CZ101:DA101"/>
    <mergeCell ref="DB101:DC101"/>
    <mergeCell ref="CX102:CY102"/>
    <mergeCell ref="CN97:CO97"/>
    <mergeCell ref="CP97:CQ97"/>
    <mergeCell ref="CR97:CS97"/>
    <mergeCell ref="CT97:CU97"/>
    <mergeCell ref="CV97:CW97"/>
    <mergeCell ref="CX97:CY97"/>
    <mergeCell ref="DB97:DC97"/>
    <mergeCell ref="CN99:CO99"/>
    <mergeCell ref="CP99:CQ99"/>
    <mergeCell ref="CR99:CS99"/>
    <mergeCell ref="CT99:CU99"/>
    <mergeCell ref="BN113:BO113"/>
    <mergeCell ref="BN114:BO114"/>
    <mergeCell ref="BN89:BO89"/>
    <mergeCell ref="BN90:BO90"/>
    <mergeCell ref="BN91:BO91"/>
    <mergeCell ref="BN92:BO92"/>
    <mergeCell ref="BN93:BO93"/>
    <mergeCell ref="BN94:BO94"/>
    <mergeCell ref="BN95:BO95"/>
    <mergeCell ref="BN96:BO96"/>
    <mergeCell ref="CN5:CO5"/>
    <mergeCell ref="CP5:CQ5"/>
    <mergeCell ref="CR5:CS5"/>
    <mergeCell ref="CT5:CU5"/>
    <mergeCell ref="CN7:CO7"/>
    <mergeCell ref="CP7:CQ7"/>
    <mergeCell ref="CR7:CS7"/>
    <mergeCell ref="CT7:CU7"/>
    <mergeCell ref="CV5:CW5"/>
    <mergeCell ref="CV7:CW7"/>
    <mergeCell ref="CN9:CO9"/>
    <mergeCell ref="CP9:CQ9"/>
    <mergeCell ref="CR9:CS9"/>
    <mergeCell ref="CT9:CU9"/>
    <mergeCell ref="CV9:CW9"/>
    <mergeCell ref="CN11:CO11"/>
    <mergeCell ref="CP11:CQ11"/>
    <mergeCell ref="CR11:CS11"/>
    <mergeCell ref="CT11:CU11"/>
    <mergeCell ref="CV11:CW11"/>
    <mergeCell ref="CN10:CO10"/>
    <mergeCell ref="CP10:CQ10"/>
    <mergeCell ref="CR10:CS10"/>
    <mergeCell ref="CT10:CU10"/>
    <mergeCell ref="CX5:CY5"/>
    <mergeCell ref="CZ5:DA5"/>
    <mergeCell ref="DB5:DC5"/>
    <mergeCell ref="DD5:DE5"/>
    <mergeCell ref="DF5:DG5"/>
    <mergeCell ref="DH5:DI5"/>
    <mergeCell ref="DJ5:DK5"/>
    <mergeCell ref="DL5:DM5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L7:DM7"/>
    <mergeCell ref="CN8:CO8"/>
    <mergeCell ref="CP8:CQ8"/>
    <mergeCell ref="CR8:CS8"/>
    <mergeCell ref="CT8:CU8"/>
    <mergeCell ref="CV8:CW8"/>
    <mergeCell ref="CX8:CY8"/>
    <mergeCell ref="CZ8:DA8"/>
    <mergeCell ref="DB8:DC8"/>
    <mergeCell ref="DD8:DE8"/>
    <mergeCell ref="DF8:DG8"/>
    <mergeCell ref="DH8:DI8"/>
    <mergeCell ref="DJ8:DK8"/>
    <mergeCell ref="DL8:DM8"/>
    <mergeCell ref="CX9:CY9"/>
    <mergeCell ref="CZ9:DA9"/>
    <mergeCell ref="DB9:DC9"/>
    <mergeCell ref="DD9:DE9"/>
    <mergeCell ref="DF9:DG9"/>
    <mergeCell ref="DH9:DI9"/>
    <mergeCell ref="DJ9:DK9"/>
    <mergeCell ref="DL9:DM9"/>
    <mergeCell ref="CX7:CY7"/>
    <mergeCell ref="CZ7:DA7"/>
    <mergeCell ref="DB7:DC7"/>
    <mergeCell ref="DD7:DE7"/>
    <mergeCell ref="DF7:DG7"/>
    <mergeCell ref="DH7:DI7"/>
    <mergeCell ref="DJ7:DK7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CN12:CO12"/>
    <mergeCell ref="CP12:CQ12"/>
    <mergeCell ref="CR12:CS12"/>
    <mergeCell ref="CT12:CU12"/>
    <mergeCell ref="CV12:CW12"/>
    <mergeCell ref="CX12:CY12"/>
    <mergeCell ref="CZ12:DA12"/>
    <mergeCell ref="DB12:DC12"/>
    <mergeCell ref="DD12:DE12"/>
    <mergeCell ref="DF12:DG12"/>
    <mergeCell ref="DH12:DI12"/>
    <mergeCell ref="DJ12:DK12"/>
    <mergeCell ref="DL12:DM12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CN13:CO13"/>
    <mergeCell ref="CP13:CQ13"/>
    <mergeCell ref="CR13:CS13"/>
    <mergeCell ref="CT13:CU13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CN60:CO60"/>
    <mergeCell ref="CP60:CQ60"/>
    <mergeCell ref="CR60:CS60"/>
    <mergeCell ref="CT60:CU60"/>
    <mergeCell ref="CV60:CW60"/>
    <mergeCell ref="CX60:CY60"/>
    <mergeCell ref="CZ60:DA60"/>
    <mergeCell ref="DB60:DC60"/>
    <mergeCell ref="DD60:DE60"/>
    <mergeCell ref="DF60:DG60"/>
    <mergeCell ref="DH60:DI60"/>
    <mergeCell ref="DJ60:DK60"/>
    <mergeCell ref="DL60:DM60"/>
    <mergeCell ref="CN61:CO61"/>
    <mergeCell ref="CP61:CQ61"/>
    <mergeCell ref="CR61:CS61"/>
    <mergeCell ref="CT61:CU61"/>
    <mergeCell ref="CV61:CW61"/>
    <mergeCell ref="CX61:CY61"/>
    <mergeCell ref="CZ61:DA61"/>
    <mergeCell ref="DB61:DC61"/>
    <mergeCell ref="DD61:DE61"/>
    <mergeCell ref="DF61:DG61"/>
    <mergeCell ref="DH61:DI61"/>
    <mergeCell ref="DJ61:DK61"/>
    <mergeCell ref="DL61:DM61"/>
    <mergeCell ref="CN62:CO62"/>
    <mergeCell ref="CP62:CQ62"/>
    <mergeCell ref="CR62:CS62"/>
    <mergeCell ref="CT62:CU62"/>
    <mergeCell ref="CV62:CW62"/>
    <mergeCell ref="CX62:CY62"/>
    <mergeCell ref="CZ62:DA62"/>
    <mergeCell ref="DB62:DC62"/>
    <mergeCell ref="DD62:DE62"/>
    <mergeCell ref="DF62:DG62"/>
    <mergeCell ref="DH62:DI62"/>
    <mergeCell ref="DJ62:DK62"/>
    <mergeCell ref="DL62:DM62"/>
    <mergeCell ref="CN63:CO63"/>
    <mergeCell ref="CP63:CQ63"/>
    <mergeCell ref="CR63:CS63"/>
    <mergeCell ref="CT63:CU63"/>
    <mergeCell ref="CV63:CW63"/>
    <mergeCell ref="CX63:CY63"/>
    <mergeCell ref="CZ63:DA63"/>
    <mergeCell ref="DB63:DC63"/>
    <mergeCell ref="DD63:DE63"/>
    <mergeCell ref="DF63:DG63"/>
    <mergeCell ref="DH63:DI63"/>
    <mergeCell ref="DJ63:DK63"/>
    <mergeCell ref="DL63:DM63"/>
    <mergeCell ref="CN64:CO64"/>
    <mergeCell ref="CP64:CQ64"/>
    <mergeCell ref="CR64:CS64"/>
    <mergeCell ref="CT64:CU64"/>
    <mergeCell ref="CV64:CW64"/>
    <mergeCell ref="CX64:CY64"/>
    <mergeCell ref="CZ64:DA64"/>
    <mergeCell ref="DB64:DC64"/>
    <mergeCell ref="DD64:DE64"/>
    <mergeCell ref="DF64:DG64"/>
    <mergeCell ref="DH64:DI64"/>
    <mergeCell ref="DJ64:DK64"/>
    <mergeCell ref="DL64:DM64"/>
    <mergeCell ref="CN65:CO65"/>
    <mergeCell ref="CP65:CQ65"/>
    <mergeCell ref="CR65:CS65"/>
    <mergeCell ref="CT65:CU65"/>
    <mergeCell ref="CV65:CW65"/>
    <mergeCell ref="CX65:CY65"/>
    <mergeCell ref="CZ65:DA65"/>
    <mergeCell ref="DB65:DC65"/>
    <mergeCell ref="DD65:DE65"/>
    <mergeCell ref="DF65:DG65"/>
    <mergeCell ref="DH65:DI65"/>
    <mergeCell ref="DJ65:DK65"/>
    <mergeCell ref="DL65:DM65"/>
    <mergeCell ref="CN66:CO66"/>
    <mergeCell ref="CP66:CQ66"/>
    <mergeCell ref="CR66:CS66"/>
    <mergeCell ref="CT66:CU66"/>
    <mergeCell ref="CV66:CW66"/>
    <mergeCell ref="CX66:CY66"/>
    <mergeCell ref="CZ66:DA66"/>
    <mergeCell ref="DB66:DC66"/>
    <mergeCell ref="DD66:DE66"/>
    <mergeCell ref="DF66:DG66"/>
    <mergeCell ref="DH66:DI66"/>
    <mergeCell ref="DJ66:DK66"/>
    <mergeCell ref="DL66:DM66"/>
    <mergeCell ref="CN67:CO67"/>
    <mergeCell ref="CP67:CQ67"/>
    <mergeCell ref="CR67:CS67"/>
    <mergeCell ref="CT67:CU67"/>
    <mergeCell ref="CV67:CW67"/>
    <mergeCell ref="CX67:CY67"/>
    <mergeCell ref="CZ67:DA67"/>
    <mergeCell ref="DB67:DC67"/>
    <mergeCell ref="DD67:DE67"/>
    <mergeCell ref="DF67:DG67"/>
    <mergeCell ref="DH67:DI67"/>
    <mergeCell ref="DJ67:DK67"/>
    <mergeCell ref="DL67:DM67"/>
    <mergeCell ref="CN68:CO68"/>
    <mergeCell ref="CP68:CQ68"/>
    <mergeCell ref="CR68:CS68"/>
    <mergeCell ref="CT68:CU68"/>
    <mergeCell ref="CV68:CW68"/>
    <mergeCell ref="CX68:CY68"/>
    <mergeCell ref="CZ68:DA68"/>
    <mergeCell ref="DB68:DC68"/>
    <mergeCell ref="DD68:DE68"/>
    <mergeCell ref="DF68:DG68"/>
    <mergeCell ref="DH68:DI68"/>
    <mergeCell ref="DJ68:DK68"/>
    <mergeCell ref="DL68:DM68"/>
    <mergeCell ref="CN69:CO69"/>
    <mergeCell ref="CP69:CQ69"/>
    <mergeCell ref="CR69:CS69"/>
    <mergeCell ref="CT69:CU69"/>
    <mergeCell ref="CV69:CW69"/>
    <mergeCell ref="CX69:CY69"/>
    <mergeCell ref="CZ69:DA69"/>
    <mergeCell ref="DB69:DC69"/>
    <mergeCell ref="DD69:DE69"/>
    <mergeCell ref="DF69:DG69"/>
    <mergeCell ref="DH69:DI69"/>
    <mergeCell ref="DJ69:DK69"/>
    <mergeCell ref="DL69:DM69"/>
    <mergeCell ref="CN70:CO70"/>
    <mergeCell ref="CP70:CQ70"/>
    <mergeCell ref="CR70:CS70"/>
    <mergeCell ref="CT70:CU70"/>
    <mergeCell ref="CV70:CW70"/>
    <mergeCell ref="CX70:CY70"/>
    <mergeCell ref="CZ70:DA70"/>
    <mergeCell ref="DB70:DC70"/>
    <mergeCell ref="DD70:DE70"/>
    <mergeCell ref="DF70:DG70"/>
    <mergeCell ref="DH70:DI70"/>
    <mergeCell ref="DJ70:DK70"/>
    <mergeCell ref="DL70:DM70"/>
    <mergeCell ref="CN71:CO71"/>
    <mergeCell ref="CP71:CQ71"/>
    <mergeCell ref="CR71:CS71"/>
    <mergeCell ref="CT71:CU71"/>
    <mergeCell ref="CV71:CW71"/>
    <mergeCell ref="CX71:CY71"/>
    <mergeCell ref="CZ71:DA71"/>
    <mergeCell ref="DB71:DC71"/>
    <mergeCell ref="DD71:DE71"/>
    <mergeCell ref="DF71:DG71"/>
    <mergeCell ref="DH71:DI71"/>
    <mergeCell ref="DJ71:DK71"/>
    <mergeCell ref="DL71:DM71"/>
    <mergeCell ref="CN72:CO72"/>
    <mergeCell ref="CP72:CQ72"/>
    <mergeCell ref="CR72:CS72"/>
    <mergeCell ref="CT72:CU72"/>
    <mergeCell ref="CV72:CW72"/>
    <mergeCell ref="CX72:CY72"/>
    <mergeCell ref="CZ72:DA72"/>
    <mergeCell ref="DB72:DC72"/>
    <mergeCell ref="DD72:DE72"/>
    <mergeCell ref="DF72:DG72"/>
    <mergeCell ref="DH72:DI72"/>
    <mergeCell ref="DJ72:DK72"/>
    <mergeCell ref="DL72:DM72"/>
    <mergeCell ref="CN73:CO73"/>
    <mergeCell ref="CP73:CQ73"/>
    <mergeCell ref="CR73:CS73"/>
    <mergeCell ref="CT73:CU73"/>
    <mergeCell ref="CV73:CW73"/>
    <mergeCell ref="CX73:CY73"/>
    <mergeCell ref="CZ73:DA73"/>
    <mergeCell ref="DB73:DC73"/>
    <mergeCell ref="DD73:DE73"/>
    <mergeCell ref="DF73:DG73"/>
    <mergeCell ref="DH73:DI73"/>
    <mergeCell ref="DJ73:DK73"/>
    <mergeCell ref="DL73:DM73"/>
    <mergeCell ref="CN74:CO74"/>
    <mergeCell ref="CP74:CQ74"/>
    <mergeCell ref="CR74:CS74"/>
    <mergeCell ref="CT74:CU74"/>
    <mergeCell ref="CV74:CW74"/>
    <mergeCell ref="CX74:CY74"/>
    <mergeCell ref="CZ74:DA74"/>
    <mergeCell ref="DB74:DC74"/>
    <mergeCell ref="DD74:DE74"/>
    <mergeCell ref="DF74:DG74"/>
    <mergeCell ref="DH74:DI74"/>
    <mergeCell ref="DJ74:DK74"/>
    <mergeCell ref="DL74:DM74"/>
    <mergeCell ref="CN75:CO75"/>
    <mergeCell ref="CP75:CQ75"/>
    <mergeCell ref="CR75:CS75"/>
    <mergeCell ref="CT75:CU75"/>
    <mergeCell ref="CV75:CW75"/>
    <mergeCell ref="CX75:CY75"/>
    <mergeCell ref="CZ75:DA75"/>
    <mergeCell ref="DB75:DC75"/>
    <mergeCell ref="DD75:DE75"/>
    <mergeCell ref="DF75:DG75"/>
    <mergeCell ref="DH75:DI75"/>
    <mergeCell ref="DJ75:DK75"/>
    <mergeCell ref="DL75:DM75"/>
    <mergeCell ref="CN76:CO76"/>
    <mergeCell ref="CP76:CQ76"/>
    <mergeCell ref="CR76:CS76"/>
    <mergeCell ref="CT76:CU76"/>
    <mergeCell ref="CV76:CW76"/>
    <mergeCell ref="CX76:CY76"/>
    <mergeCell ref="CZ76:DA76"/>
    <mergeCell ref="DB76:DC76"/>
    <mergeCell ref="DD76:DE76"/>
    <mergeCell ref="DF76:DG76"/>
    <mergeCell ref="DH76:DI76"/>
    <mergeCell ref="DJ76:DK76"/>
    <mergeCell ref="DL76:DM76"/>
    <mergeCell ref="CN77:CO77"/>
    <mergeCell ref="CP77:CQ77"/>
    <mergeCell ref="CR77:CS77"/>
    <mergeCell ref="CT77:CU77"/>
    <mergeCell ref="CV77:CW77"/>
    <mergeCell ref="CX77:CY77"/>
    <mergeCell ref="CZ77:DA77"/>
    <mergeCell ref="DB77:DC77"/>
    <mergeCell ref="DD77:DE77"/>
    <mergeCell ref="DF77:DG77"/>
    <mergeCell ref="DH77:DI77"/>
    <mergeCell ref="DJ77:DK77"/>
    <mergeCell ref="DL77:DM77"/>
    <mergeCell ref="CN78:CO78"/>
    <mergeCell ref="CP78:CQ78"/>
    <mergeCell ref="CR78:CS78"/>
    <mergeCell ref="CT78:CU78"/>
    <mergeCell ref="CV78:CW78"/>
    <mergeCell ref="CX78:CY78"/>
    <mergeCell ref="CZ78:DA78"/>
    <mergeCell ref="DB78:DC78"/>
    <mergeCell ref="DD78:DE78"/>
    <mergeCell ref="DF78:DG78"/>
    <mergeCell ref="DH78:DI78"/>
    <mergeCell ref="DJ78:DK78"/>
    <mergeCell ref="DL78:DM78"/>
    <mergeCell ref="CN79:CO79"/>
    <mergeCell ref="CP79:CQ79"/>
    <mergeCell ref="CR79:CS79"/>
    <mergeCell ref="CT79:CU79"/>
    <mergeCell ref="CV79:CW79"/>
    <mergeCell ref="CX79:CY79"/>
    <mergeCell ref="CZ79:DA79"/>
    <mergeCell ref="DB79:DC79"/>
    <mergeCell ref="DD79:DE79"/>
    <mergeCell ref="DF79:DG79"/>
    <mergeCell ref="DH79:DI79"/>
    <mergeCell ref="DJ79:DK79"/>
    <mergeCell ref="DL79:DM79"/>
    <mergeCell ref="CN80:CO80"/>
    <mergeCell ref="CP80:CQ80"/>
    <mergeCell ref="CR80:CS80"/>
    <mergeCell ref="CT80:CU80"/>
    <mergeCell ref="CV80:CW80"/>
    <mergeCell ref="CX80:CY80"/>
    <mergeCell ref="CZ80:DA80"/>
    <mergeCell ref="DB80:DC80"/>
    <mergeCell ref="DD80:DE80"/>
    <mergeCell ref="DF80:DG80"/>
    <mergeCell ref="DH80:DI80"/>
    <mergeCell ref="DJ80:DK80"/>
    <mergeCell ref="DL80:DM80"/>
    <mergeCell ref="CN81:CO81"/>
    <mergeCell ref="CP81:CQ81"/>
    <mergeCell ref="CR81:CS81"/>
    <mergeCell ref="CT81:CU81"/>
    <mergeCell ref="CV81:CW81"/>
    <mergeCell ref="CX81:CY81"/>
    <mergeCell ref="CZ81:DA81"/>
    <mergeCell ref="DB81:DC81"/>
    <mergeCell ref="DD81:DE81"/>
    <mergeCell ref="DF81:DG81"/>
    <mergeCell ref="DH81:DI81"/>
    <mergeCell ref="DJ81:DK81"/>
    <mergeCell ref="DL81:DM81"/>
    <mergeCell ref="CN82:CO82"/>
    <mergeCell ref="CP82:CQ82"/>
    <mergeCell ref="CR82:CS82"/>
    <mergeCell ref="CT82:CU82"/>
    <mergeCell ref="CV82:CW82"/>
    <mergeCell ref="CX82:CY82"/>
    <mergeCell ref="CZ82:DA82"/>
    <mergeCell ref="DB82:DC82"/>
    <mergeCell ref="DD82:DE82"/>
    <mergeCell ref="DF82:DG82"/>
    <mergeCell ref="DH82:DI82"/>
    <mergeCell ref="DJ82:DK82"/>
    <mergeCell ref="DL82:DM82"/>
    <mergeCell ref="CN83:CO83"/>
    <mergeCell ref="CP83:CQ83"/>
    <mergeCell ref="CR83:CS83"/>
    <mergeCell ref="CT83:CU83"/>
    <mergeCell ref="CV83:CW83"/>
    <mergeCell ref="CX83:CY83"/>
    <mergeCell ref="CZ83:DA83"/>
    <mergeCell ref="DB83:DC83"/>
    <mergeCell ref="DD83:DE83"/>
    <mergeCell ref="DF83:DG83"/>
    <mergeCell ref="DH83:DI83"/>
    <mergeCell ref="DJ83:DK83"/>
    <mergeCell ref="DL83:DM83"/>
    <mergeCell ref="CN84:CO84"/>
    <mergeCell ref="CP84:CQ84"/>
    <mergeCell ref="CR84:CS84"/>
    <mergeCell ref="CT84:CU84"/>
    <mergeCell ref="CV84:CW84"/>
    <mergeCell ref="CX84:CY84"/>
    <mergeCell ref="CZ84:DA84"/>
    <mergeCell ref="DB84:DC84"/>
    <mergeCell ref="DD84:DE84"/>
    <mergeCell ref="DF84:DG84"/>
    <mergeCell ref="DH84:DI84"/>
    <mergeCell ref="DJ84:DK84"/>
    <mergeCell ref="DL84:DM84"/>
    <mergeCell ref="CN85:CO85"/>
    <mergeCell ref="CP85:CQ85"/>
    <mergeCell ref="CR85:CS85"/>
    <mergeCell ref="CT85:CU85"/>
    <mergeCell ref="CV85:CW85"/>
    <mergeCell ref="CX85:CY85"/>
    <mergeCell ref="CZ85:DA85"/>
    <mergeCell ref="DB85:DC85"/>
    <mergeCell ref="DD85:DE85"/>
    <mergeCell ref="DF85:DG85"/>
    <mergeCell ref="DH85:DI85"/>
    <mergeCell ref="DJ85:DK85"/>
    <mergeCell ref="DL85:DM85"/>
    <mergeCell ref="CN86:CO86"/>
    <mergeCell ref="CP86:CQ86"/>
    <mergeCell ref="CR86:CS86"/>
    <mergeCell ref="CT86:CU86"/>
    <mergeCell ref="CV86:CW86"/>
    <mergeCell ref="CX86:CY86"/>
    <mergeCell ref="CZ86:DA86"/>
    <mergeCell ref="DB86:DC86"/>
    <mergeCell ref="DD86:DE86"/>
    <mergeCell ref="DF86:DG86"/>
    <mergeCell ref="DH86:DI86"/>
    <mergeCell ref="DJ86:DK86"/>
    <mergeCell ref="DL86:DM86"/>
    <mergeCell ref="CN87:CO87"/>
    <mergeCell ref="CP87:CQ87"/>
    <mergeCell ref="CR87:CS87"/>
    <mergeCell ref="CT87:CU87"/>
    <mergeCell ref="CV87:CW87"/>
    <mergeCell ref="CX87:CY87"/>
    <mergeCell ref="CZ87:DA87"/>
    <mergeCell ref="DB87:DC87"/>
    <mergeCell ref="DD87:DE87"/>
    <mergeCell ref="DF87:DG87"/>
    <mergeCell ref="DH87:DI87"/>
    <mergeCell ref="DJ87:DK87"/>
    <mergeCell ref="DL87:DM87"/>
    <mergeCell ref="CN88:CO88"/>
    <mergeCell ref="CP88:CQ88"/>
    <mergeCell ref="CR88:CS88"/>
    <mergeCell ref="CT88:CU88"/>
    <mergeCell ref="CV88:CW88"/>
    <mergeCell ref="CX88:CY88"/>
    <mergeCell ref="CZ88:DA88"/>
    <mergeCell ref="DB88:DC88"/>
    <mergeCell ref="DD88:DE88"/>
    <mergeCell ref="DF88:DG88"/>
    <mergeCell ref="DH88:DI88"/>
    <mergeCell ref="DJ88:DK88"/>
    <mergeCell ref="DL88:DM88"/>
    <mergeCell ref="CN89:CO89"/>
    <mergeCell ref="CP89:CQ89"/>
    <mergeCell ref="CR89:CS89"/>
    <mergeCell ref="CT89:CU89"/>
    <mergeCell ref="CV89:CW89"/>
    <mergeCell ref="CX89:CY89"/>
    <mergeCell ref="CZ89:DA89"/>
    <mergeCell ref="DB89:DC89"/>
    <mergeCell ref="DD89:DE89"/>
    <mergeCell ref="DF89:DG89"/>
    <mergeCell ref="DH89:DI89"/>
    <mergeCell ref="DJ89:DK89"/>
    <mergeCell ref="DL89:DM89"/>
    <mergeCell ref="CN90:CO90"/>
    <mergeCell ref="CP90:CQ90"/>
    <mergeCell ref="CR90:CS90"/>
    <mergeCell ref="CT90:CU90"/>
    <mergeCell ref="CV90:CW90"/>
    <mergeCell ref="CX90:CY90"/>
    <mergeCell ref="CZ90:DA90"/>
    <mergeCell ref="DB90:DC90"/>
    <mergeCell ref="DD90:DE90"/>
    <mergeCell ref="DF90:DG90"/>
    <mergeCell ref="DH90:DI90"/>
    <mergeCell ref="DJ90:DK90"/>
    <mergeCell ref="DL90:DM90"/>
    <mergeCell ref="CN91:CO91"/>
    <mergeCell ref="CP91:CQ91"/>
    <mergeCell ref="CR91:CS91"/>
    <mergeCell ref="CT91:CU91"/>
    <mergeCell ref="CV91:CW91"/>
    <mergeCell ref="CX91:CY91"/>
    <mergeCell ref="CZ91:DA91"/>
    <mergeCell ref="DB91:DC91"/>
    <mergeCell ref="DD91:DE91"/>
    <mergeCell ref="DF91:DG91"/>
    <mergeCell ref="DH91:DI91"/>
    <mergeCell ref="DJ91:DK91"/>
    <mergeCell ref="DL91:DM91"/>
    <mergeCell ref="CN92:CO92"/>
    <mergeCell ref="CP92:CQ92"/>
    <mergeCell ref="CR92:CS92"/>
    <mergeCell ref="CT92:CU92"/>
    <mergeCell ref="CV92:CW92"/>
    <mergeCell ref="CX92:CY92"/>
    <mergeCell ref="CZ92:DA92"/>
    <mergeCell ref="DB92:DC92"/>
    <mergeCell ref="DD92:DE92"/>
    <mergeCell ref="DF92:DG92"/>
    <mergeCell ref="DH92:DI92"/>
    <mergeCell ref="DJ92:DK92"/>
    <mergeCell ref="DL92:DM92"/>
    <mergeCell ref="CN93:CO93"/>
    <mergeCell ref="CP93:CQ93"/>
    <mergeCell ref="CR93:CS93"/>
    <mergeCell ref="CT93:CU93"/>
    <mergeCell ref="CV93:CW93"/>
    <mergeCell ref="CX93:CY93"/>
    <mergeCell ref="CZ93:DA93"/>
    <mergeCell ref="DB93:DC93"/>
    <mergeCell ref="DD93:DE93"/>
    <mergeCell ref="DF93:DG93"/>
    <mergeCell ref="DH93:DI93"/>
    <mergeCell ref="DJ93:DK93"/>
    <mergeCell ref="DL93:DM93"/>
    <mergeCell ref="CN94:CO94"/>
    <mergeCell ref="CP94:CQ94"/>
    <mergeCell ref="CR94:CS94"/>
    <mergeCell ref="CT94:CU94"/>
    <mergeCell ref="CV94:CW94"/>
    <mergeCell ref="CX94:CY94"/>
    <mergeCell ref="CZ94:DA94"/>
    <mergeCell ref="DB94:DC94"/>
    <mergeCell ref="DD94:DE94"/>
    <mergeCell ref="DF94:DG94"/>
    <mergeCell ref="DH94:DI94"/>
    <mergeCell ref="DJ94:DK94"/>
    <mergeCell ref="DL94:DM94"/>
    <mergeCell ref="CN95:CO95"/>
    <mergeCell ref="CP95:CQ95"/>
    <mergeCell ref="CR95:CS95"/>
    <mergeCell ref="CT95:CU95"/>
    <mergeCell ref="CV95:CW95"/>
    <mergeCell ref="CX95:CY95"/>
    <mergeCell ref="CZ95:DA95"/>
    <mergeCell ref="DB95:DC95"/>
    <mergeCell ref="DD95:DE95"/>
    <mergeCell ref="DF95:DG95"/>
    <mergeCell ref="DH95:DI95"/>
    <mergeCell ref="DJ95:DK95"/>
    <mergeCell ref="DL95:DM95"/>
    <mergeCell ref="CN96:CO96"/>
    <mergeCell ref="CP96:CQ96"/>
    <mergeCell ref="CR96:CS96"/>
    <mergeCell ref="CT96:CU96"/>
    <mergeCell ref="CV96:CW96"/>
    <mergeCell ref="CX96:CY96"/>
    <mergeCell ref="CZ96:DA96"/>
    <mergeCell ref="DB96:DC96"/>
    <mergeCell ref="DD96:DE96"/>
    <mergeCell ref="DF96:DG96"/>
    <mergeCell ref="DH96:DI96"/>
    <mergeCell ref="DJ96:DK96"/>
    <mergeCell ref="DL96:DM96"/>
    <mergeCell ref="DD97:DE97"/>
    <mergeCell ref="DF97:DG97"/>
    <mergeCell ref="DH97:DI97"/>
    <mergeCell ref="DJ97:DK97"/>
    <mergeCell ref="DL97:DM97"/>
    <mergeCell ref="CP98:CQ98"/>
    <mergeCell ref="CR98:CS98"/>
    <mergeCell ref="CT98:CU98"/>
    <mergeCell ref="CV98:CW98"/>
    <mergeCell ref="CX98:CY98"/>
    <mergeCell ref="CZ98:DA98"/>
    <mergeCell ref="DB98:DC98"/>
    <mergeCell ref="DD98:DE98"/>
    <mergeCell ref="DF98:DG98"/>
    <mergeCell ref="DH98:DI98"/>
    <mergeCell ref="DJ98:DK98"/>
    <mergeCell ref="DL98:DM98"/>
    <mergeCell ref="DD99:DE99"/>
    <mergeCell ref="DF99:DG99"/>
    <mergeCell ref="DH99:DI99"/>
    <mergeCell ref="DJ99:DK99"/>
    <mergeCell ref="DL99:DM99"/>
    <mergeCell ref="CV99:CW99"/>
    <mergeCell ref="CX99:CY99"/>
    <mergeCell ref="CZ99:DA99"/>
    <mergeCell ref="DB99:DC99"/>
    <mergeCell ref="CN100:CO100"/>
    <mergeCell ref="CP100:CQ100"/>
    <mergeCell ref="CR100:CS100"/>
    <mergeCell ref="CT100:CU100"/>
    <mergeCell ref="CV100:CW100"/>
    <mergeCell ref="CX100:CY100"/>
    <mergeCell ref="CZ100:DA100"/>
    <mergeCell ref="DB100:DC100"/>
    <mergeCell ref="DD100:DE100"/>
    <mergeCell ref="DF100:DG100"/>
    <mergeCell ref="DH100:DI100"/>
    <mergeCell ref="DJ100:DK100"/>
    <mergeCell ref="DL100:DM100"/>
    <mergeCell ref="CN101:CO101"/>
    <mergeCell ref="CP101:CQ101"/>
    <mergeCell ref="CR101:CS101"/>
    <mergeCell ref="CT101:CU101"/>
    <mergeCell ref="CV101:CW101"/>
    <mergeCell ref="CX101:CY101"/>
    <mergeCell ref="DD101:DE101"/>
    <mergeCell ref="DF101:DG101"/>
    <mergeCell ref="DH101:DI101"/>
    <mergeCell ref="DJ101:DK101"/>
    <mergeCell ref="DL101:DM101"/>
    <mergeCell ref="CN102:CO102"/>
    <mergeCell ref="CP102:CQ102"/>
    <mergeCell ref="CR102:CS102"/>
    <mergeCell ref="CT102:CU102"/>
    <mergeCell ref="CV102:CW102"/>
    <mergeCell ref="CZ102:DA102"/>
    <mergeCell ref="DB102:DC102"/>
    <mergeCell ref="DD102:DE102"/>
    <mergeCell ref="DF102:DG102"/>
    <mergeCell ref="DH102:DI102"/>
    <mergeCell ref="DJ102:DK102"/>
    <mergeCell ref="DL102:DM102"/>
    <mergeCell ref="DB103:DC103"/>
    <mergeCell ref="DD103:DE103"/>
    <mergeCell ref="DF103:DG103"/>
    <mergeCell ref="DH103:DI103"/>
    <mergeCell ref="DJ103:DK103"/>
    <mergeCell ref="DL103:DM103"/>
    <mergeCell ref="CN104:CO104"/>
    <mergeCell ref="CP104:CQ104"/>
    <mergeCell ref="CR104:CS104"/>
    <mergeCell ref="CT104:CU104"/>
    <mergeCell ref="CV104:CW104"/>
    <mergeCell ref="CX104:CY104"/>
    <mergeCell ref="CZ104:DA104"/>
    <mergeCell ref="DB104:DC104"/>
    <mergeCell ref="DD104:DE104"/>
    <mergeCell ref="DF104:DG104"/>
    <mergeCell ref="DH104:DI104"/>
    <mergeCell ref="DJ104:DK104"/>
    <mergeCell ref="DL104:DM104"/>
    <mergeCell ref="CZ103:DA103"/>
    <mergeCell ref="DB105:DC105"/>
    <mergeCell ref="DD105:DE105"/>
    <mergeCell ref="DF105:DG105"/>
    <mergeCell ref="DH105:DI105"/>
    <mergeCell ref="DJ105:DK105"/>
    <mergeCell ref="DL105:DM105"/>
    <mergeCell ref="CN106:CO106"/>
    <mergeCell ref="CP106:CQ106"/>
    <mergeCell ref="CR106:CS106"/>
    <mergeCell ref="CT106:CU106"/>
    <mergeCell ref="CV106:CW106"/>
    <mergeCell ref="CX106:CY106"/>
    <mergeCell ref="CZ106:DA106"/>
    <mergeCell ref="DB106:DC106"/>
    <mergeCell ref="DD106:DE106"/>
    <mergeCell ref="DF106:DG106"/>
    <mergeCell ref="DH106:DI106"/>
    <mergeCell ref="DJ106:DK106"/>
    <mergeCell ref="DL106:DM106"/>
    <mergeCell ref="CN105:CO105"/>
    <mergeCell ref="CP105:CQ105"/>
    <mergeCell ref="CR105:CS105"/>
    <mergeCell ref="CT105:CU105"/>
    <mergeCell ref="DB107:DC107"/>
    <mergeCell ref="DD107:DE107"/>
    <mergeCell ref="DF107:DG107"/>
    <mergeCell ref="DH107:DI107"/>
    <mergeCell ref="DJ107:DK107"/>
    <mergeCell ref="DL107:DM107"/>
    <mergeCell ref="CN108:CO108"/>
    <mergeCell ref="CP108:CQ108"/>
    <mergeCell ref="CR108:CS108"/>
    <mergeCell ref="CT108:CU108"/>
    <mergeCell ref="CV108:CW108"/>
    <mergeCell ref="CX108:CY108"/>
    <mergeCell ref="CZ108:DA108"/>
    <mergeCell ref="DB108:DC108"/>
    <mergeCell ref="DD108:DE108"/>
    <mergeCell ref="DF108:DG108"/>
    <mergeCell ref="DH108:DI108"/>
    <mergeCell ref="DJ108:DK108"/>
    <mergeCell ref="DL108:DM108"/>
    <mergeCell ref="DF109:DG109"/>
    <mergeCell ref="DH109:DI109"/>
    <mergeCell ref="DJ109:DK109"/>
    <mergeCell ref="DL109:DM109"/>
    <mergeCell ref="CN110:CO110"/>
    <mergeCell ref="CP110:CQ110"/>
    <mergeCell ref="CR110:CS110"/>
    <mergeCell ref="CT110:CU110"/>
    <mergeCell ref="CV110:CW110"/>
    <mergeCell ref="CX110:CY110"/>
    <mergeCell ref="CZ110:DA110"/>
    <mergeCell ref="DB110:DC110"/>
    <mergeCell ref="DD110:DE110"/>
    <mergeCell ref="DF110:DG110"/>
    <mergeCell ref="DH110:DI110"/>
    <mergeCell ref="DJ110:DK110"/>
    <mergeCell ref="DL110:DM110"/>
    <mergeCell ref="CT111:CU111"/>
    <mergeCell ref="CV111:CW111"/>
    <mergeCell ref="CX111:CY111"/>
    <mergeCell ref="CZ111:DA111"/>
    <mergeCell ref="DB111:DC111"/>
    <mergeCell ref="DD111:DE111"/>
    <mergeCell ref="DF111:DG111"/>
    <mergeCell ref="DH111:DI111"/>
    <mergeCell ref="DJ111:DK111"/>
    <mergeCell ref="DL111:DM111"/>
    <mergeCell ref="CN112:CO112"/>
    <mergeCell ref="CP112:CQ112"/>
    <mergeCell ref="CR112:CS112"/>
    <mergeCell ref="CT112:CU112"/>
    <mergeCell ref="CV112:CW112"/>
    <mergeCell ref="CX112:CY112"/>
    <mergeCell ref="CZ112:DA112"/>
    <mergeCell ref="DB112:DC112"/>
    <mergeCell ref="DD112:DE112"/>
    <mergeCell ref="DF112:DG112"/>
    <mergeCell ref="DH112:DI112"/>
    <mergeCell ref="DJ112:DK112"/>
    <mergeCell ref="DL112:DM112"/>
    <mergeCell ref="CP111:CQ111"/>
    <mergeCell ref="CR111:CS111"/>
    <mergeCell ref="CN113:CO113"/>
    <mergeCell ref="CP113:CQ113"/>
    <mergeCell ref="CR113:CS113"/>
    <mergeCell ref="CT113:CU113"/>
    <mergeCell ref="CV113:CW113"/>
    <mergeCell ref="CX113:CY113"/>
    <mergeCell ref="CZ113:DA113"/>
    <mergeCell ref="DB113:DC113"/>
    <mergeCell ref="DD113:DE113"/>
    <mergeCell ref="DF113:DG113"/>
    <mergeCell ref="DH113:DI113"/>
    <mergeCell ref="DJ113:DK113"/>
    <mergeCell ref="DL113:DM113"/>
    <mergeCell ref="CN114:CO114"/>
    <mergeCell ref="CP114:CQ114"/>
    <mergeCell ref="CR114:CS114"/>
    <mergeCell ref="CT114:CU114"/>
    <mergeCell ref="CV114:CW114"/>
    <mergeCell ref="CX114:CY114"/>
    <mergeCell ref="CZ114:DA114"/>
    <mergeCell ref="DB114:DC114"/>
    <mergeCell ref="DD114:DE114"/>
    <mergeCell ref="DF114:DG114"/>
    <mergeCell ref="DH114:DI114"/>
    <mergeCell ref="DJ114:DK114"/>
    <mergeCell ref="DL114:DM114"/>
    <mergeCell ref="CN115:CO115"/>
    <mergeCell ref="CP115:CQ115"/>
    <mergeCell ref="CR115:CS115"/>
    <mergeCell ref="CT115:CU115"/>
    <mergeCell ref="CV115:CW115"/>
    <mergeCell ref="CX115:CY115"/>
    <mergeCell ref="DD115:DE115"/>
    <mergeCell ref="DF115:DG115"/>
    <mergeCell ref="DH115:DI115"/>
    <mergeCell ref="DJ115:DK115"/>
    <mergeCell ref="DL115:DM115"/>
    <mergeCell ref="CN116:CO116"/>
    <mergeCell ref="CP116:CQ116"/>
    <mergeCell ref="CR116:CS116"/>
    <mergeCell ref="CT116:CU116"/>
    <mergeCell ref="CV116:CW116"/>
    <mergeCell ref="CX116:CY116"/>
    <mergeCell ref="CZ116:DA116"/>
    <mergeCell ref="DB116:DC116"/>
    <mergeCell ref="DD116:DE116"/>
    <mergeCell ref="DF116:DG116"/>
    <mergeCell ref="DH116:DI116"/>
    <mergeCell ref="DJ116:DK116"/>
    <mergeCell ref="DL116:DM116"/>
    <mergeCell ref="CR117:CS117"/>
    <mergeCell ref="CT117:CU117"/>
    <mergeCell ref="CV117:CW117"/>
    <mergeCell ref="CX117:CY117"/>
    <mergeCell ref="CZ117:DA117"/>
    <mergeCell ref="DB117:DC117"/>
    <mergeCell ref="DD117:DE117"/>
    <mergeCell ref="DF117:DG117"/>
    <mergeCell ref="DH117:DI117"/>
    <mergeCell ref="DJ117:DK117"/>
    <mergeCell ref="DL117:DM117"/>
    <mergeCell ref="DN5:DO5"/>
    <mergeCell ref="DN6:DO6"/>
    <mergeCell ref="DN7:DO7"/>
    <mergeCell ref="DN8:DO8"/>
    <mergeCell ref="DN9:DO9"/>
    <mergeCell ref="DN10:DO10"/>
    <mergeCell ref="DN11:DO11"/>
    <mergeCell ref="DN12:DO12"/>
    <mergeCell ref="DN13:DO13"/>
    <mergeCell ref="DN15:DO15"/>
    <mergeCell ref="DN17:DO17"/>
    <mergeCell ref="DN19:DO19"/>
    <mergeCell ref="DN21:DO21"/>
    <mergeCell ref="DN23:DO23"/>
    <mergeCell ref="DN25:DO25"/>
    <mergeCell ref="DN27:DO27"/>
    <mergeCell ref="DN29:DO29"/>
    <mergeCell ref="DN31:DO31"/>
    <mergeCell ref="DN33:DO33"/>
    <mergeCell ref="DB109:DC109"/>
    <mergeCell ref="DD109:DE109"/>
    <mergeCell ref="EB5:EC5"/>
    <mergeCell ref="ED5:EE5"/>
    <mergeCell ref="EF5:EG5"/>
    <mergeCell ref="EH5:EI5"/>
    <mergeCell ref="DP8:DQ8"/>
    <mergeCell ref="DR8:DS8"/>
    <mergeCell ref="DT8:DU8"/>
    <mergeCell ref="DV8:DW8"/>
    <mergeCell ref="DX8:DY8"/>
    <mergeCell ref="DZ8:EA8"/>
    <mergeCell ref="EB8:EC8"/>
    <mergeCell ref="ED8:EE8"/>
    <mergeCell ref="EF8:EG8"/>
    <mergeCell ref="EH8:EI8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5:EK5"/>
    <mergeCell ref="EL5:EM5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DT7:DU7"/>
    <mergeCell ref="DV7:DW7"/>
    <mergeCell ref="DX7:DY7"/>
    <mergeCell ref="DZ7:EA7"/>
    <mergeCell ref="EB7:EC7"/>
    <mergeCell ref="ED7:EE7"/>
    <mergeCell ref="EF7:EG7"/>
    <mergeCell ref="EH7:EI7"/>
    <mergeCell ref="EJ7:EK7"/>
    <mergeCell ref="EL7:EM7"/>
    <mergeCell ref="DP5:DQ5"/>
    <mergeCell ref="DR5:DS5"/>
    <mergeCell ref="DP7:DQ7"/>
    <mergeCell ref="DR7:DS7"/>
    <mergeCell ref="DT5:DU5"/>
    <mergeCell ref="DV5:DW5"/>
    <mergeCell ref="DX5:DY5"/>
    <mergeCell ref="DZ5:EA5"/>
    <mergeCell ref="EJ8:EK8"/>
    <mergeCell ref="EL8:EM8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DP9:DQ9"/>
    <mergeCell ref="DR9:DS9"/>
    <mergeCell ref="EJ11:EK11"/>
    <mergeCell ref="EL11:EM11"/>
    <mergeCell ref="DP12:DQ12"/>
    <mergeCell ref="DR12:DS12"/>
    <mergeCell ref="DT12:DU12"/>
    <mergeCell ref="DV12:DW12"/>
    <mergeCell ref="DX12:DY12"/>
    <mergeCell ref="DZ12:EA12"/>
    <mergeCell ref="EB12:EC12"/>
    <mergeCell ref="ED12:EE12"/>
    <mergeCell ref="EF12:EG12"/>
    <mergeCell ref="EH12:EI12"/>
    <mergeCell ref="EJ12:EK12"/>
    <mergeCell ref="EL12:EM12"/>
    <mergeCell ref="DP11:DQ11"/>
    <mergeCell ref="DR11:DS11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DP13:DQ13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DN54:DO54"/>
    <mergeCell ref="DP54:DQ54"/>
    <mergeCell ref="DR54:DS54"/>
    <mergeCell ref="DT54:DU54"/>
    <mergeCell ref="DV54:DW54"/>
    <mergeCell ref="DX54:DY54"/>
    <mergeCell ref="DZ54:EA54"/>
    <mergeCell ref="EB54:EC54"/>
    <mergeCell ref="ED54:EE54"/>
    <mergeCell ref="EF54:EG54"/>
    <mergeCell ref="EH54:EI54"/>
    <mergeCell ref="EJ54:EK54"/>
    <mergeCell ref="EL54:EM54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EL56:EM56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DN60:DO60"/>
    <mergeCell ref="DP60:DQ60"/>
    <mergeCell ref="DR60:DS60"/>
    <mergeCell ref="DT60:DU60"/>
    <mergeCell ref="DV60:DW60"/>
    <mergeCell ref="DX60:DY60"/>
    <mergeCell ref="DZ60:EA60"/>
    <mergeCell ref="EB60:EC60"/>
    <mergeCell ref="ED60:EE60"/>
    <mergeCell ref="EF60:EG60"/>
    <mergeCell ref="EH60:EI60"/>
    <mergeCell ref="EJ60:EK60"/>
    <mergeCell ref="EL60:EM60"/>
    <mergeCell ref="DN61:DO61"/>
    <mergeCell ref="DP61:DQ61"/>
    <mergeCell ref="DR61:DS61"/>
    <mergeCell ref="DT61:DU61"/>
    <mergeCell ref="DV61:DW61"/>
    <mergeCell ref="DX61:DY61"/>
    <mergeCell ref="DZ61:EA61"/>
    <mergeCell ref="EB61:EC61"/>
    <mergeCell ref="ED61:EE61"/>
    <mergeCell ref="EF61:EG61"/>
    <mergeCell ref="EH61:EI61"/>
    <mergeCell ref="EJ61:EK61"/>
    <mergeCell ref="EL61:EM61"/>
    <mergeCell ref="DN62:DO62"/>
    <mergeCell ref="DP62:DQ62"/>
    <mergeCell ref="DR62:DS62"/>
    <mergeCell ref="DT62:DU62"/>
    <mergeCell ref="DV62:DW62"/>
    <mergeCell ref="DX62:DY62"/>
    <mergeCell ref="DZ62:EA62"/>
    <mergeCell ref="EB62:EC62"/>
    <mergeCell ref="ED62:EE62"/>
    <mergeCell ref="EF62:EG62"/>
    <mergeCell ref="EH62:EI62"/>
    <mergeCell ref="EJ62:EK62"/>
    <mergeCell ref="EL62:EM62"/>
    <mergeCell ref="DN63:DO63"/>
    <mergeCell ref="DP63:DQ63"/>
    <mergeCell ref="DR63:DS63"/>
    <mergeCell ref="DT63:DU63"/>
    <mergeCell ref="DV63:DW63"/>
    <mergeCell ref="DX63:DY63"/>
    <mergeCell ref="DZ63:EA63"/>
    <mergeCell ref="EB63:EC63"/>
    <mergeCell ref="ED63:EE63"/>
    <mergeCell ref="EF63:EG63"/>
    <mergeCell ref="EH63:EI63"/>
    <mergeCell ref="EJ63:EK63"/>
    <mergeCell ref="EL63:EM63"/>
    <mergeCell ref="DN64:DO64"/>
    <mergeCell ref="DP64:DQ64"/>
    <mergeCell ref="DR64:DS64"/>
    <mergeCell ref="DT64:DU64"/>
    <mergeCell ref="DV64:DW64"/>
    <mergeCell ref="DX64:DY64"/>
    <mergeCell ref="DZ64:EA64"/>
    <mergeCell ref="EB64:EC64"/>
    <mergeCell ref="ED64:EE64"/>
    <mergeCell ref="EF64:EG64"/>
    <mergeCell ref="EH64:EI64"/>
    <mergeCell ref="EJ64:EK64"/>
    <mergeCell ref="EL64:EM64"/>
    <mergeCell ref="DN65:DO65"/>
    <mergeCell ref="DP65:DQ65"/>
    <mergeCell ref="DR65:DS65"/>
    <mergeCell ref="DT65:DU65"/>
    <mergeCell ref="DV65:DW65"/>
    <mergeCell ref="DX65:DY65"/>
    <mergeCell ref="DZ65:EA65"/>
    <mergeCell ref="EB65:EC65"/>
    <mergeCell ref="ED65:EE65"/>
    <mergeCell ref="EF65:EG65"/>
    <mergeCell ref="EH65:EI65"/>
    <mergeCell ref="EJ65:EK65"/>
    <mergeCell ref="EL65:EM65"/>
    <mergeCell ref="DN66:DO66"/>
    <mergeCell ref="DP66:DQ66"/>
    <mergeCell ref="DR66:DS66"/>
    <mergeCell ref="DT66:DU66"/>
    <mergeCell ref="DV66:DW66"/>
    <mergeCell ref="DX66:DY66"/>
    <mergeCell ref="DZ66:EA66"/>
    <mergeCell ref="EB66:EC66"/>
    <mergeCell ref="ED66:EE66"/>
    <mergeCell ref="EF66:EG66"/>
    <mergeCell ref="EH66:EI66"/>
    <mergeCell ref="EJ66:EK66"/>
    <mergeCell ref="EL66:EM66"/>
    <mergeCell ref="DN67:DO67"/>
    <mergeCell ref="DP67:DQ67"/>
    <mergeCell ref="DR67:DS67"/>
    <mergeCell ref="DT67:DU67"/>
    <mergeCell ref="DV67:DW67"/>
    <mergeCell ref="DX67:DY67"/>
    <mergeCell ref="DZ67:EA67"/>
    <mergeCell ref="EB67:EC67"/>
    <mergeCell ref="ED67:EE67"/>
    <mergeCell ref="EF67:EG67"/>
    <mergeCell ref="EH67:EI67"/>
    <mergeCell ref="EJ67:EK67"/>
    <mergeCell ref="EL67:EM67"/>
    <mergeCell ref="DN68:DO68"/>
    <mergeCell ref="DP68:DQ68"/>
    <mergeCell ref="DR68:DS68"/>
    <mergeCell ref="DT68:DU68"/>
    <mergeCell ref="DV68:DW68"/>
    <mergeCell ref="DX68:DY68"/>
    <mergeCell ref="DZ68:EA68"/>
    <mergeCell ref="EB68:EC68"/>
    <mergeCell ref="ED68:EE68"/>
    <mergeCell ref="EF68:EG68"/>
    <mergeCell ref="EH68:EI68"/>
    <mergeCell ref="EJ68:EK68"/>
    <mergeCell ref="EL68:EM68"/>
    <mergeCell ref="DN69:DO69"/>
    <mergeCell ref="DP69:DQ69"/>
    <mergeCell ref="DR69:DS69"/>
    <mergeCell ref="DT69:DU69"/>
    <mergeCell ref="DV69:DW69"/>
    <mergeCell ref="DX69:DY69"/>
    <mergeCell ref="DZ69:EA69"/>
    <mergeCell ref="EB69:EC69"/>
    <mergeCell ref="ED69:EE69"/>
    <mergeCell ref="EF69:EG69"/>
    <mergeCell ref="EH69:EI69"/>
    <mergeCell ref="EJ69:EK69"/>
    <mergeCell ref="EL69:EM69"/>
    <mergeCell ref="DN70:DO70"/>
    <mergeCell ref="DP70:DQ70"/>
    <mergeCell ref="DR70:DS70"/>
    <mergeCell ref="DT70:DU70"/>
    <mergeCell ref="DV70:DW70"/>
    <mergeCell ref="DX70:DY70"/>
    <mergeCell ref="DZ70:EA70"/>
    <mergeCell ref="EB70:EC70"/>
    <mergeCell ref="ED70:EE70"/>
    <mergeCell ref="EF70:EG70"/>
    <mergeCell ref="EH70:EI70"/>
    <mergeCell ref="EJ70:EK70"/>
    <mergeCell ref="EL70:EM70"/>
    <mergeCell ref="DN71:DO71"/>
    <mergeCell ref="DP71:DQ71"/>
    <mergeCell ref="DR71:DS71"/>
    <mergeCell ref="DT71:DU71"/>
    <mergeCell ref="DV71:DW71"/>
    <mergeCell ref="DX71:DY71"/>
    <mergeCell ref="DZ71:EA71"/>
    <mergeCell ref="EB71:EC71"/>
    <mergeCell ref="ED71:EE71"/>
    <mergeCell ref="EF71:EG71"/>
    <mergeCell ref="EH71:EI71"/>
    <mergeCell ref="EJ71:EK71"/>
    <mergeCell ref="EL71:EM71"/>
    <mergeCell ref="DN72:DO72"/>
    <mergeCell ref="DP72:DQ72"/>
    <mergeCell ref="DR72:DS72"/>
    <mergeCell ref="DT72:DU72"/>
    <mergeCell ref="DV72:DW72"/>
    <mergeCell ref="DX72:DY72"/>
    <mergeCell ref="DZ72:EA72"/>
    <mergeCell ref="EB72:EC72"/>
    <mergeCell ref="ED72:EE72"/>
    <mergeCell ref="EF72:EG72"/>
    <mergeCell ref="EH72:EI72"/>
    <mergeCell ref="EJ72:EK72"/>
    <mergeCell ref="EL72:EM72"/>
    <mergeCell ref="DN73:DO73"/>
    <mergeCell ref="DP73:DQ73"/>
    <mergeCell ref="DR73:DS73"/>
    <mergeCell ref="DT73:DU73"/>
    <mergeCell ref="DV73:DW73"/>
    <mergeCell ref="DX73:DY73"/>
    <mergeCell ref="DZ73:EA73"/>
    <mergeCell ref="EB73:EC73"/>
    <mergeCell ref="ED73:EE73"/>
    <mergeCell ref="EF73:EG73"/>
    <mergeCell ref="EH73:EI73"/>
    <mergeCell ref="EJ73:EK73"/>
    <mergeCell ref="EL73:EM73"/>
    <mergeCell ref="DN74:DO74"/>
    <mergeCell ref="DP74:DQ74"/>
    <mergeCell ref="DR74:DS74"/>
    <mergeCell ref="DT74:DU74"/>
    <mergeCell ref="DV74:DW74"/>
    <mergeCell ref="DX74:DY74"/>
    <mergeCell ref="DZ74:EA74"/>
    <mergeCell ref="EB74:EC74"/>
    <mergeCell ref="ED74:EE74"/>
    <mergeCell ref="EF74:EG74"/>
    <mergeCell ref="EH74:EI74"/>
    <mergeCell ref="EJ74:EK74"/>
    <mergeCell ref="EL74:EM74"/>
    <mergeCell ref="DN75:DO75"/>
    <mergeCell ref="DP75:DQ75"/>
    <mergeCell ref="DR75:DS75"/>
    <mergeCell ref="DT75:DU75"/>
    <mergeCell ref="DV75:DW75"/>
    <mergeCell ref="DX75:DY75"/>
    <mergeCell ref="DZ75:EA75"/>
    <mergeCell ref="EB75:EC75"/>
    <mergeCell ref="ED75:EE75"/>
    <mergeCell ref="EF75:EG75"/>
    <mergeCell ref="EH75:EI75"/>
    <mergeCell ref="EJ75:EK75"/>
    <mergeCell ref="EL75:EM75"/>
    <mergeCell ref="DN76:DO76"/>
    <mergeCell ref="DP76:DQ76"/>
    <mergeCell ref="DR76:DS76"/>
    <mergeCell ref="DT76:DU76"/>
    <mergeCell ref="DV76:DW76"/>
    <mergeCell ref="DX76:DY76"/>
    <mergeCell ref="DZ76:EA76"/>
    <mergeCell ref="EB76:EC76"/>
    <mergeCell ref="ED76:EE76"/>
    <mergeCell ref="EF76:EG76"/>
    <mergeCell ref="EH76:EI76"/>
    <mergeCell ref="EJ76:EK76"/>
    <mergeCell ref="EL76:EM76"/>
    <mergeCell ref="DN77:DO77"/>
    <mergeCell ref="DP77:DQ77"/>
    <mergeCell ref="DR77:DS77"/>
    <mergeCell ref="DT77:DU77"/>
    <mergeCell ref="DV77:DW77"/>
    <mergeCell ref="DX77:DY77"/>
    <mergeCell ref="DZ77:EA77"/>
    <mergeCell ref="EB77:EC77"/>
    <mergeCell ref="ED77:EE77"/>
    <mergeCell ref="EF77:EG77"/>
    <mergeCell ref="EH77:EI77"/>
    <mergeCell ref="EJ77:EK77"/>
    <mergeCell ref="EL77:EM77"/>
    <mergeCell ref="DN78:DO78"/>
    <mergeCell ref="DP78:DQ78"/>
    <mergeCell ref="DR78:DS78"/>
    <mergeCell ref="DT78:DU78"/>
    <mergeCell ref="DV78:DW78"/>
    <mergeCell ref="DX78:DY78"/>
    <mergeCell ref="DZ78:EA78"/>
    <mergeCell ref="EB78:EC78"/>
    <mergeCell ref="ED78:EE78"/>
    <mergeCell ref="EF78:EG78"/>
    <mergeCell ref="EH78:EI78"/>
    <mergeCell ref="EJ78:EK78"/>
    <mergeCell ref="EL78:EM78"/>
    <mergeCell ref="DN79:DO79"/>
    <mergeCell ref="DP79:DQ79"/>
    <mergeCell ref="DR79:DS79"/>
    <mergeCell ref="DT79:DU79"/>
    <mergeCell ref="DV79:DW79"/>
    <mergeCell ref="DX79:DY79"/>
    <mergeCell ref="DZ79:EA79"/>
    <mergeCell ref="EB79:EC79"/>
    <mergeCell ref="ED79:EE79"/>
    <mergeCell ref="EF79:EG79"/>
    <mergeCell ref="EH79:EI79"/>
    <mergeCell ref="EJ79:EK79"/>
    <mergeCell ref="EL79:EM79"/>
    <mergeCell ref="DN80:DO80"/>
    <mergeCell ref="DP80:DQ80"/>
    <mergeCell ref="DR80:DS80"/>
    <mergeCell ref="DT80:DU80"/>
    <mergeCell ref="DV80:DW80"/>
    <mergeCell ref="DX80:DY80"/>
    <mergeCell ref="DZ80:EA80"/>
    <mergeCell ref="EB80:EC80"/>
    <mergeCell ref="ED80:EE80"/>
    <mergeCell ref="EF80:EG80"/>
    <mergeCell ref="EH80:EI80"/>
    <mergeCell ref="EJ80:EK80"/>
    <mergeCell ref="EL80:EM80"/>
    <mergeCell ref="DN81:DO81"/>
    <mergeCell ref="DP81:DQ81"/>
    <mergeCell ref="DR81:DS81"/>
    <mergeCell ref="DT81:DU81"/>
    <mergeCell ref="DV81:DW81"/>
    <mergeCell ref="DX81:DY81"/>
    <mergeCell ref="DZ81:EA81"/>
    <mergeCell ref="EB81:EC81"/>
    <mergeCell ref="ED81:EE81"/>
    <mergeCell ref="EF81:EG81"/>
    <mergeCell ref="EH81:EI81"/>
    <mergeCell ref="EJ81:EK81"/>
    <mergeCell ref="EL81:EM81"/>
    <mergeCell ref="DN82:DO82"/>
    <mergeCell ref="DP82:DQ82"/>
    <mergeCell ref="DR82:DS82"/>
    <mergeCell ref="DT82:DU82"/>
    <mergeCell ref="DV82:DW82"/>
    <mergeCell ref="DX82:DY82"/>
    <mergeCell ref="DZ82:EA82"/>
    <mergeCell ref="EB82:EC82"/>
    <mergeCell ref="ED82:EE82"/>
    <mergeCell ref="EF82:EG82"/>
    <mergeCell ref="EH82:EI82"/>
    <mergeCell ref="EJ82:EK82"/>
    <mergeCell ref="EL82:EM82"/>
    <mergeCell ref="DN83:DO83"/>
    <mergeCell ref="DP83:DQ83"/>
    <mergeCell ref="DR83:DS83"/>
    <mergeCell ref="DT83:DU83"/>
    <mergeCell ref="DV83:DW83"/>
    <mergeCell ref="DX83:DY83"/>
    <mergeCell ref="DZ83:EA83"/>
    <mergeCell ref="EB83:EC83"/>
    <mergeCell ref="ED83:EE83"/>
    <mergeCell ref="EF83:EG83"/>
    <mergeCell ref="EH83:EI83"/>
    <mergeCell ref="EJ83:EK83"/>
    <mergeCell ref="EL83:EM83"/>
    <mergeCell ref="DN84:DO84"/>
    <mergeCell ref="DP84:DQ84"/>
    <mergeCell ref="DR84:DS84"/>
    <mergeCell ref="DT84:DU84"/>
    <mergeCell ref="DV84:DW84"/>
    <mergeCell ref="DX84:DY84"/>
    <mergeCell ref="DZ84:EA84"/>
    <mergeCell ref="EB84:EC84"/>
    <mergeCell ref="ED84:EE84"/>
    <mergeCell ref="EF84:EG84"/>
    <mergeCell ref="EH84:EI84"/>
    <mergeCell ref="EJ84:EK84"/>
    <mergeCell ref="EL84:EM84"/>
    <mergeCell ref="DN85:DO85"/>
    <mergeCell ref="DP85:DQ85"/>
    <mergeCell ref="DR85:DS85"/>
    <mergeCell ref="DT85:DU85"/>
    <mergeCell ref="DV85:DW85"/>
    <mergeCell ref="DX85:DY85"/>
    <mergeCell ref="DZ85:EA85"/>
    <mergeCell ref="EB85:EC85"/>
    <mergeCell ref="ED85:EE85"/>
    <mergeCell ref="EF85:EG85"/>
    <mergeCell ref="EH85:EI85"/>
    <mergeCell ref="EJ85:EK85"/>
    <mergeCell ref="EL85:EM85"/>
    <mergeCell ref="DN86:DO86"/>
    <mergeCell ref="DP86:DQ86"/>
    <mergeCell ref="DR86:DS86"/>
    <mergeCell ref="DT86:DU86"/>
    <mergeCell ref="DV86:DW86"/>
    <mergeCell ref="DX86:DY86"/>
    <mergeCell ref="DZ86:EA86"/>
    <mergeCell ref="EB86:EC86"/>
    <mergeCell ref="ED86:EE86"/>
    <mergeCell ref="EF86:EG86"/>
    <mergeCell ref="EH86:EI86"/>
    <mergeCell ref="EJ86:EK86"/>
    <mergeCell ref="EL86:EM86"/>
    <mergeCell ref="DN87:DO87"/>
    <mergeCell ref="DP87:DQ87"/>
    <mergeCell ref="DR87:DS87"/>
    <mergeCell ref="DT87:DU87"/>
    <mergeCell ref="DV87:DW87"/>
    <mergeCell ref="DX87:DY87"/>
    <mergeCell ref="DZ87:EA87"/>
    <mergeCell ref="EB87:EC87"/>
    <mergeCell ref="ED87:EE87"/>
    <mergeCell ref="EF87:EG87"/>
    <mergeCell ref="EH87:EI87"/>
    <mergeCell ref="EJ87:EK87"/>
    <mergeCell ref="EL87:EM87"/>
    <mergeCell ref="DN88:DO88"/>
    <mergeCell ref="DP88:DQ88"/>
    <mergeCell ref="DR88:DS88"/>
    <mergeCell ref="DT88:DU88"/>
    <mergeCell ref="DV88:DW88"/>
    <mergeCell ref="DX88:DY88"/>
    <mergeCell ref="DZ88:EA88"/>
    <mergeCell ref="EB88:EC88"/>
    <mergeCell ref="ED88:EE88"/>
    <mergeCell ref="EF88:EG88"/>
    <mergeCell ref="EH88:EI88"/>
    <mergeCell ref="EJ88:EK88"/>
    <mergeCell ref="EL88:EM88"/>
    <mergeCell ref="DN89:DO89"/>
    <mergeCell ref="DP89:DQ89"/>
    <mergeCell ref="DR89:DS89"/>
    <mergeCell ref="DT89:DU89"/>
    <mergeCell ref="DV89:DW89"/>
    <mergeCell ref="DX89:DY89"/>
    <mergeCell ref="DZ89:EA89"/>
    <mergeCell ref="EB89:EC89"/>
    <mergeCell ref="ED89:EE89"/>
    <mergeCell ref="EF89:EG89"/>
    <mergeCell ref="EH89:EI89"/>
    <mergeCell ref="EJ89:EK89"/>
    <mergeCell ref="EL89:EM89"/>
    <mergeCell ref="DN90:DO90"/>
    <mergeCell ref="DP90:DQ90"/>
    <mergeCell ref="DR90:DS90"/>
    <mergeCell ref="DT90:DU90"/>
    <mergeCell ref="DV90:DW90"/>
    <mergeCell ref="DX90:DY90"/>
    <mergeCell ref="DZ90:EA90"/>
    <mergeCell ref="EB90:EC90"/>
    <mergeCell ref="ED90:EE90"/>
    <mergeCell ref="EF90:EG90"/>
    <mergeCell ref="EH90:EI90"/>
    <mergeCell ref="EJ90:EK90"/>
    <mergeCell ref="EL90:EM90"/>
    <mergeCell ref="DN91:DO91"/>
    <mergeCell ref="DP91:DQ91"/>
    <mergeCell ref="DR91:DS91"/>
    <mergeCell ref="DT91:DU91"/>
    <mergeCell ref="DV91:DW91"/>
    <mergeCell ref="DX91:DY91"/>
    <mergeCell ref="DZ91:EA91"/>
    <mergeCell ref="EB91:EC91"/>
    <mergeCell ref="ED91:EE91"/>
    <mergeCell ref="EF91:EG91"/>
    <mergeCell ref="EH91:EI91"/>
    <mergeCell ref="EJ91:EK91"/>
    <mergeCell ref="EL91:EM91"/>
    <mergeCell ref="DN92:DO92"/>
    <mergeCell ref="DP92:DQ92"/>
    <mergeCell ref="DR92:DS92"/>
    <mergeCell ref="DT92:DU92"/>
    <mergeCell ref="DV92:DW92"/>
    <mergeCell ref="DX92:DY92"/>
    <mergeCell ref="DZ92:EA92"/>
    <mergeCell ref="EB92:EC92"/>
    <mergeCell ref="ED92:EE92"/>
    <mergeCell ref="EF92:EG92"/>
    <mergeCell ref="EH92:EI92"/>
    <mergeCell ref="EJ92:EK92"/>
    <mergeCell ref="EL92:EM92"/>
    <mergeCell ref="DN93:DO93"/>
    <mergeCell ref="DP93:DQ93"/>
    <mergeCell ref="DR93:DS93"/>
    <mergeCell ref="DT93:DU93"/>
    <mergeCell ref="DV93:DW93"/>
    <mergeCell ref="DX93:DY93"/>
    <mergeCell ref="DZ93:EA93"/>
    <mergeCell ref="EB93:EC93"/>
    <mergeCell ref="ED93:EE93"/>
    <mergeCell ref="EF93:EG93"/>
    <mergeCell ref="EH93:EI93"/>
    <mergeCell ref="EJ93:EK93"/>
    <mergeCell ref="EL93:EM93"/>
    <mergeCell ref="DN94:DO94"/>
    <mergeCell ref="DP94:DQ94"/>
    <mergeCell ref="DR94:DS94"/>
    <mergeCell ref="DT94:DU94"/>
    <mergeCell ref="DV94:DW94"/>
    <mergeCell ref="DX94:DY94"/>
    <mergeCell ref="DZ94:EA94"/>
    <mergeCell ref="EB94:EC94"/>
    <mergeCell ref="ED94:EE94"/>
    <mergeCell ref="EF94:EG94"/>
    <mergeCell ref="EH94:EI94"/>
    <mergeCell ref="EJ94:EK94"/>
    <mergeCell ref="EL94:EM94"/>
    <mergeCell ref="DN95:DO95"/>
    <mergeCell ref="DP95:DQ95"/>
    <mergeCell ref="DR95:DS95"/>
    <mergeCell ref="DT95:DU95"/>
    <mergeCell ref="DV95:DW95"/>
    <mergeCell ref="DX95:DY95"/>
    <mergeCell ref="DZ95:EA95"/>
    <mergeCell ref="EB95:EC95"/>
    <mergeCell ref="ED95:EE95"/>
    <mergeCell ref="EF95:EG95"/>
    <mergeCell ref="EH95:EI95"/>
    <mergeCell ref="EJ95:EK95"/>
    <mergeCell ref="EL95:EM95"/>
    <mergeCell ref="DN96:DO96"/>
    <mergeCell ref="DP96:DQ96"/>
    <mergeCell ref="DR96:DS96"/>
    <mergeCell ref="DT96:DU96"/>
    <mergeCell ref="DV96:DW96"/>
    <mergeCell ref="DX96:DY96"/>
    <mergeCell ref="DZ96:EA96"/>
    <mergeCell ref="EB96:EC96"/>
    <mergeCell ref="ED96:EE96"/>
    <mergeCell ref="EF96:EG96"/>
    <mergeCell ref="EH96:EI96"/>
    <mergeCell ref="EJ96:EK96"/>
    <mergeCell ref="EL96:EM96"/>
    <mergeCell ref="DN97:DO97"/>
    <mergeCell ref="DP97:DQ97"/>
    <mergeCell ref="DR97:DS97"/>
    <mergeCell ref="DT97:DU97"/>
    <mergeCell ref="DV97:DW97"/>
    <mergeCell ref="DX97:DY97"/>
    <mergeCell ref="DZ97:EA97"/>
    <mergeCell ref="EB97:EC97"/>
    <mergeCell ref="ED97:EE97"/>
    <mergeCell ref="EF97:EG97"/>
    <mergeCell ref="EH97:EI97"/>
    <mergeCell ref="EJ97:EK97"/>
    <mergeCell ref="EL97:EM97"/>
    <mergeCell ref="DN98:DO98"/>
    <mergeCell ref="DP98:DQ98"/>
    <mergeCell ref="DR98:DS98"/>
    <mergeCell ref="DT98:DU98"/>
    <mergeCell ref="DV98:DW98"/>
    <mergeCell ref="DX98:DY98"/>
    <mergeCell ref="DZ98:EA98"/>
    <mergeCell ref="EB98:EC98"/>
    <mergeCell ref="ED98:EE98"/>
    <mergeCell ref="EF98:EG98"/>
    <mergeCell ref="EH98:EI98"/>
    <mergeCell ref="EJ98:EK98"/>
    <mergeCell ref="EL98:EM98"/>
    <mergeCell ref="DN99:DO99"/>
    <mergeCell ref="DP99:DQ99"/>
    <mergeCell ref="DR99:DS99"/>
    <mergeCell ref="DT99:DU99"/>
    <mergeCell ref="DV99:DW99"/>
    <mergeCell ref="DX99:DY99"/>
    <mergeCell ref="DZ99:EA99"/>
    <mergeCell ref="EB99:EC99"/>
    <mergeCell ref="ED99:EE99"/>
    <mergeCell ref="EF99:EG99"/>
    <mergeCell ref="EH99:EI99"/>
    <mergeCell ref="EJ99:EK99"/>
    <mergeCell ref="EL99:EM99"/>
    <mergeCell ref="DN100:DO100"/>
    <mergeCell ref="DP100:DQ100"/>
    <mergeCell ref="DR100:DS100"/>
    <mergeCell ref="DT100:DU100"/>
    <mergeCell ref="DV100:DW100"/>
    <mergeCell ref="DX100:DY100"/>
    <mergeCell ref="DZ100:EA100"/>
    <mergeCell ref="EB100:EC100"/>
    <mergeCell ref="ED100:EE100"/>
    <mergeCell ref="EF100:EG100"/>
    <mergeCell ref="EH100:EI100"/>
    <mergeCell ref="EJ100:EK100"/>
    <mergeCell ref="EL100:EM100"/>
    <mergeCell ref="DN101:DO101"/>
    <mergeCell ref="DP101:DQ101"/>
    <mergeCell ref="DR101:DS101"/>
    <mergeCell ref="DT101:DU101"/>
    <mergeCell ref="DV101:DW101"/>
    <mergeCell ref="DX101:DY101"/>
    <mergeCell ref="DZ101:EA101"/>
    <mergeCell ref="EB101:EC101"/>
    <mergeCell ref="ED101:EE101"/>
    <mergeCell ref="EF101:EG101"/>
    <mergeCell ref="EH101:EI101"/>
    <mergeCell ref="EJ101:EK101"/>
    <mergeCell ref="EL101:EM101"/>
    <mergeCell ref="DN102:DO102"/>
    <mergeCell ref="DP102:DQ102"/>
    <mergeCell ref="DR102:DS102"/>
    <mergeCell ref="DT102:DU102"/>
    <mergeCell ref="DV102:DW102"/>
    <mergeCell ref="DX102:DY102"/>
    <mergeCell ref="DZ102:EA102"/>
    <mergeCell ref="EB102:EC102"/>
    <mergeCell ref="ED102:EE102"/>
    <mergeCell ref="EF102:EG102"/>
    <mergeCell ref="EH102:EI102"/>
    <mergeCell ref="EJ102:EK102"/>
    <mergeCell ref="EL102:EM102"/>
    <mergeCell ref="DN103:DO103"/>
    <mergeCell ref="DP103:DQ103"/>
    <mergeCell ref="DR103:DS103"/>
    <mergeCell ref="DT103:DU103"/>
    <mergeCell ref="DV103:DW103"/>
    <mergeCell ref="DX103:DY103"/>
    <mergeCell ref="DZ103:EA103"/>
    <mergeCell ref="EB103:EC103"/>
    <mergeCell ref="ED103:EE103"/>
    <mergeCell ref="EF103:EG103"/>
    <mergeCell ref="EH103:EI103"/>
    <mergeCell ref="EJ103:EK103"/>
    <mergeCell ref="EL103:EM103"/>
    <mergeCell ref="DN104:DO104"/>
    <mergeCell ref="DP104:DQ104"/>
    <mergeCell ref="DR104:DS104"/>
    <mergeCell ref="DT104:DU104"/>
    <mergeCell ref="DV104:DW104"/>
    <mergeCell ref="DX104:DY104"/>
    <mergeCell ref="DZ104:EA104"/>
    <mergeCell ref="EB104:EC104"/>
    <mergeCell ref="ED104:EE104"/>
    <mergeCell ref="EF104:EG104"/>
    <mergeCell ref="EH104:EI104"/>
    <mergeCell ref="EJ104:EK104"/>
    <mergeCell ref="EL104:EM104"/>
    <mergeCell ref="DN105:DO105"/>
    <mergeCell ref="DP105:DQ105"/>
    <mergeCell ref="DR105:DS105"/>
    <mergeCell ref="DT105:DU105"/>
    <mergeCell ref="DV105:DW105"/>
    <mergeCell ref="DX105:DY105"/>
    <mergeCell ref="DZ105:EA105"/>
    <mergeCell ref="EB105:EC105"/>
    <mergeCell ref="ED105:EE105"/>
    <mergeCell ref="EF105:EG105"/>
    <mergeCell ref="EH105:EI105"/>
    <mergeCell ref="EJ105:EK105"/>
    <mergeCell ref="EL105:EM105"/>
    <mergeCell ref="DN106:DO106"/>
    <mergeCell ref="DP106:DQ106"/>
    <mergeCell ref="DR106:DS106"/>
    <mergeCell ref="DT106:DU106"/>
    <mergeCell ref="DV106:DW106"/>
    <mergeCell ref="DX106:DY106"/>
    <mergeCell ref="DZ106:EA106"/>
    <mergeCell ref="EB106:EC106"/>
    <mergeCell ref="ED106:EE106"/>
    <mergeCell ref="EF106:EG106"/>
    <mergeCell ref="EH106:EI106"/>
    <mergeCell ref="EJ106:EK106"/>
    <mergeCell ref="EL106:EM106"/>
    <mergeCell ref="DN107:DO107"/>
    <mergeCell ref="DP107:DQ107"/>
    <mergeCell ref="DR107:DS107"/>
    <mergeCell ref="DT107:DU107"/>
    <mergeCell ref="DV107:DW107"/>
    <mergeCell ref="DX107:DY107"/>
    <mergeCell ref="DZ107:EA107"/>
    <mergeCell ref="EB107:EC107"/>
    <mergeCell ref="ED107:EE107"/>
    <mergeCell ref="EF107:EG107"/>
    <mergeCell ref="EH107:EI107"/>
    <mergeCell ref="EJ107:EK107"/>
    <mergeCell ref="EL107:EM107"/>
    <mergeCell ref="DN108:DO108"/>
    <mergeCell ref="DP108:DQ108"/>
    <mergeCell ref="DR108:DS108"/>
    <mergeCell ref="DT108:DU108"/>
    <mergeCell ref="DV108:DW108"/>
    <mergeCell ref="DX108:DY108"/>
    <mergeCell ref="DZ108:EA108"/>
    <mergeCell ref="EB108:EC108"/>
    <mergeCell ref="ED108:EE108"/>
    <mergeCell ref="EF108:EG108"/>
    <mergeCell ref="EH108:EI108"/>
    <mergeCell ref="EJ108:EK108"/>
    <mergeCell ref="EL108:EM108"/>
    <mergeCell ref="DN109:DO109"/>
    <mergeCell ref="DP109:DQ109"/>
    <mergeCell ref="DR109:DS109"/>
    <mergeCell ref="DT109:DU109"/>
    <mergeCell ref="DV109:DW109"/>
    <mergeCell ref="DX109:DY109"/>
    <mergeCell ref="DZ109:EA109"/>
    <mergeCell ref="EB109:EC109"/>
    <mergeCell ref="ED109:EE109"/>
    <mergeCell ref="EF109:EG109"/>
    <mergeCell ref="EH109:EI109"/>
    <mergeCell ref="EJ109:EK109"/>
    <mergeCell ref="EL109:EM109"/>
    <mergeCell ref="DN110:DO110"/>
    <mergeCell ref="DP110:DQ110"/>
    <mergeCell ref="DR110:DS110"/>
    <mergeCell ref="DT110:DU110"/>
    <mergeCell ref="DV110:DW110"/>
    <mergeCell ref="DX110:DY110"/>
    <mergeCell ref="DZ110:EA110"/>
    <mergeCell ref="EB110:EC110"/>
    <mergeCell ref="ED110:EE110"/>
    <mergeCell ref="EF110:EG110"/>
    <mergeCell ref="EH110:EI110"/>
    <mergeCell ref="EJ110:EK110"/>
    <mergeCell ref="EL110:EM110"/>
    <mergeCell ref="DN111:DO111"/>
    <mergeCell ref="DP111:DQ111"/>
    <mergeCell ref="DR111:DS111"/>
    <mergeCell ref="DT111:DU111"/>
    <mergeCell ref="DV111:DW111"/>
    <mergeCell ref="DX111:DY111"/>
    <mergeCell ref="DZ111:EA111"/>
    <mergeCell ref="EB111:EC111"/>
    <mergeCell ref="ED111:EE111"/>
    <mergeCell ref="EF111:EG111"/>
    <mergeCell ref="EH111:EI111"/>
    <mergeCell ref="EJ111:EK111"/>
    <mergeCell ref="EL111:EM111"/>
    <mergeCell ref="DN112:DO112"/>
    <mergeCell ref="DP112:DQ112"/>
    <mergeCell ref="DR112:DS112"/>
    <mergeCell ref="DT112:DU112"/>
    <mergeCell ref="DV112:DW112"/>
    <mergeCell ref="DX112:DY112"/>
    <mergeCell ref="DZ112:EA112"/>
    <mergeCell ref="EB112:EC112"/>
    <mergeCell ref="ED112:EE112"/>
    <mergeCell ref="EF112:EG112"/>
    <mergeCell ref="EH112:EI112"/>
    <mergeCell ref="EJ112:EK112"/>
    <mergeCell ref="EL112:EM112"/>
    <mergeCell ref="DN113:DO113"/>
    <mergeCell ref="DP113:DQ113"/>
    <mergeCell ref="DR113:DS113"/>
    <mergeCell ref="DT113:DU113"/>
    <mergeCell ref="DV113:DW113"/>
    <mergeCell ref="DX113:DY113"/>
    <mergeCell ref="DZ113:EA113"/>
    <mergeCell ref="EB113:EC113"/>
    <mergeCell ref="ED113:EE113"/>
    <mergeCell ref="EF113:EG113"/>
    <mergeCell ref="EH113:EI113"/>
    <mergeCell ref="EJ113:EK113"/>
    <mergeCell ref="EL113:EM113"/>
    <mergeCell ref="DN114:DO114"/>
    <mergeCell ref="DP114:DQ114"/>
    <mergeCell ref="DR114:DS114"/>
    <mergeCell ref="DT114:DU114"/>
    <mergeCell ref="DV114:DW114"/>
    <mergeCell ref="DX114:DY114"/>
    <mergeCell ref="DZ114:EA114"/>
    <mergeCell ref="EB114:EC114"/>
    <mergeCell ref="ED114:EE114"/>
    <mergeCell ref="EF114:EG114"/>
    <mergeCell ref="EH114:EI114"/>
    <mergeCell ref="EJ114:EK114"/>
    <mergeCell ref="EL114:EM114"/>
    <mergeCell ref="DN115:DO115"/>
    <mergeCell ref="DP115:DQ115"/>
    <mergeCell ref="DR115:DS115"/>
    <mergeCell ref="DT115:DU115"/>
    <mergeCell ref="DV115:DW115"/>
    <mergeCell ref="DX115:DY115"/>
    <mergeCell ref="DZ115:EA115"/>
    <mergeCell ref="EB115:EC115"/>
    <mergeCell ref="ED115:EE115"/>
    <mergeCell ref="EJ115:EK115"/>
    <mergeCell ref="EL115:EM115"/>
    <mergeCell ref="DN116:DO116"/>
    <mergeCell ref="DP116:DQ116"/>
    <mergeCell ref="DR116:DS116"/>
    <mergeCell ref="DT116:DU116"/>
    <mergeCell ref="DV116:DW116"/>
    <mergeCell ref="EF116:EG116"/>
    <mergeCell ref="EH116:EI116"/>
    <mergeCell ref="EJ116:EK116"/>
    <mergeCell ref="ED117:EE117"/>
    <mergeCell ref="DZ116:EA116"/>
    <mergeCell ref="EB116:EC116"/>
    <mergeCell ref="ED116:EE116"/>
    <mergeCell ref="EF115:EG115"/>
    <mergeCell ref="EH115:EI115"/>
    <mergeCell ref="DN117:DO117"/>
    <mergeCell ref="DP117:DQ117"/>
    <mergeCell ref="DR117:DS117"/>
    <mergeCell ref="DT117:DU117"/>
    <mergeCell ref="DV117:DW117"/>
    <mergeCell ref="DX117:DY117"/>
    <mergeCell ref="DX116:DY116"/>
    <mergeCell ref="DZ117:EA117"/>
    <mergeCell ref="EB117:EC117"/>
    <mergeCell ref="EX5:EY5"/>
    <mergeCell ref="EZ5:FA5"/>
    <mergeCell ref="ET10:EU10"/>
    <mergeCell ref="EV10:EW10"/>
    <mergeCell ref="EZ8:FA8"/>
    <mergeCell ref="EN12:EO12"/>
    <mergeCell ref="EP12:EQ12"/>
    <mergeCell ref="ER12:ES12"/>
    <mergeCell ref="ET12:EU12"/>
    <mergeCell ref="EV12:EW12"/>
    <mergeCell ref="EN14:EO14"/>
    <mergeCell ref="EP14:EQ14"/>
    <mergeCell ref="ER14:ES14"/>
    <mergeCell ref="ET14:EU14"/>
    <mergeCell ref="EV14:EW14"/>
    <mergeCell ref="EN16:EO16"/>
    <mergeCell ref="EP16:EQ16"/>
    <mergeCell ref="FB5:FC5"/>
    <mergeCell ref="EF117:EG117"/>
    <mergeCell ref="EH117:EI117"/>
    <mergeCell ref="EJ117:EK117"/>
    <mergeCell ref="EL117:EM117"/>
    <mergeCell ref="EN5:EO5"/>
    <mergeCell ref="EP5:EQ5"/>
    <mergeCell ref="EL116:EM116"/>
    <mergeCell ref="EN6:EO6"/>
    <mergeCell ref="EP6:EQ6"/>
    <mergeCell ref="ER6:ES6"/>
    <mergeCell ref="EN7:EO7"/>
    <mergeCell ref="EP7:EQ7"/>
    <mergeCell ref="ER7:ES7"/>
    <mergeCell ref="EN8:EO8"/>
    <mergeCell ref="ET6:EU6"/>
    <mergeCell ref="EV6:EW6"/>
    <mergeCell ref="ER5:ES5"/>
    <mergeCell ref="ET5:EU5"/>
    <mergeCell ref="EV5:EW5"/>
    <mergeCell ref="EN9:EO9"/>
    <mergeCell ref="EP9:EQ9"/>
    <mergeCell ref="ER9:ES9"/>
    <mergeCell ref="ET9:EU9"/>
    <mergeCell ref="EV9:EW9"/>
    <mergeCell ref="EX9:EY9"/>
    <mergeCell ref="EZ9:FA9"/>
    <mergeCell ref="FB9:FC9"/>
    <mergeCell ref="EX8:EY8"/>
    <mergeCell ref="EN10:EO10"/>
    <mergeCell ref="EP10:EQ10"/>
    <mergeCell ref="ER10:ES10"/>
    <mergeCell ref="FH6:FI6"/>
    <mergeCell ref="FD5:FE5"/>
    <mergeCell ref="FF5:FG5"/>
    <mergeCell ref="FH5:FI5"/>
    <mergeCell ref="FB7:FC7"/>
    <mergeCell ref="EX6:EY6"/>
    <mergeCell ref="FJ5:FK5"/>
    <mergeCell ref="FL5:FM5"/>
    <mergeCell ref="FL6:FM6"/>
    <mergeCell ref="FJ6:FK6"/>
    <mergeCell ref="FD6:FE6"/>
    <mergeCell ref="FF6:FG6"/>
    <mergeCell ref="EP8:EQ8"/>
    <mergeCell ref="ER8:ES8"/>
    <mergeCell ref="ET8:EU8"/>
    <mergeCell ref="EV8:EW8"/>
    <mergeCell ref="EZ6:FA6"/>
    <mergeCell ref="FB6:FC6"/>
    <mergeCell ref="ET7:EU7"/>
    <mergeCell ref="EV7:EW7"/>
    <mergeCell ref="EX7:EY7"/>
    <mergeCell ref="EZ7:FA7"/>
    <mergeCell ref="FH8:FI8"/>
    <mergeCell ref="FD7:FE7"/>
    <mergeCell ref="FF7:FG7"/>
    <mergeCell ref="FH7:FI7"/>
    <mergeCell ref="FJ7:FK7"/>
    <mergeCell ref="FL7:FM7"/>
    <mergeCell ref="FL8:FM8"/>
    <mergeCell ref="FJ8:FK8"/>
    <mergeCell ref="FD8:FE8"/>
    <mergeCell ref="FF8:FG8"/>
    <mergeCell ref="FB8:FC8"/>
    <mergeCell ref="FH10:FI10"/>
    <mergeCell ref="FD9:FE9"/>
    <mergeCell ref="FF9:FG9"/>
    <mergeCell ref="FH9:FI9"/>
    <mergeCell ref="FJ9:FK9"/>
    <mergeCell ref="FL9:FM9"/>
    <mergeCell ref="FL10:FM10"/>
    <mergeCell ref="FJ10:FK10"/>
    <mergeCell ref="FD10:FE10"/>
    <mergeCell ref="FF10:FG10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EX10:EY10"/>
    <mergeCell ref="EZ10:FA10"/>
    <mergeCell ref="FB10:FC10"/>
    <mergeCell ref="FH12:FI12"/>
    <mergeCell ref="FD11:FE11"/>
    <mergeCell ref="FF11:FG11"/>
    <mergeCell ref="FH11:FI11"/>
    <mergeCell ref="FJ11:FK11"/>
    <mergeCell ref="FL11:FM11"/>
    <mergeCell ref="FL12:FM12"/>
    <mergeCell ref="FJ12:FK12"/>
    <mergeCell ref="FD12:FE12"/>
    <mergeCell ref="FF12:FG12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EX12:EY12"/>
    <mergeCell ref="EZ12:FA12"/>
    <mergeCell ref="FB12:FC12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EX16:EY16"/>
    <mergeCell ref="FH14:FI14"/>
    <mergeCell ref="FD13:FE13"/>
    <mergeCell ref="FF13:FG13"/>
    <mergeCell ref="FH13:FI13"/>
    <mergeCell ref="FJ13:FK13"/>
    <mergeCell ref="FL13:FM13"/>
    <mergeCell ref="FL14:FM14"/>
    <mergeCell ref="FJ14:FK14"/>
    <mergeCell ref="FD14:FE14"/>
    <mergeCell ref="FF14:FG14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EX14:EY14"/>
    <mergeCell ref="EZ16:FA16"/>
    <mergeCell ref="FB16:FC16"/>
    <mergeCell ref="FD17:FE17"/>
    <mergeCell ref="FF17:FG17"/>
    <mergeCell ref="FH17:FI17"/>
    <mergeCell ref="FJ17:FK17"/>
    <mergeCell ref="FL17:FM17"/>
    <mergeCell ref="FL18:FM18"/>
    <mergeCell ref="FJ18:FK18"/>
    <mergeCell ref="FD18:FE18"/>
    <mergeCell ref="FF18:FG18"/>
    <mergeCell ref="ER16:ES16"/>
    <mergeCell ref="ET16:EU16"/>
    <mergeCell ref="EV16:EW16"/>
    <mergeCell ref="EZ14:FA14"/>
    <mergeCell ref="FB14:FC14"/>
    <mergeCell ref="FH16:FI16"/>
    <mergeCell ref="FD15:FE15"/>
    <mergeCell ref="FF15:FG15"/>
    <mergeCell ref="FH15:FI15"/>
    <mergeCell ref="FJ15:FK15"/>
    <mergeCell ref="FL15:FM15"/>
    <mergeCell ref="FL16:FM16"/>
    <mergeCell ref="FJ16:FK16"/>
    <mergeCell ref="FD16:FE16"/>
    <mergeCell ref="FF16:FG16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EX18:EY18"/>
    <mergeCell ref="EN20:EO20"/>
    <mergeCell ref="EP20:EQ20"/>
    <mergeCell ref="ER20:ES20"/>
    <mergeCell ref="ET20:EU20"/>
    <mergeCell ref="EV20:EW20"/>
    <mergeCell ref="EZ18:FA18"/>
    <mergeCell ref="FB18:FC18"/>
    <mergeCell ref="FH20:FI20"/>
    <mergeCell ref="FD19:FE19"/>
    <mergeCell ref="FF19:FG19"/>
    <mergeCell ref="FH19:FI19"/>
    <mergeCell ref="EN18:EO18"/>
    <mergeCell ref="EP18:EQ18"/>
    <mergeCell ref="ER18:ES18"/>
    <mergeCell ref="ET18:EU18"/>
    <mergeCell ref="EV18:EW18"/>
    <mergeCell ref="FH18:FI18"/>
    <mergeCell ref="FJ19:FK19"/>
    <mergeCell ref="FL19:FM19"/>
    <mergeCell ref="FL20:FM20"/>
    <mergeCell ref="FJ20:FK20"/>
    <mergeCell ref="FD20:FE20"/>
    <mergeCell ref="FF20:FG20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EX20:EY20"/>
    <mergeCell ref="EN22:EO22"/>
    <mergeCell ref="EP22:EQ22"/>
    <mergeCell ref="ER22:ES22"/>
    <mergeCell ref="ET22:EU22"/>
    <mergeCell ref="EV22:EW22"/>
    <mergeCell ref="EZ20:FA20"/>
    <mergeCell ref="FB20:FC20"/>
    <mergeCell ref="FH22:FI22"/>
    <mergeCell ref="FD21:FE21"/>
    <mergeCell ref="FF21:FG21"/>
    <mergeCell ref="FH21:FI21"/>
    <mergeCell ref="FJ21:FK21"/>
    <mergeCell ref="FL21:FM21"/>
    <mergeCell ref="FL22:FM22"/>
    <mergeCell ref="FJ22:FK22"/>
    <mergeCell ref="FD22:FE22"/>
    <mergeCell ref="FF22:FG22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EX22:EY22"/>
    <mergeCell ref="EN24:EO24"/>
    <mergeCell ref="EP24:EQ24"/>
    <mergeCell ref="ER24:ES24"/>
    <mergeCell ref="ET24:EU24"/>
    <mergeCell ref="EV24:EW24"/>
    <mergeCell ref="EZ22:FA22"/>
    <mergeCell ref="FB22:FC22"/>
    <mergeCell ref="FH24:FI24"/>
    <mergeCell ref="FD23:FE23"/>
    <mergeCell ref="FF23:FG23"/>
    <mergeCell ref="FH23:FI23"/>
    <mergeCell ref="FJ23:FK23"/>
    <mergeCell ref="FL23:FM23"/>
    <mergeCell ref="FL24:FM24"/>
    <mergeCell ref="FJ24:FK24"/>
    <mergeCell ref="FD24:FE24"/>
    <mergeCell ref="FF24:FG24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EX24:EY24"/>
    <mergeCell ref="EN26:EO26"/>
    <mergeCell ref="EP26:EQ26"/>
    <mergeCell ref="ER26:ES26"/>
    <mergeCell ref="ET26:EU26"/>
    <mergeCell ref="EV26:EW26"/>
    <mergeCell ref="EZ24:FA24"/>
    <mergeCell ref="FB24:FC24"/>
    <mergeCell ref="FH26:FI26"/>
    <mergeCell ref="FD25:FE25"/>
    <mergeCell ref="FF25:FG25"/>
    <mergeCell ref="FH25:FI25"/>
    <mergeCell ref="FJ25:FK25"/>
    <mergeCell ref="FL25:FM25"/>
    <mergeCell ref="FL26:FM26"/>
    <mergeCell ref="FJ26:FK26"/>
    <mergeCell ref="FD26:FE26"/>
    <mergeCell ref="FF26:FG26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EX26:EY26"/>
    <mergeCell ref="EN28:EO28"/>
    <mergeCell ref="EP28:EQ28"/>
    <mergeCell ref="ER28:ES28"/>
    <mergeCell ref="ET28:EU28"/>
    <mergeCell ref="EV28:EW28"/>
    <mergeCell ref="EZ26:FA26"/>
    <mergeCell ref="FB26:FC26"/>
    <mergeCell ref="FH28:FI28"/>
    <mergeCell ref="FD27:FE27"/>
    <mergeCell ref="FF27:FG27"/>
    <mergeCell ref="FH27:FI27"/>
    <mergeCell ref="FJ27:FK27"/>
    <mergeCell ref="FL27:FM27"/>
    <mergeCell ref="FL28:FM28"/>
    <mergeCell ref="FJ28:FK28"/>
    <mergeCell ref="FD28:FE28"/>
    <mergeCell ref="FF28:FG28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EX28:EY28"/>
    <mergeCell ref="EN30:EO30"/>
    <mergeCell ref="EP30:EQ30"/>
    <mergeCell ref="ER30:ES30"/>
    <mergeCell ref="ET30:EU30"/>
    <mergeCell ref="EV30:EW30"/>
    <mergeCell ref="EZ28:FA28"/>
    <mergeCell ref="FB28:FC28"/>
    <mergeCell ref="FH30:FI30"/>
    <mergeCell ref="FD29:FE29"/>
    <mergeCell ref="FF29:FG29"/>
    <mergeCell ref="FH29:FI29"/>
    <mergeCell ref="FJ29:FK29"/>
    <mergeCell ref="FL29:FM29"/>
    <mergeCell ref="FL30:FM30"/>
    <mergeCell ref="FJ30:FK30"/>
    <mergeCell ref="FD30:FE30"/>
    <mergeCell ref="FF30:FG30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EX30:EY30"/>
    <mergeCell ref="EN32:EO32"/>
    <mergeCell ref="EP32:EQ32"/>
    <mergeCell ref="ER32:ES32"/>
    <mergeCell ref="ET32:EU32"/>
    <mergeCell ref="EV32:EW32"/>
    <mergeCell ref="EZ30:FA30"/>
    <mergeCell ref="FB30:FC30"/>
    <mergeCell ref="FH32:FI32"/>
    <mergeCell ref="FD31:FE31"/>
    <mergeCell ref="FF31:FG31"/>
    <mergeCell ref="FH31:FI31"/>
    <mergeCell ref="FJ31:FK31"/>
    <mergeCell ref="FL31:FM31"/>
    <mergeCell ref="FL32:FM32"/>
    <mergeCell ref="FJ32:FK32"/>
    <mergeCell ref="FD32:FE32"/>
    <mergeCell ref="FF32:FG32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EX32:EY32"/>
    <mergeCell ref="EN34:EO34"/>
    <mergeCell ref="EP34:EQ34"/>
    <mergeCell ref="ER34:ES34"/>
    <mergeCell ref="ET34:EU34"/>
    <mergeCell ref="EV34:EW34"/>
    <mergeCell ref="EZ32:FA32"/>
    <mergeCell ref="FB32:FC32"/>
    <mergeCell ref="FH34:FI34"/>
    <mergeCell ref="FD33:FE33"/>
    <mergeCell ref="FF33:FG33"/>
    <mergeCell ref="FH33:FI33"/>
    <mergeCell ref="FJ33:FK33"/>
    <mergeCell ref="FL33:FM33"/>
    <mergeCell ref="FL34:FM34"/>
    <mergeCell ref="FJ34:FK34"/>
    <mergeCell ref="FD34:FE34"/>
    <mergeCell ref="FF34:FG34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EX34:EY34"/>
    <mergeCell ref="EN36:EO36"/>
    <mergeCell ref="EP36:EQ36"/>
    <mergeCell ref="ER36:ES36"/>
    <mergeCell ref="ET36:EU36"/>
    <mergeCell ref="EV36:EW36"/>
    <mergeCell ref="EZ34:FA34"/>
    <mergeCell ref="FB34:FC34"/>
    <mergeCell ref="FH36:FI36"/>
    <mergeCell ref="FD35:FE35"/>
    <mergeCell ref="FF35:FG35"/>
    <mergeCell ref="FH35:FI35"/>
    <mergeCell ref="FJ35:FK35"/>
    <mergeCell ref="FL35:FM35"/>
    <mergeCell ref="FL36:FM36"/>
    <mergeCell ref="FJ36:FK36"/>
    <mergeCell ref="FD36:FE36"/>
    <mergeCell ref="FF36:FG36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EX36:EY36"/>
    <mergeCell ref="EN38:EO38"/>
    <mergeCell ref="EP38:EQ38"/>
    <mergeCell ref="ER38:ES38"/>
    <mergeCell ref="ET38:EU38"/>
    <mergeCell ref="EV38:EW38"/>
    <mergeCell ref="EZ36:FA36"/>
    <mergeCell ref="FB36:FC36"/>
    <mergeCell ref="FH38:FI38"/>
    <mergeCell ref="FD37:FE37"/>
    <mergeCell ref="FF37:FG37"/>
    <mergeCell ref="FH37:FI37"/>
    <mergeCell ref="FJ37:FK37"/>
    <mergeCell ref="FL37:FM37"/>
    <mergeCell ref="FL38:FM38"/>
    <mergeCell ref="FJ38:FK38"/>
    <mergeCell ref="FD38:FE38"/>
    <mergeCell ref="FF38:FG38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EX38:EY38"/>
    <mergeCell ref="EN40:EO40"/>
    <mergeCell ref="EP40:EQ40"/>
    <mergeCell ref="ER40:ES40"/>
    <mergeCell ref="ET40:EU40"/>
    <mergeCell ref="EV40:EW40"/>
    <mergeCell ref="EZ38:FA38"/>
    <mergeCell ref="FB38:FC38"/>
    <mergeCell ref="FH40:FI40"/>
    <mergeCell ref="FD39:FE39"/>
    <mergeCell ref="FF39:FG39"/>
    <mergeCell ref="FH39:FI39"/>
    <mergeCell ref="FJ39:FK39"/>
    <mergeCell ref="FL39:FM39"/>
    <mergeCell ref="FL40:FM40"/>
    <mergeCell ref="FJ40:FK40"/>
    <mergeCell ref="FD40:FE40"/>
    <mergeCell ref="FF40:FG40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EX40:EY40"/>
    <mergeCell ref="EN42:EO42"/>
    <mergeCell ref="EP42:EQ42"/>
    <mergeCell ref="ER42:ES42"/>
    <mergeCell ref="ET42:EU42"/>
    <mergeCell ref="EV42:EW42"/>
    <mergeCell ref="EZ40:FA40"/>
    <mergeCell ref="FB40:FC40"/>
    <mergeCell ref="FH42:FI42"/>
    <mergeCell ref="FD41:FE41"/>
    <mergeCell ref="FF41:FG41"/>
    <mergeCell ref="FH41:FI41"/>
    <mergeCell ref="FJ41:FK41"/>
    <mergeCell ref="FL41:FM41"/>
    <mergeCell ref="FL42:FM42"/>
    <mergeCell ref="FJ42:FK42"/>
    <mergeCell ref="FD42:FE42"/>
    <mergeCell ref="FF42:FG42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EX42:EY42"/>
    <mergeCell ref="EN44:EO44"/>
    <mergeCell ref="EP44:EQ44"/>
    <mergeCell ref="ER44:ES44"/>
    <mergeCell ref="ET44:EU44"/>
    <mergeCell ref="EV44:EW44"/>
    <mergeCell ref="EZ42:FA42"/>
    <mergeCell ref="FB42:FC42"/>
    <mergeCell ref="FH44:FI44"/>
    <mergeCell ref="FD43:FE43"/>
    <mergeCell ref="FF43:FG43"/>
    <mergeCell ref="FH43:FI43"/>
    <mergeCell ref="FJ43:FK43"/>
    <mergeCell ref="FL43:FM43"/>
    <mergeCell ref="FL44:FM44"/>
    <mergeCell ref="FJ44:FK44"/>
    <mergeCell ref="FD44:FE44"/>
    <mergeCell ref="FF44:FG44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EX44:EY44"/>
    <mergeCell ref="EN46:EO46"/>
    <mergeCell ref="EP46:EQ46"/>
    <mergeCell ref="ER46:ES46"/>
    <mergeCell ref="ET46:EU46"/>
    <mergeCell ref="EV46:EW46"/>
    <mergeCell ref="EZ44:FA44"/>
    <mergeCell ref="FB44:FC44"/>
    <mergeCell ref="FH46:FI46"/>
    <mergeCell ref="FD45:FE45"/>
    <mergeCell ref="FF45:FG45"/>
    <mergeCell ref="FH45:FI45"/>
    <mergeCell ref="FJ45:FK45"/>
    <mergeCell ref="FL45:FM45"/>
    <mergeCell ref="FL46:FM46"/>
    <mergeCell ref="FJ46:FK46"/>
    <mergeCell ref="FD46:FE46"/>
    <mergeCell ref="FF46:FG46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EX46:EY46"/>
    <mergeCell ref="EN48:EO48"/>
    <mergeCell ref="EP48:EQ48"/>
    <mergeCell ref="ER48:ES48"/>
    <mergeCell ref="ET48:EU48"/>
    <mergeCell ref="EV48:EW48"/>
    <mergeCell ref="EZ46:FA46"/>
    <mergeCell ref="FB46:FC46"/>
    <mergeCell ref="FH48:FI48"/>
    <mergeCell ref="FD47:FE47"/>
    <mergeCell ref="FF47:FG47"/>
    <mergeCell ref="FH47:FI47"/>
    <mergeCell ref="FJ47:FK47"/>
    <mergeCell ref="FL47:FM47"/>
    <mergeCell ref="FL48:FM48"/>
    <mergeCell ref="FJ48:FK48"/>
    <mergeCell ref="FD48:FE48"/>
    <mergeCell ref="FF48:FG48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EX48:EY48"/>
    <mergeCell ref="EN50:EO50"/>
    <mergeCell ref="EP50:EQ50"/>
    <mergeCell ref="ER50:ES50"/>
    <mergeCell ref="ET50:EU50"/>
    <mergeCell ref="EV50:EW50"/>
    <mergeCell ref="EZ48:FA48"/>
    <mergeCell ref="FB48:FC48"/>
    <mergeCell ref="FH50:FI50"/>
    <mergeCell ref="FD49:FE49"/>
    <mergeCell ref="FF49:FG49"/>
    <mergeCell ref="FH49:FI49"/>
    <mergeCell ref="FJ49:FK49"/>
    <mergeCell ref="FL49:FM49"/>
    <mergeCell ref="FL50:FM50"/>
    <mergeCell ref="FJ50:FK50"/>
    <mergeCell ref="FD50:FE50"/>
    <mergeCell ref="FF50:FG50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EX50:EY50"/>
    <mergeCell ref="EN52:EO52"/>
    <mergeCell ref="EP52:EQ52"/>
    <mergeCell ref="ER52:ES52"/>
    <mergeCell ref="ET52:EU52"/>
    <mergeCell ref="EV52:EW52"/>
    <mergeCell ref="EZ50:FA50"/>
    <mergeCell ref="FB50:FC50"/>
    <mergeCell ref="FH52:FI52"/>
    <mergeCell ref="FD51:FE51"/>
    <mergeCell ref="FF51:FG51"/>
    <mergeCell ref="FH51:FI51"/>
    <mergeCell ref="FJ51:FK51"/>
    <mergeCell ref="FL51:FM51"/>
    <mergeCell ref="FL52:FM52"/>
    <mergeCell ref="FJ52:FK52"/>
    <mergeCell ref="FD52:FE52"/>
    <mergeCell ref="FF52:FG52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EX52:EY52"/>
    <mergeCell ref="EN54:EO54"/>
    <mergeCell ref="EP54:EQ54"/>
    <mergeCell ref="ER54:ES54"/>
    <mergeCell ref="ET54:EU54"/>
    <mergeCell ref="EV54:EW54"/>
    <mergeCell ref="EZ52:FA52"/>
    <mergeCell ref="FB52:FC52"/>
    <mergeCell ref="FH54:FI54"/>
    <mergeCell ref="FD53:FE53"/>
    <mergeCell ref="FF53:FG53"/>
    <mergeCell ref="FH53:FI53"/>
    <mergeCell ref="FJ53:FK53"/>
    <mergeCell ref="FL53:FM53"/>
    <mergeCell ref="FL54:FM54"/>
    <mergeCell ref="FJ54:FK54"/>
    <mergeCell ref="FD54:FE54"/>
    <mergeCell ref="FF54:FG54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EX54:EY54"/>
    <mergeCell ref="EN56:EO56"/>
    <mergeCell ref="EP56:EQ56"/>
    <mergeCell ref="ER56:ES56"/>
    <mergeCell ref="ET56:EU56"/>
    <mergeCell ref="EV56:EW56"/>
    <mergeCell ref="EZ54:FA54"/>
    <mergeCell ref="FB54:FC54"/>
    <mergeCell ref="FH56:FI56"/>
    <mergeCell ref="FD55:FE55"/>
    <mergeCell ref="FF55:FG55"/>
    <mergeCell ref="FH55:FI55"/>
    <mergeCell ref="FJ55:FK55"/>
    <mergeCell ref="FL55:FM55"/>
    <mergeCell ref="FL56:FM56"/>
    <mergeCell ref="FJ56:FK56"/>
    <mergeCell ref="FD56:FE56"/>
    <mergeCell ref="FF56:FG56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EX56:EY56"/>
    <mergeCell ref="EN58:EO58"/>
    <mergeCell ref="EP58:EQ58"/>
    <mergeCell ref="ER58:ES58"/>
    <mergeCell ref="ET58:EU58"/>
    <mergeCell ref="EV58:EW58"/>
    <mergeCell ref="EZ56:FA56"/>
    <mergeCell ref="FB56:FC56"/>
    <mergeCell ref="FH58:FI58"/>
    <mergeCell ref="FD57:FE57"/>
    <mergeCell ref="FF57:FG57"/>
    <mergeCell ref="FH57:FI57"/>
    <mergeCell ref="FJ57:FK57"/>
    <mergeCell ref="FL57:FM57"/>
    <mergeCell ref="FL58:FM58"/>
    <mergeCell ref="FJ58:FK58"/>
    <mergeCell ref="FD58:FE58"/>
    <mergeCell ref="FF58:FG58"/>
    <mergeCell ref="EN59:EO59"/>
    <mergeCell ref="EP59:EQ59"/>
    <mergeCell ref="ER59:ES59"/>
    <mergeCell ref="ET59:EU59"/>
    <mergeCell ref="EV59:EW59"/>
    <mergeCell ref="EX59:EY59"/>
    <mergeCell ref="EZ59:FA59"/>
    <mergeCell ref="FB59:FC59"/>
    <mergeCell ref="EX58:EY58"/>
    <mergeCell ref="EN60:EO60"/>
    <mergeCell ref="EP60:EQ60"/>
    <mergeCell ref="ER60:ES60"/>
    <mergeCell ref="ET60:EU60"/>
    <mergeCell ref="EV60:EW60"/>
    <mergeCell ref="EZ58:FA58"/>
    <mergeCell ref="FB58:FC58"/>
    <mergeCell ref="FH60:FI60"/>
    <mergeCell ref="FD59:FE59"/>
    <mergeCell ref="FF59:FG59"/>
    <mergeCell ref="FH59:FI59"/>
    <mergeCell ref="FJ59:FK59"/>
    <mergeCell ref="FL59:FM59"/>
    <mergeCell ref="FL60:FM60"/>
    <mergeCell ref="FJ60:FK60"/>
    <mergeCell ref="FD60:FE60"/>
    <mergeCell ref="FF60:FG60"/>
    <mergeCell ref="EN61:EO61"/>
    <mergeCell ref="EP61:EQ61"/>
    <mergeCell ref="ER61:ES61"/>
    <mergeCell ref="ET61:EU61"/>
    <mergeCell ref="EV61:EW61"/>
    <mergeCell ref="EX61:EY61"/>
    <mergeCell ref="EZ61:FA61"/>
    <mergeCell ref="FB61:FC61"/>
    <mergeCell ref="EX60:EY60"/>
    <mergeCell ref="EN62:EO62"/>
    <mergeCell ref="EP62:EQ62"/>
    <mergeCell ref="ER62:ES62"/>
    <mergeCell ref="ET62:EU62"/>
    <mergeCell ref="EV62:EW62"/>
    <mergeCell ref="EZ60:FA60"/>
    <mergeCell ref="FB60:FC60"/>
    <mergeCell ref="FH62:FI62"/>
    <mergeCell ref="FD61:FE61"/>
    <mergeCell ref="FF61:FG61"/>
    <mergeCell ref="FH61:FI61"/>
    <mergeCell ref="FJ61:FK61"/>
    <mergeCell ref="FL61:FM61"/>
    <mergeCell ref="FL62:FM62"/>
    <mergeCell ref="FJ62:FK62"/>
    <mergeCell ref="FD62:FE62"/>
    <mergeCell ref="FF62:FG62"/>
    <mergeCell ref="EN63:EO63"/>
    <mergeCell ref="EP63:EQ63"/>
    <mergeCell ref="ER63:ES63"/>
    <mergeCell ref="ET63:EU63"/>
    <mergeCell ref="EV63:EW63"/>
    <mergeCell ref="EX63:EY63"/>
    <mergeCell ref="EZ63:FA63"/>
    <mergeCell ref="FB63:FC63"/>
    <mergeCell ref="EX62:EY62"/>
    <mergeCell ref="EN64:EO64"/>
    <mergeCell ref="EP64:EQ64"/>
    <mergeCell ref="ER64:ES64"/>
    <mergeCell ref="ET64:EU64"/>
    <mergeCell ref="EV64:EW64"/>
    <mergeCell ref="EZ62:FA62"/>
    <mergeCell ref="FB62:FC62"/>
    <mergeCell ref="FH64:FI64"/>
    <mergeCell ref="FD63:FE63"/>
    <mergeCell ref="FF63:FG63"/>
    <mergeCell ref="FH63:FI63"/>
    <mergeCell ref="FJ63:FK63"/>
    <mergeCell ref="FL63:FM63"/>
    <mergeCell ref="FL64:FM64"/>
    <mergeCell ref="FJ64:FK64"/>
    <mergeCell ref="FD64:FE64"/>
    <mergeCell ref="FF64:FG64"/>
    <mergeCell ref="EN65:EO65"/>
    <mergeCell ref="EP65:EQ65"/>
    <mergeCell ref="ER65:ES65"/>
    <mergeCell ref="ET65:EU65"/>
    <mergeCell ref="EV65:EW65"/>
    <mergeCell ref="EX65:EY65"/>
    <mergeCell ref="EZ65:FA65"/>
    <mergeCell ref="FB65:FC65"/>
    <mergeCell ref="EX64:EY64"/>
    <mergeCell ref="EN66:EO66"/>
    <mergeCell ref="EP66:EQ66"/>
    <mergeCell ref="ER66:ES66"/>
    <mergeCell ref="ET66:EU66"/>
    <mergeCell ref="EV66:EW66"/>
    <mergeCell ref="EZ64:FA64"/>
    <mergeCell ref="FB64:FC64"/>
    <mergeCell ref="FH66:FI66"/>
    <mergeCell ref="FD65:FE65"/>
    <mergeCell ref="FF65:FG65"/>
    <mergeCell ref="FH65:FI65"/>
    <mergeCell ref="FJ65:FK65"/>
    <mergeCell ref="FL65:FM65"/>
    <mergeCell ref="FL66:FM66"/>
    <mergeCell ref="FJ66:FK66"/>
    <mergeCell ref="FD66:FE66"/>
    <mergeCell ref="FF66:FG66"/>
    <mergeCell ref="EN67:EO67"/>
    <mergeCell ref="EP67:EQ67"/>
    <mergeCell ref="ER67:ES67"/>
    <mergeCell ref="ET67:EU67"/>
    <mergeCell ref="EV67:EW67"/>
    <mergeCell ref="EX67:EY67"/>
    <mergeCell ref="EZ67:FA67"/>
    <mergeCell ref="FB67:FC67"/>
    <mergeCell ref="EX66:EY66"/>
    <mergeCell ref="EN68:EO68"/>
    <mergeCell ref="EP68:EQ68"/>
    <mergeCell ref="ER68:ES68"/>
    <mergeCell ref="ET68:EU68"/>
    <mergeCell ref="EV68:EW68"/>
    <mergeCell ref="EZ66:FA66"/>
    <mergeCell ref="FB66:FC66"/>
    <mergeCell ref="FH68:FI68"/>
    <mergeCell ref="FD67:FE67"/>
    <mergeCell ref="FF67:FG67"/>
    <mergeCell ref="FH67:FI67"/>
    <mergeCell ref="FJ67:FK67"/>
    <mergeCell ref="FL67:FM67"/>
    <mergeCell ref="FL68:FM68"/>
    <mergeCell ref="FJ68:FK68"/>
    <mergeCell ref="FD68:FE68"/>
    <mergeCell ref="FF68:FG68"/>
    <mergeCell ref="EN69:EO69"/>
    <mergeCell ref="EP69:EQ69"/>
    <mergeCell ref="ER69:ES69"/>
    <mergeCell ref="ET69:EU69"/>
    <mergeCell ref="EV69:EW69"/>
    <mergeCell ref="EX69:EY69"/>
    <mergeCell ref="EZ69:FA69"/>
    <mergeCell ref="FB69:FC69"/>
    <mergeCell ref="EX68:EY68"/>
    <mergeCell ref="EN70:EO70"/>
    <mergeCell ref="EP70:EQ70"/>
    <mergeCell ref="ER70:ES70"/>
    <mergeCell ref="ET70:EU70"/>
    <mergeCell ref="EV70:EW70"/>
    <mergeCell ref="EZ68:FA68"/>
    <mergeCell ref="FB68:FC68"/>
    <mergeCell ref="FH70:FI70"/>
    <mergeCell ref="FD69:FE69"/>
    <mergeCell ref="FF69:FG69"/>
    <mergeCell ref="FH69:FI69"/>
    <mergeCell ref="FJ69:FK69"/>
    <mergeCell ref="FL69:FM69"/>
    <mergeCell ref="FL70:FM70"/>
    <mergeCell ref="FJ70:FK70"/>
    <mergeCell ref="FD70:FE70"/>
    <mergeCell ref="FF70:FG70"/>
    <mergeCell ref="EN71:EO71"/>
    <mergeCell ref="EP71:EQ71"/>
    <mergeCell ref="ER71:ES71"/>
    <mergeCell ref="ET71:EU71"/>
    <mergeCell ref="EV71:EW71"/>
    <mergeCell ref="EX71:EY71"/>
    <mergeCell ref="EZ71:FA71"/>
    <mergeCell ref="FB71:FC71"/>
    <mergeCell ref="EX70:EY70"/>
    <mergeCell ref="EN72:EO72"/>
    <mergeCell ref="EP72:EQ72"/>
    <mergeCell ref="ER72:ES72"/>
    <mergeCell ref="ET72:EU72"/>
    <mergeCell ref="EV72:EW72"/>
    <mergeCell ref="EZ70:FA70"/>
    <mergeCell ref="FB70:FC70"/>
    <mergeCell ref="FH72:FI72"/>
    <mergeCell ref="FD71:FE71"/>
    <mergeCell ref="FF71:FG71"/>
    <mergeCell ref="FH71:FI71"/>
    <mergeCell ref="FJ71:FK71"/>
    <mergeCell ref="FL71:FM71"/>
    <mergeCell ref="FL72:FM72"/>
    <mergeCell ref="FJ72:FK72"/>
    <mergeCell ref="FD72:FE72"/>
    <mergeCell ref="FF72:FG72"/>
    <mergeCell ref="EN73:EO73"/>
    <mergeCell ref="EP73:EQ73"/>
    <mergeCell ref="ER73:ES73"/>
    <mergeCell ref="ET73:EU73"/>
    <mergeCell ref="EV73:EW73"/>
    <mergeCell ref="EX73:EY73"/>
    <mergeCell ref="EZ73:FA73"/>
    <mergeCell ref="FB73:FC73"/>
    <mergeCell ref="EX72:EY72"/>
    <mergeCell ref="EN74:EO74"/>
    <mergeCell ref="EP74:EQ74"/>
    <mergeCell ref="ER74:ES74"/>
    <mergeCell ref="ET74:EU74"/>
    <mergeCell ref="EV74:EW74"/>
    <mergeCell ref="EZ72:FA72"/>
    <mergeCell ref="FB72:FC72"/>
    <mergeCell ref="FH74:FI74"/>
    <mergeCell ref="FD73:FE73"/>
    <mergeCell ref="FF73:FG73"/>
    <mergeCell ref="FH73:FI73"/>
    <mergeCell ref="FJ73:FK73"/>
    <mergeCell ref="FL73:FM73"/>
    <mergeCell ref="FL74:FM74"/>
    <mergeCell ref="FJ74:FK74"/>
    <mergeCell ref="FD74:FE74"/>
    <mergeCell ref="FF74:FG74"/>
    <mergeCell ref="EN75:EO75"/>
    <mergeCell ref="EP75:EQ75"/>
    <mergeCell ref="ER75:ES75"/>
    <mergeCell ref="ET75:EU75"/>
    <mergeCell ref="EV75:EW75"/>
    <mergeCell ref="EX75:EY75"/>
    <mergeCell ref="EZ75:FA75"/>
    <mergeCell ref="FB75:FC75"/>
    <mergeCell ref="EX74:EY74"/>
    <mergeCell ref="EN76:EO76"/>
    <mergeCell ref="EP76:EQ76"/>
    <mergeCell ref="ER76:ES76"/>
    <mergeCell ref="ET76:EU76"/>
    <mergeCell ref="EV76:EW76"/>
    <mergeCell ref="EZ74:FA74"/>
    <mergeCell ref="FB74:FC74"/>
    <mergeCell ref="FH76:FI76"/>
    <mergeCell ref="FD75:FE75"/>
    <mergeCell ref="FF75:FG75"/>
    <mergeCell ref="FH75:FI75"/>
    <mergeCell ref="FJ75:FK75"/>
    <mergeCell ref="FL75:FM75"/>
    <mergeCell ref="FL76:FM76"/>
    <mergeCell ref="FJ76:FK76"/>
    <mergeCell ref="FD76:FE76"/>
    <mergeCell ref="FF76:FG76"/>
    <mergeCell ref="EN77:EO77"/>
    <mergeCell ref="EP77:EQ77"/>
    <mergeCell ref="ER77:ES77"/>
    <mergeCell ref="ET77:EU77"/>
    <mergeCell ref="EV77:EW77"/>
    <mergeCell ref="EX77:EY77"/>
    <mergeCell ref="EZ77:FA77"/>
    <mergeCell ref="FB77:FC77"/>
    <mergeCell ref="EX76:EY76"/>
    <mergeCell ref="EN78:EO78"/>
    <mergeCell ref="EP78:EQ78"/>
    <mergeCell ref="ER78:ES78"/>
    <mergeCell ref="ET78:EU78"/>
    <mergeCell ref="EV78:EW78"/>
    <mergeCell ref="EZ76:FA76"/>
    <mergeCell ref="FB76:FC76"/>
    <mergeCell ref="FH78:FI78"/>
    <mergeCell ref="FD77:FE77"/>
    <mergeCell ref="FF77:FG77"/>
    <mergeCell ref="FH77:FI77"/>
    <mergeCell ref="FJ77:FK77"/>
    <mergeCell ref="FL77:FM77"/>
    <mergeCell ref="FL78:FM78"/>
    <mergeCell ref="FJ78:FK78"/>
    <mergeCell ref="FD78:FE78"/>
    <mergeCell ref="FF78:FG78"/>
    <mergeCell ref="EN79:EO79"/>
    <mergeCell ref="EP79:EQ79"/>
    <mergeCell ref="ER79:ES79"/>
    <mergeCell ref="ET79:EU79"/>
    <mergeCell ref="EV79:EW79"/>
    <mergeCell ref="EX79:EY79"/>
    <mergeCell ref="EZ79:FA79"/>
    <mergeCell ref="FB79:FC79"/>
    <mergeCell ref="EX78:EY78"/>
    <mergeCell ref="EN80:EO80"/>
    <mergeCell ref="EP80:EQ80"/>
    <mergeCell ref="ER80:ES80"/>
    <mergeCell ref="ET80:EU80"/>
    <mergeCell ref="EV80:EW80"/>
    <mergeCell ref="EZ78:FA78"/>
    <mergeCell ref="FB78:FC78"/>
    <mergeCell ref="FH80:FI80"/>
    <mergeCell ref="FD79:FE79"/>
    <mergeCell ref="FF79:FG79"/>
    <mergeCell ref="FH79:FI79"/>
    <mergeCell ref="FJ79:FK79"/>
    <mergeCell ref="FL79:FM79"/>
    <mergeCell ref="FL80:FM80"/>
    <mergeCell ref="FJ80:FK80"/>
    <mergeCell ref="FD80:FE80"/>
    <mergeCell ref="FF80:FG80"/>
    <mergeCell ref="EN81:EO81"/>
    <mergeCell ref="EP81:EQ81"/>
    <mergeCell ref="ER81:ES81"/>
    <mergeCell ref="ET81:EU81"/>
    <mergeCell ref="EV81:EW81"/>
    <mergeCell ref="EX81:EY81"/>
    <mergeCell ref="EZ81:FA81"/>
    <mergeCell ref="FB81:FC81"/>
    <mergeCell ref="EX80:EY80"/>
    <mergeCell ref="EN82:EO82"/>
    <mergeCell ref="EP82:EQ82"/>
    <mergeCell ref="ER82:ES82"/>
    <mergeCell ref="ET82:EU82"/>
    <mergeCell ref="EV82:EW82"/>
    <mergeCell ref="EZ80:FA80"/>
    <mergeCell ref="FB80:FC80"/>
    <mergeCell ref="FH82:FI82"/>
    <mergeCell ref="FD81:FE81"/>
    <mergeCell ref="FF81:FG81"/>
    <mergeCell ref="FH81:FI81"/>
    <mergeCell ref="FJ81:FK81"/>
    <mergeCell ref="FL81:FM81"/>
    <mergeCell ref="FL82:FM82"/>
    <mergeCell ref="FJ82:FK82"/>
    <mergeCell ref="FD82:FE82"/>
    <mergeCell ref="FF82:FG82"/>
    <mergeCell ref="EN83:EO83"/>
    <mergeCell ref="EP83:EQ83"/>
    <mergeCell ref="ER83:ES83"/>
    <mergeCell ref="ET83:EU83"/>
    <mergeCell ref="EV83:EW83"/>
    <mergeCell ref="EX83:EY83"/>
    <mergeCell ref="EZ83:FA83"/>
    <mergeCell ref="FB83:FC83"/>
    <mergeCell ref="EX82:EY82"/>
    <mergeCell ref="EN84:EO84"/>
    <mergeCell ref="EP84:EQ84"/>
    <mergeCell ref="ER84:ES84"/>
    <mergeCell ref="ET84:EU84"/>
    <mergeCell ref="EV84:EW84"/>
    <mergeCell ref="EZ82:FA82"/>
    <mergeCell ref="FB82:FC82"/>
    <mergeCell ref="FH84:FI84"/>
    <mergeCell ref="FD83:FE83"/>
    <mergeCell ref="FF83:FG83"/>
    <mergeCell ref="FH83:FI83"/>
    <mergeCell ref="FJ83:FK83"/>
    <mergeCell ref="FL83:FM83"/>
    <mergeCell ref="FL84:FM84"/>
    <mergeCell ref="FJ84:FK84"/>
    <mergeCell ref="FD84:FE84"/>
    <mergeCell ref="FF84:FG84"/>
    <mergeCell ref="EN85:EO85"/>
    <mergeCell ref="EP85:EQ85"/>
    <mergeCell ref="ER85:ES85"/>
    <mergeCell ref="ET85:EU85"/>
    <mergeCell ref="EV85:EW85"/>
    <mergeCell ref="EX85:EY85"/>
    <mergeCell ref="EZ85:FA85"/>
    <mergeCell ref="FB85:FC85"/>
    <mergeCell ref="EX84:EY84"/>
    <mergeCell ref="EN86:EO86"/>
    <mergeCell ref="EP86:EQ86"/>
    <mergeCell ref="ER86:ES86"/>
    <mergeCell ref="ET86:EU86"/>
    <mergeCell ref="EV86:EW86"/>
    <mergeCell ref="EZ84:FA84"/>
    <mergeCell ref="FB84:FC84"/>
    <mergeCell ref="FH86:FI86"/>
    <mergeCell ref="FD85:FE85"/>
    <mergeCell ref="FF85:FG85"/>
    <mergeCell ref="FH85:FI85"/>
    <mergeCell ref="FJ85:FK85"/>
    <mergeCell ref="FL85:FM85"/>
    <mergeCell ref="FL86:FM86"/>
    <mergeCell ref="FJ86:FK86"/>
    <mergeCell ref="FD86:FE86"/>
    <mergeCell ref="FF86:FG86"/>
    <mergeCell ref="EN87:EO87"/>
    <mergeCell ref="EP87:EQ87"/>
    <mergeCell ref="ER87:ES87"/>
    <mergeCell ref="ET87:EU87"/>
    <mergeCell ref="EV87:EW87"/>
    <mergeCell ref="EX87:EY87"/>
    <mergeCell ref="EZ87:FA87"/>
    <mergeCell ref="FB87:FC87"/>
    <mergeCell ref="EX86:EY86"/>
    <mergeCell ref="EN88:EO88"/>
    <mergeCell ref="EP88:EQ88"/>
    <mergeCell ref="ER88:ES88"/>
    <mergeCell ref="ET88:EU88"/>
    <mergeCell ref="EV88:EW88"/>
    <mergeCell ref="EZ86:FA86"/>
    <mergeCell ref="FB86:FC86"/>
    <mergeCell ref="FH88:FI88"/>
    <mergeCell ref="FD87:FE87"/>
    <mergeCell ref="FF87:FG87"/>
    <mergeCell ref="FH87:FI87"/>
    <mergeCell ref="FJ87:FK87"/>
    <mergeCell ref="FL87:FM87"/>
    <mergeCell ref="FL88:FM88"/>
    <mergeCell ref="FJ88:FK88"/>
    <mergeCell ref="FD88:FE88"/>
    <mergeCell ref="FF88:FG88"/>
    <mergeCell ref="EN89:EO89"/>
    <mergeCell ref="EP89:EQ89"/>
    <mergeCell ref="ER89:ES89"/>
    <mergeCell ref="ET89:EU89"/>
    <mergeCell ref="EV89:EW89"/>
    <mergeCell ref="EX89:EY89"/>
    <mergeCell ref="EZ89:FA89"/>
    <mergeCell ref="FB89:FC89"/>
    <mergeCell ref="EX88:EY88"/>
    <mergeCell ref="EN90:EO90"/>
    <mergeCell ref="EP90:EQ90"/>
    <mergeCell ref="ER90:ES90"/>
    <mergeCell ref="ET90:EU90"/>
    <mergeCell ref="EV90:EW90"/>
    <mergeCell ref="EZ88:FA88"/>
    <mergeCell ref="FB88:FC88"/>
    <mergeCell ref="FH90:FI90"/>
    <mergeCell ref="FD89:FE89"/>
    <mergeCell ref="FF89:FG89"/>
    <mergeCell ref="FH89:FI89"/>
    <mergeCell ref="FJ89:FK89"/>
    <mergeCell ref="FL89:FM89"/>
    <mergeCell ref="FL90:FM90"/>
    <mergeCell ref="FJ90:FK90"/>
    <mergeCell ref="FD90:FE90"/>
    <mergeCell ref="FF90:FG90"/>
    <mergeCell ref="EN91:EO91"/>
    <mergeCell ref="EP91:EQ91"/>
    <mergeCell ref="ER91:ES91"/>
    <mergeCell ref="ET91:EU91"/>
    <mergeCell ref="EV91:EW91"/>
    <mergeCell ref="EX91:EY91"/>
    <mergeCell ref="EZ91:FA91"/>
    <mergeCell ref="FB91:FC91"/>
    <mergeCell ref="EX90:EY90"/>
    <mergeCell ref="EN92:EO92"/>
    <mergeCell ref="EP92:EQ92"/>
    <mergeCell ref="ER92:ES92"/>
    <mergeCell ref="ET92:EU92"/>
    <mergeCell ref="EV92:EW92"/>
    <mergeCell ref="EZ90:FA90"/>
    <mergeCell ref="FB90:FC90"/>
    <mergeCell ref="FH92:FI92"/>
    <mergeCell ref="FD91:FE91"/>
    <mergeCell ref="FF91:FG91"/>
    <mergeCell ref="FH91:FI91"/>
    <mergeCell ref="FJ91:FK91"/>
    <mergeCell ref="FL91:FM91"/>
    <mergeCell ref="FL92:FM92"/>
    <mergeCell ref="FJ92:FK92"/>
    <mergeCell ref="FD92:FE92"/>
    <mergeCell ref="FF92:FG92"/>
    <mergeCell ref="EN93:EO93"/>
    <mergeCell ref="EP93:EQ93"/>
    <mergeCell ref="ER93:ES93"/>
    <mergeCell ref="ET93:EU93"/>
    <mergeCell ref="EV93:EW93"/>
    <mergeCell ref="EX93:EY93"/>
    <mergeCell ref="EZ93:FA93"/>
    <mergeCell ref="FB93:FC93"/>
    <mergeCell ref="EX92:EY92"/>
    <mergeCell ref="EN94:EO94"/>
    <mergeCell ref="EP94:EQ94"/>
    <mergeCell ref="ER94:ES94"/>
    <mergeCell ref="ET94:EU94"/>
    <mergeCell ref="EV94:EW94"/>
    <mergeCell ref="EZ92:FA92"/>
    <mergeCell ref="FB92:FC92"/>
    <mergeCell ref="FH94:FI94"/>
    <mergeCell ref="FD93:FE93"/>
    <mergeCell ref="FF93:FG93"/>
    <mergeCell ref="FH93:FI93"/>
    <mergeCell ref="FJ93:FK93"/>
    <mergeCell ref="FL93:FM93"/>
    <mergeCell ref="FL94:FM94"/>
    <mergeCell ref="FJ94:FK94"/>
    <mergeCell ref="FD94:FE94"/>
    <mergeCell ref="FF94:FG94"/>
    <mergeCell ref="EN95:EO95"/>
    <mergeCell ref="EP95:EQ95"/>
    <mergeCell ref="ER95:ES95"/>
    <mergeCell ref="ET95:EU95"/>
    <mergeCell ref="EV95:EW95"/>
    <mergeCell ref="EX95:EY95"/>
    <mergeCell ref="EZ95:FA95"/>
    <mergeCell ref="FB95:FC95"/>
    <mergeCell ref="EX94:EY94"/>
    <mergeCell ref="EN96:EO96"/>
    <mergeCell ref="EP96:EQ96"/>
    <mergeCell ref="ER96:ES96"/>
    <mergeCell ref="ET96:EU96"/>
    <mergeCell ref="EV96:EW96"/>
    <mergeCell ref="EZ94:FA94"/>
    <mergeCell ref="FB94:FC94"/>
    <mergeCell ref="FH96:FI96"/>
    <mergeCell ref="FD95:FE95"/>
    <mergeCell ref="FF95:FG95"/>
    <mergeCell ref="FH95:FI95"/>
    <mergeCell ref="FJ95:FK95"/>
    <mergeCell ref="FL95:FM95"/>
    <mergeCell ref="FL96:FM96"/>
    <mergeCell ref="FJ96:FK96"/>
    <mergeCell ref="FD96:FE96"/>
    <mergeCell ref="FF96:FG96"/>
    <mergeCell ref="EN97:EO97"/>
    <mergeCell ref="EP97:EQ97"/>
    <mergeCell ref="ER97:ES97"/>
    <mergeCell ref="ET97:EU97"/>
    <mergeCell ref="EV97:EW97"/>
    <mergeCell ref="EX97:EY97"/>
    <mergeCell ref="EZ97:FA97"/>
    <mergeCell ref="FB97:FC97"/>
    <mergeCell ref="EX96:EY96"/>
    <mergeCell ref="EN98:EO98"/>
    <mergeCell ref="EP98:EQ98"/>
    <mergeCell ref="ER98:ES98"/>
    <mergeCell ref="ET98:EU98"/>
    <mergeCell ref="EV98:EW98"/>
    <mergeCell ref="EZ96:FA96"/>
    <mergeCell ref="FB96:FC96"/>
    <mergeCell ref="FH98:FI98"/>
    <mergeCell ref="FD97:FE97"/>
    <mergeCell ref="FF97:FG97"/>
    <mergeCell ref="FH97:FI97"/>
    <mergeCell ref="FJ97:FK97"/>
    <mergeCell ref="FL97:FM97"/>
    <mergeCell ref="FL98:FM98"/>
    <mergeCell ref="FJ98:FK98"/>
    <mergeCell ref="FD98:FE98"/>
    <mergeCell ref="FF98:FG98"/>
    <mergeCell ref="EN99:EO99"/>
    <mergeCell ref="EP99:EQ99"/>
    <mergeCell ref="ER99:ES99"/>
    <mergeCell ref="ET99:EU99"/>
    <mergeCell ref="EV99:EW99"/>
    <mergeCell ref="EX99:EY99"/>
    <mergeCell ref="EZ99:FA99"/>
    <mergeCell ref="FB99:FC99"/>
    <mergeCell ref="EX98:EY98"/>
    <mergeCell ref="EN100:EO100"/>
    <mergeCell ref="EP100:EQ100"/>
    <mergeCell ref="ER100:ES100"/>
    <mergeCell ref="ET100:EU100"/>
    <mergeCell ref="EV100:EW100"/>
    <mergeCell ref="EZ98:FA98"/>
    <mergeCell ref="FB98:FC98"/>
    <mergeCell ref="FH100:FI100"/>
    <mergeCell ref="FD99:FE99"/>
    <mergeCell ref="FF99:FG99"/>
    <mergeCell ref="FH99:FI99"/>
    <mergeCell ref="FJ99:FK99"/>
    <mergeCell ref="FL99:FM99"/>
    <mergeCell ref="FL100:FM100"/>
    <mergeCell ref="FJ100:FK100"/>
    <mergeCell ref="FD100:FE100"/>
    <mergeCell ref="FF100:FG100"/>
    <mergeCell ref="EN101:EO101"/>
    <mergeCell ref="EP101:EQ101"/>
    <mergeCell ref="ER101:ES101"/>
    <mergeCell ref="ET101:EU101"/>
    <mergeCell ref="EV101:EW101"/>
    <mergeCell ref="EX101:EY101"/>
    <mergeCell ref="EZ101:FA101"/>
    <mergeCell ref="FB101:FC101"/>
    <mergeCell ref="EX100:EY100"/>
    <mergeCell ref="EN102:EO102"/>
    <mergeCell ref="EP102:EQ102"/>
    <mergeCell ref="ER102:ES102"/>
    <mergeCell ref="ET102:EU102"/>
    <mergeCell ref="EV102:EW102"/>
    <mergeCell ref="EZ100:FA100"/>
    <mergeCell ref="FB100:FC100"/>
    <mergeCell ref="FH102:FI102"/>
    <mergeCell ref="FD101:FE101"/>
    <mergeCell ref="FF101:FG101"/>
    <mergeCell ref="FH101:FI101"/>
    <mergeCell ref="FJ101:FK101"/>
    <mergeCell ref="FL101:FM101"/>
    <mergeCell ref="FL102:FM102"/>
    <mergeCell ref="FJ102:FK102"/>
    <mergeCell ref="FD102:FE102"/>
    <mergeCell ref="FF102:FG102"/>
    <mergeCell ref="EN103:EO103"/>
    <mergeCell ref="EP103:EQ103"/>
    <mergeCell ref="ER103:ES103"/>
    <mergeCell ref="ET103:EU103"/>
    <mergeCell ref="EV103:EW103"/>
    <mergeCell ref="EX103:EY103"/>
    <mergeCell ref="EZ103:FA103"/>
    <mergeCell ref="FB103:FC103"/>
    <mergeCell ref="EX102:EY102"/>
    <mergeCell ref="EN104:EO104"/>
    <mergeCell ref="EP104:EQ104"/>
    <mergeCell ref="ER104:ES104"/>
    <mergeCell ref="ET104:EU104"/>
    <mergeCell ref="EV104:EW104"/>
    <mergeCell ref="EZ102:FA102"/>
    <mergeCell ref="FB102:FC102"/>
    <mergeCell ref="FH104:FI104"/>
    <mergeCell ref="FD103:FE103"/>
    <mergeCell ref="FF103:FG103"/>
    <mergeCell ref="FH103:FI103"/>
    <mergeCell ref="FJ103:FK103"/>
    <mergeCell ref="FL103:FM103"/>
    <mergeCell ref="FL104:FM104"/>
    <mergeCell ref="FJ104:FK104"/>
    <mergeCell ref="FD104:FE104"/>
    <mergeCell ref="FF104:FG104"/>
    <mergeCell ref="EN105:EO105"/>
    <mergeCell ref="EP105:EQ105"/>
    <mergeCell ref="ER105:ES105"/>
    <mergeCell ref="ET105:EU105"/>
    <mergeCell ref="EV105:EW105"/>
    <mergeCell ref="EX105:EY105"/>
    <mergeCell ref="EZ105:FA105"/>
    <mergeCell ref="FB105:FC105"/>
    <mergeCell ref="EX104:EY104"/>
    <mergeCell ref="EN106:EO106"/>
    <mergeCell ref="EP106:EQ106"/>
    <mergeCell ref="ER106:ES106"/>
    <mergeCell ref="ET106:EU106"/>
    <mergeCell ref="EV106:EW106"/>
    <mergeCell ref="EZ104:FA104"/>
    <mergeCell ref="FB104:FC104"/>
    <mergeCell ref="FH106:FI106"/>
    <mergeCell ref="FD105:FE105"/>
    <mergeCell ref="FF105:FG105"/>
    <mergeCell ref="FH105:FI105"/>
    <mergeCell ref="FJ105:FK105"/>
    <mergeCell ref="FL105:FM105"/>
    <mergeCell ref="FL106:FM106"/>
    <mergeCell ref="FJ106:FK106"/>
    <mergeCell ref="FD106:FE106"/>
    <mergeCell ref="FF106:FG106"/>
    <mergeCell ref="EN107:EO107"/>
    <mergeCell ref="EP107:EQ107"/>
    <mergeCell ref="ER107:ES107"/>
    <mergeCell ref="ET107:EU107"/>
    <mergeCell ref="EV107:EW107"/>
    <mergeCell ref="EX107:EY107"/>
    <mergeCell ref="EZ107:FA107"/>
    <mergeCell ref="FB107:FC107"/>
    <mergeCell ref="EX106:EY106"/>
    <mergeCell ref="EN108:EO108"/>
    <mergeCell ref="EP108:EQ108"/>
    <mergeCell ref="ER108:ES108"/>
    <mergeCell ref="ET108:EU108"/>
    <mergeCell ref="EV108:EW108"/>
    <mergeCell ref="EZ106:FA106"/>
    <mergeCell ref="FB106:FC106"/>
    <mergeCell ref="FH108:FI108"/>
    <mergeCell ref="FD107:FE107"/>
    <mergeCell ref="FF107:FG107"/>
    <mergeCell ref="FH107:FI107"/>
    <mergeCell ref="FJ107:FK107"/>
    <mergeCell ref="FL107:FM107"/>
    <mergeCell ref="FL108:FM108"/>
    <mergeCell ref="FJ108:FK108"/>
    <mergeCell ref="FD108:FE108"/>
    <mergeCell ref="FF108:FG108"/>
    <mergeCell ref="EN109:EO109"/>
    <mergeCell ref="EP109:EQ109"/>
    <mergeCell ref="ER109:ES109"/>
    <mergeCell ref="ET109:EU109"/>
    <mergeCell ref="EV109:EW109"/>
    <mergeCell ref="EX109:EY109"/>
    <mergeCell ref="EZ109:FA109"/>
    <mergeCell ref="FB109:FC109"/>
    <mergeCell ref="EX108:EY108"/>
    <mergeCell ref="EN110:EO110"/>
    <mergeCell ref="EP110:EQ110"/>
    <mergeCell ref="ER110:ES110"/>
    <mergeCell ref="ET110:EU110"/>
    <mergeCell ref="EV110:EW110"/>
    <mergeCell ref="EZ108:FA108"/>
    <mergeCell ref="FB108:FC108"/>
    <mergeCell ref="FH110:FI110"/>
    <mergeCell ref="FD109:FE109"/>
    <mergeCell ref="FF109:FG109"/>
    <mergeCell ref="FH109:FI109"/>
    <mergeCell ref="FJ109:FK109"/>
    <mergeCell ref="FL109:FM109"/>
    <mergeCell ref="FL110:FM110"/>
    <mergeCell ref="FJ110:FK110"/>
    <mergeCell ref="FD110:FE110"/>
    <mergeCell ref="FF110:FG110"/>
    <mergeCell ref="EN111:EO111"/>
    <mergeCell ref="EP111:EQ111"/>
    <mergeCell ref="ER111:ES111"/>
    <mergeCell ref="ET111:EU111"/>
    <mergeCell ref="EV111:EW111"/>
    <mergeCell ref="EX111:EY111"/>
    <mergeCell ref="EZ111:FA111"/>
    <mergeCell ref="FB111:FC111"/>
    <mergeCell ref="EX110:EY110"/>
    <mergeCell ref="EN112:EO112"/>
    <mergeCell ref="EP112:EQ112"/>
    <mergeCell ref="ER112:ES112"/>
    <mergeCell ref="ET112:EU112"/>
    <mergeCell ref="EV112:EW112"/>
    <mergeCell ref="EZ110:FA110"/>
    <mergeCell ref="FB110:FC110"/>
    <mergeCell ref="FH112:FI112"/>
    <mergeCell ref="FD111:FE111"/>
    <mergeCell ref="FF111:FG111"/>
    <mergeCell ref="FH111:FI111"/>
    <mergeCell ref="FJ111:FK111"/>
    <mergeCell ref="FL111:FM111"/>
    <mergeCell ref="FL112:FM112"/>
    <mergeCell ref="FJ112:FK112"/>
    <mergeCell ref="FD112:FE112"/>
    <mergeCell ref="FF112:FG112"/>
    <mergeCell ref="EN113:EO113"/>
    <mergeCell ref="EP113:EQ113"/>
    <mergeCell ref="ER113:ES113"/>
    <mergeCell ref="ET113:EU113"/>
    <mergeCell ref="EV113:EW113"/>
    <mergeCell ref="EX113:EY113"/>
    <mergeCell ref="EZ113:FA113"/>
    <mergeCell ref="FB113:FC113"/>
    <mergeCell ref="EX112:EY112"/>
    <mergeCell ref="EN114:EO114"/>
    <mergeCell ref="EP114:EQ114"/>
    <mergeCell ref="ER114:ES114"/>
    <mergeCell ref="ET114:EU114"/>
    <mergeCell ref="EV114:EW114"/>
    <mergeCell ref="EZ112:FA112"/>
    <mergeCell ref="FB112:FC112"/>
    <mergeCell ref="FH114:FI114"/>
    <mergeCell ref="FD113:FE113"/>
    <mergeCell ref="FF113:FG113"/>
    <mergeCell ref="FH113:FI113"/>
    <mergeCell ref="FJ113:FK113"/>
    <mergeCell ref="FL113:FM113"/>
    <mergeCell ref="FL114:FM114"/>
    <mergeCell ref="FJ114:FK114"/>
    <mergeCell ref="FD114:FE114"/>
    <mergeCell ref="FF114:FG114"/>
    <mergeCell ref="EN115:EO115"/>
    <mergeCell ref="EP115:EQ115"/>
    <mergeCell ref="ER115:ES115"/>
    <mergeCell ref="ET115:EU115"/>
    <mergeCell ref="EV115:EW115"/>
    <mergeCell ref="EX115:EY115"/>
    <mergeCell ref="EZ115:FA115"/>
    <mergeCell ref="FB115:FC115"/>
    <mergeCell ref="EX114:EY114"/>
    <mergeCell ref="EN116:EO116"/>
    <mergeCell ref="EP116:EQ116"/>
    <mergeCell ref="ER116:ES116"/>
    <mergeCell ref="ET116:EU116"/>
    <mergeCell ref="EV116:EW116"/>
    <mergeCell ref="EZ114:FA114"/>
    <mergeCell ref="FB114:FC114"/>
    <mergeCell ref="FH116:FI116"/>
    <mergeCell ref="FD115:FE115"/>
    <mergeCell ref="FF115:FG115"/>
    <mergeCell ref="FH115:FI115"/>
    <mergeCell ref="FJ115:FK115"/>
    <mergeCell ref="FL115:FM115"/>
    <mergeCell ref="FB117:FC117"/>
    <mergeCell ref="EX116:EY116"/>
    <mergeCell ref="EZ116:FA116"/>
    <mergeCell ref="FB116:FC116"/>
    <mergeCell ref="FD116:FE116"/>
    <mergeCell ref="FF116:FG116"/>
    <mergeCell ref="FN9:FO9"/>
    <mergeCell ref="FJ116:FK116"/>
    <mergeCell ref="FL116:FM116"/>
    <mergeCell ref="EN117:EO117"/>
    <mergeCell ref="EP117:EQ117"/>
    <mergeCell ref="ER117:ES117"/>
    <mergeCell ref="ET117:EU117"/>
    <mergeCell ref="EV117:EW117"/>
    <mergeCell ref="EX117:EY117"/>
    <mergeCell ref="EZ117:FA117"/>
    <mergeCell ref="FN13:FO13"/>
    <mergeCell ref="FN17:FO17"/>
    <mergeCell ref="FN21:FO21"/>
    <mergeCell ref="FN25:FO25"/>
    <mergeCell ref="FN29:FO29"/>
    <mergeCell ref="FN33:FO33"/>
    <mergeCell ref="FN37:FO37"/>
    <mergeCell ref="FN41:FO41"/>
    <mergeCell ref="FN45:FO45"/>
    <mergeCell ref="FN49:FO49"/>
    <mergeCell ref="FN53:FO53"/>
    <mergeCell ref="FN57:FO57"/>
    <mergeCell ref="FN61:FO61"/>
    <mergeCell ref="FN65:FO65"/>
    <mergeCell ref="FZ5:GA5"/>
    <mergeCell ref="FD117:FE117"/>
    <mergeCell ref="FF117:FG117"/>
    <mergeCell ref="FH117:FI117"/>
    <mergeCell ref="FJ117:FK117"/>
    <mergeCell ref="FL117:FM117"/>
    <mergeCell ref="FN5:FO5"/>
    <mergeCell ref="FN6:FO6"/>
    <mergeCell ref="FN7:FO7"/>
    <mergeCell ref="FN8:FO8"/>
    <mergeCell ref="GD5:GE5"/>
    <mergeCell ref="GF5:GG5"/>
    <mergeCell ref="GH5:GI5"/>
    <mergeCell ref="GJ5:GK5"/>
    <mergeCell ref="GL5:GM5"/>
    <mergeCell ref="FP5:FQ5"/>
    <mergeCell ref="FR5:FS5"/>
    <mergeCell ref="FT5:FU5"/>
    <mergeCell ref="FV5:FW5"/>
    <mergeCell ref="FX5:FY5"/>
    <mergeCell ref="FP6:FQ6"/>
    <mergeCell ref="FR6:FS6"/>
    <mergeCell ref="FT6:FU6"/>
    <mergeCell ref="FV6:FW6"/>
    <mergeCell ref="FX6:FY6"/>
    <mergeCell ref="FZ6:GA6"/>
    <mergeCell ref="GD6:GE6"/>
    <mergeCell ref="GF6:GG6"/>
    <mergeCell ref="GH6:GI6"/>
    <mergeCell ref="GJ6:GK6"/>
    <mergeCell ref="GL6:GM6"/>
    <mergeCell ref="GD7:GE7"/>
    <mergeCell ref="GF7:GG7"/>
    <mergeCell ref="GH7:GI7"/>
    <mergeCell ref="GJ7:GK7"/>
    <mergeCell ref="GL7:GM7"/>
    <mergeCell ref="FP7:FQ7"/>
    <mergeCell ref="FR7:FS7"/>
    <mergeCell ref="FT7:FU7"/>
    <mergeCell ref="FV7:FW7"/>
    <mergeCell ref="FX7:FY7"/>
    <mergeCell ref="FZ7:GA7"/>
    <mergeCell ref="FP8:FQ8"/>
    <mergeCell ref="FR8:FS8"/>
    <mergeCell ref="FT8:FU8"/>
    <mergeCell ref="FV8:FW8"/>
    <mergeCell ref="FX8:FY8"/>
    <mergeCell ref="FZ8:GA8"/>
    <mergeCell ref="GD10:GE10"/>
    <mergeCell ref="GD8:GE8"/>
    <mergeCell ref="GF8:GG8"/>
    <mergeCell ref="GH8:GI8"/>
    <mergeCell ref="GJ8:GK8"/>
    <mergeCell ref="GL8:GM8"/>
    <mergeCell ref="GD9:GE9"/>
    <mergeCell ref="GF9:GG9"/>
    <mergeCell ref="GH9:GI9"/>
    <mergeCell ref="GJ9:GK9"/>
    <mergeCell ref="GL9:GM9"/>
    <mergeCell ref="FP9:FQ9"/>
    <mergeCell ref="FR9:FS9"/>
    <mergeCell ref="FT9:FU9"/>
    <mergeCell ref="FV9:FW9"/>
    <mergeCell ref="FX9:FY9"/>
    <mergeCell ref="FZ9:GA9"/>
    <mergeCell ref="GF10:GG10"/>
    <mergeCell ref="GH10:GI10"/>
    <mergeCell ref="GJ10:GK10"/>
    <mergeCell ref="FN10:FO10"/>
    <mergeCell ref="FP10:FQ10"/>
    <mergeCell ref="FR10:FS10"/>
    <mergeCell ref="FT10:FU10"/>
    <mergeCell ref="FV10:FW10"/>
    <mergeCell ref="FX10:FY10"/>
    <mergeCell ref="FZ10:GA10"/>
    <mergeCell ref="GH12:GI12"/>
    <mergeCell ref="GL10:GM10"/>
    <mergeCell ref="FN11:FO11"/>
    <mergeCell ref="FP11:FQ11"/>
    <mergeCell ref="FR11:FS11"/>
    <mergeCell ref="FT11:FU11"/>
    <mergeCell ref="FV11:FW11"/>
    <mergeCell ref="FX11:FY11"/>
    <mergeCell ref="FZ11:GA11"/>
    <mergeCell ref="GD11:GE11"/>
    <mergeCell ref="FT12:FU12"/>
    <mergeCell ref="FV12:FW12"/>
    <mergeCell ref="FX12:FY12"/>
    <mergeCell ref="GD12:GE12"/>
    <mergeCell ref="GF12:GG12"/>
    <mergeCell ref="FZ12:GA12"/>
    <mergeCell ref="GF11:GG11"/>
    <mergeCell ref="GH11:GI11"/>
    <mergeCell ref="GJ11:GK11"/>
    <mergeCell ref="GL12:GM12"/>
    <mergeCell ref="FZ17:GA17"/>
    <mergeCell ref="FP13:FQ13"/>
    <mergeCell ref="FR13:FS13"/>
    <mergeCell ref="FT13:FU13"/>
    <mergeCell ref="FV13:FW13"/>
    <mergeCell ref="GL11:GM11"/>
    <mergeCell ref="GL13:GM13"/>
    <mergeCell ref="FN14:FO14"/>
    <mergeCell ref="FP14:FQ14"/>
    <mergeCell ref="FR14:FS14"/>
    <mergeCell ref="FT14:FU14"/>
    <mergeCell ref="FV14:FW14"/>
    <mergeCell ref="FZ14:GA14"/>
    <mergeCell ref="FX14:FY14"/>
    <mergeCell ref="GD14:GE14"/>
    <mergeCell ref="GF14:GG14"/>
    <mergeCell ref="GJ12:GK12"/>
    <mergeCell ref="FN12:FO12"/>
    <mergeCell ref="FP12:FQ12"/>
    <mergeCell ref="GF13:GG13"/>
    <mergeCell ref="GH13:GI13"/>
    <mergeCell ref="GJ13:GK13"/>
    <mergeCell ref="FX13:FY13"/>
    <mergeCell ref="FZ13:GA13"/>
    <mergeCell ref="GD13:GE13"/>
    <mergeCell ref="FR12:FS12"/>
    <mergeCell ref="GH14:GI14"/>
    <mergeCell ref="GJ14:GK14"/>
    <mergeCell ref="GL14:GM14"/>
    <mergeCell ref="GD19:GE19"/>
    <mergeCell ref="FN15:FO15"/>
    <mergeCell ref="FP15:FQ15"/>
    <mergeCell ref="FR15:FS15"/>
    <mergeCell ref="FT15:FU15"/>
    <mergeCell ref="FV15:FW15"/>
    <mergeCell ref="FX15:FY15"/>
    <mergeCell ref="GD15:GE15"/>
    <mergeCell ref="FR16:FS16"/>
    <mergeCell ref="FT16:FU16"/>
    <mergeCell ref="FV16:FW16"/>
    <mergeCell ref="FX16:FY16"/>
    <mergeCell ref="GD16:GE16"/>
    <mergeCell ref="GF15:GG15"/>
    <mergeCell ref="GH15:GI15"/>
    <mergeCell ref="GJ15:GK15"/>
    <mergeCell ref="GL16:GM16"/>
    <mergeCell ref="FP17:FQ17"/>
    <mergeCell ref="FR17:FS17"/>
    <mergeCell ref="FT17:FU17"/>
    <mergeCell ref="FV17:FW17"/>
    <mergeCell ref="FZ15:GA15"/>
    <mergeCell ref="GL15:GM15"/>
    <mergeCell ref="FZ16:GA16"/>
    <mergeCell ref="GL17:GM17"/>
    <mergeCell ref="GJ16:GK16"/>
    <mergeCell ref="FN16:FO16"/>
    <mergeCell ref="FP16:FQ16"/>
    <mergeCell ref="GF17:GG17"/>
    <mergeCell ref="GH17:GI17"/>
    <mergeCell ref="GJ17:GK17"/>
    <mergeCell ref="FX17:FY17"/>
    <mergeCell ref="GF19:GG19"/>
    <mergeCell ref="GH19:GI19"/>
    <mergeCell ref="GJ19:GK19"/>
    <mergeCell ref="GL20:GM20"/>
    <mergeCell ref="FN18:FO18"/>
    <mergeCell ref="FP18:FQ18"/>
    <mergeCell ref="FR18:FS18"/>
    <mergeCell ref="FT18:FU18"/>
    <mergeCell ref="FV18:FW18"/>
    <mergeCell ref="FP21:FQ21"/>
    <mergeCell ref="FR21:FS21"/>
    <mergeCell ref="FT21:FU21"/>
    <mergeCell ref="FV21:FW21"/>
    <mergeCell ref="GL19:GM19"/>
    <mergeCell ref="GL21:GM21"/>
    <mergeCell ref="GD17:GE17"/>
    <mergeCell ref="GF16:GG16"/>
    <mergeCell ref="FZ18:GA18"/>
    <mergeCell ref="FX18:FY18"/>
    <mergeCell ref="GD18:GE18"/>
    <mergeCell ref="GF18:GG18"/>
    <mergeCell ref="GH18:GI18"/>
    <mergeCell ref="GJ18:GK18"/>
    <mergeCell ref="GH16:GI16"/>
    <mergeCell ref="GL18:GM18"/>
    <mergeCell ref="FN19:FO19"/>
    <mergeCell ref="FP19:FQ19"/>
    <mergeCell ref="FR19:FS19"/>
    <mergeCell ref="FT19:FU19"/>
    <mergeCell ref="FV19:FW19"/>
    <mergeCell ref="FX19:FY19"/>
    <mergeCell ref="FZ19:GA19"/>
    <mergeCell ref="GJ20:GK20"/>
    <mergeCell ref="FN20:FO20"/>
    <mergeCell ref="FP20:FQ20"/>
    <mergeCell ref="GF21:GG21"/>
    <mergeCell ref="GH21:GI21"/>
    <mergeCell ref="GJ21:GK21"/>
    <mergeCell ref="FX21:FY21"/>
    <mergeCell ref="FZ21:GA21"/>
    <mergeCell ref="GD21:GE21"/>
    <mergeCell ref="FR20:FS20"/>
    <mergeCell ref="GH22:GI22"/>
    <mergeCell ref="GJ22:GK22"/>
    <mergeCell ref="GH20:GI20"/>
    <mergeCell ref="FT20:FU20"/>
    <mergeCell ref="FV20:FW20"/>
    <mergeCell ref="FX20:FY20"/>
    <mergeCell ref="GD20:GE20"/>
    <mergeCell ref="GF20:GG20"/>
    <mergeCell ref="FZ20:GA20"/>
    <mergeCell ref="GL22:GM22"/>
    <mergeCell ref="FN23:FO23"/>
    <mergeCell ref="FP23:FQ23"/>
    <mergeCell ref="FR23:FS23"/>
    <mergeCell ref="FT23:FU23"/>
    <mergeCell ref="FV23:FW23"/>
    <mergeCell ref="FX23:FY23"/>
    <mergeCell ref="GD23:GE23"/>
    <mergeCell ref="FR24:FS24"/>
    <mergeCell ref="FT24:FU24"/>
    <mergeCell ref="FV24:FW24"/>
    <mergeCell ref="FX24:FY24"/>
    <mergeCell ref="GD24:GE24"/>
    <mergeCell ref="GF23:GG23"/>
    <mergeCell ref="GH23:GI23"/>
    <mergeCell ref="GJ23:GK23"/>
    <mergeCell ref="GL24:GM24"/>
    <mergeCell ref="FN22:FO22"/>
    <mergeCell ref="FP22:FQ22"/>
    <mergeCell ref="FR22:FS22"/>
    <mergeCell ref="FT22:FU22"/>
    <mergeCell ref="FV22:FW22"/>
    <mergeCell ref="FZ22:GA22"/>
    <mergeCell ref="FX22:FY22"/>
    <mergeCell ref="GD22:GE22"/>
    <mergeCell ref="GF22:GG22"/>
    <mergeCell ref="FR25:FS25"/>
    <mergeCell ref="FT25:FU25"/>
    <mergeCell ref="FV25:FW25"/>
    <mergeCell ref="FZ23:GA23"/>
    <mergeCell ref="GL23:GM23"/>
    <mergeCell ref="FZ24:GA24"/>
    <mergeCell ref="GL25:GM25"/>
    <mergeCell ref="GJ24:GK24"/>
    <mergeCell ref="FN24:FO24"/>
    <mergeCell ref="FP24:FQ24"/>
    <mergeCell ref="GF25:GG25"/>
    <mergeCell ref="GH25:GI25"/>
    <mergeCell ref="GJ25:GK25"/>
    <mergeCell ref="FX25:FY25"/>
    <mergeCell ref="FZ25:GA25"/>
    <mergeCell ref="GD25:GE25"/>
    <mergeCell ref="GF24:GG24"/>
    <mergeCell ref="FZ26:GA26"/>
    <mergeCell ref="FX26:FY26"/>
    <mergeCell ref="GD26:GE26"/>
    <mergeCell ref="GF26:GG26"/>
    <mergeCell ref="GH26:GI26"/>
    <mergeCell ref="GJ26:GK26"/>
    <mergeCell ref="GH24:GI24"/>
    <mergeCell ref="GL26:GM26"/>
    <mergeCell ref="FN27:FO27"/>
    <mergeCell ref="FP27:FQ27"/>
    <mergeCell ref="FR27:FS27"/>
    <mergeCell ref="FT27:FU27"/>
    <mergeCell ref="FV27:FW27"/>
    <mergeCell ref="FX27:FY27"/>
    <mergeCell ref="FZ27:GA27"/>
    <mergeCell ref="GD27:GE27"/>
    <mergeCell ref="FT28:FU28"/>
    <mergeCell ref="FV28:FW28"/>
    <mergeCell ref="FX28:FY28"/>
    <mergeCell ref="GD28:GE28"/>
    <mergeCell ref="GF28:GG28"/>
    <mergeCell ref="FZ28:GA28"/>
    <mergeCell ref="GF27:GG27"/>
    <mergeCell ref="GH27:GI27"/>
    <mergeCell ref="GJ27:GK27"/>
    <mergeCell ref="GL28:GM28"/>
    <mergeCell ref="FN26:FO26"/>
    <mergeCell ref="FP26:FQ26"/>
    <mergeCell ref="FR26:FS26"/>
    <mergeCell ref="FT26:FU26"/>
    <mergeCell ref="FV26:FW26"/>
    <mergeCell ref="FP25:FQ25"/>
    <mergeCell ref="FZ33:GA33"/>
    <mergeCell ref="FP29:FQ29"/>
    <mergeCell ref="FR29:FS29"/>
    <mergeCell ref="FT29:FU29"/>
    <mergeCell ref="FV29:FW29"/>
    <mergeCell ref="GL27:GM27"/>
    <mergeCell ref="GL29:GM29"/>
    <mergeCell ref="FN30:FO30"/>
    <mergeCell ref="FP30:FQ30"/>
    <mergeCell ref="FR30:FS30"/>
    <mergeCell ref="FT30:FU30"/>
    <mergeCell ref="FV30:FW30"/>
    <mergeCell ref="FZ30:GA30"/>
    <mergeCell ref="FX30:FY30"/>
    <mergeCell ref="GD30:GE30"/>
    <mergeCell ref="GF30:GG30"/>
    <mergeCell ref="GJ28:GK28"/>
    <mergeCell ref="FN28:FO28"/>
    <mergeCell ref="FP28:FQ28"/>
    <mergeCell ref="GF29:GG29"/>
    <mergeCell ref="GH29:GI29"/>
    <mergeCell ref="GJ29:GK29"/>
    <mergeCell ref="FX29:FY29"/>
    <mergeCell ref="FZ29:GA29"/>
    <mergeCell ref="GD29:GE29"/>
    <mergeCell ref="FR28:FS28"/>
    <mergeCell ref="GH30:GI30"/>
    <mergeCell ref="GJ30:GK30"/>
    <mergeCell ref="GH28:GI28"/>
    <mergeCell ref="GL30:GM30"/>
    <mergeCell ref="GD35:GE35"/>
    <mergeCell ref="FN31:FO31"/>
    <mergeCell ref="FP31:FQ31"/>
    <mergeCell ref="FR31:FS31"/>
    <mergeCell ref="FT31:FU31"/>
    <mergeCell ref="FV31:FW31"/>
    <mergeCell ref="FX31:FY31"/>
    <mergeCell ref="GD31:GE31"/>
    <mergeCell ref="FR32:FS32"/>
    <mergeCell ref="FT32:FU32"/>
    <mergeCell ref="FV32:FW32"/>
    <mergeCell ref="FX32:FY32"/>
    <mergeCell ref="GD32:GE32"/>
    <mergeCell ref="GF31:GG31"/>
    <mergeCell ref="GH31:GI31"/>
    <mergeCell ref="GJ31:GK31"/>
    <mergeCell ref="GL32:GM32"/>
    <mergeCell ref="FP33:FQ33"/>
    <mergeCell ref="FR33:FS33"/>
    <mergeCell ref="FT33:FU33"/>
    <mergeCell ref="FV33:FW33"/>
    <mergeCell ref="FZ31:GA31"/>
    <mergeCell ref="GL31:GM31"/>
    <mergeCell ref="FZ32:GA32"/>
    <mergeCell ref="GL33:GM33"/>
    <mergeCell ref="GJ32:GK32"/>
    <mergeCell ref="FN32:FO32"/>
    <mergeCell ref="FP32:FQ32"/>
    <mergeCell ref="GF33:GG33"/>
    <mergeCell ref="GH33:GI33"/>
    <mergeCell ref="GJ33:GK33"/>
    <mergeCell ref="FX33:FY33"/>
    <mergeCell ref="GF35:GG35"/>
    <mergeCell ref="GH35:GI35"/>
    <mergeCell ref="GJ35:GK35"/>
    <mergeCell ref="GL36:GM36"/>
    <mergeCell ref="FN34:FO34"/>
    <mergeCell ref="FP34:FQ34"/>
    <mergeCell ref="FR34:FS34"/>
    <mergeCell ref="FT34:FU34"/>
    <mergeCell ref="FV34:FW34"/>
    <mergeCell ref="FP37:FQ37"/>
    <mergeCell ref="FR37:FS37"/>
    <mergeCell ref="FT37:FU37"/>
    <mergeCell ref="FV37:FW37"/>
    <mergeCell ref="GL35:GM35"/>
    <mergeCell ref="GL37:GM37"/>
    <mergeCell ref="GD33:GE33"/>
    <mergeCell ref="GF32:GG32"/>
    <mergeCell ref="FZ34:GA34"/>
    <mergeCell ref="FX34:FY34"/>
    <mergeCell ref="GD34:GE34"/>
    <mergeCell ref="GF34:GG34"/>
    <mergeCell ref="GH34:GI34"/>
    <mergeCell ref="GJ34:GK34"/>
    <mergeCell ref="GH32:GI32"/>
    <mergeCell ref="GL34:GM34"/>
    <mergeCell ref="FN35:FO35"/>
    <mergeCell ref="FP35:FQ35"/>
    <mergeCell ref="FR35:FS35"/>
    <mergeCell ref="FT35:FU35"/>
    <mergeCell ref="FV35:FW35"/>
    <mergeCell ref="FX35:FY35"/>
    <mergeCell ref="FZ35:GA35"/>
    <mergeCell ref="GJ36:GK36"/>
    <mergeCell ref="FN36:FO36"/>
    <mergeCell ref="FP36:FQ36"/>
    <mergeCell ref="GF37:GG37"/>
    <mergeCell ref="GH37:GI37"/>
    <mergeCell ref="GJ37:GK37"/>
    <mergeCell ref="FX37:FY37"/>
    <mergeCell ref="FZ37:GA37"/>
    <mergeCell ref="GD37:GE37"/>
    <mergeCell ref="FR36:FS36"/>
    <mergeCell ref="GH38:GI38"/>
    <mergeCell ref="GJ38:GK38"/>
    <mergeCell ref="GH36:GI36"/>
    <mergeCell ref="FT36:FU36"/>
    <mergeCell ref="FV36:FW36"/>
    <mergeCell ref="FX36:FY36"/>
    <mergeCell ref="GD36:GE36"/>
    <mergeCell ref="GF36:GG36"/>
    <mergeCell ref="FZ36:GA36"/>
    <mergeCell ref="GL38:GM38"/>
    <mergeCell ref="FN39:FO39"/>
    <mergeCell ref="FP39:FQ39"/>
    <mergeCell ref="FR39:FS39"/>
    <mergeCell ref="FT39:FU39"/>
    <mergeCell ref="FV39:FW39"/>
    <mergeCell ref="FX39:FY39"/>
    <mergeCell ref="GD39:GE39"/>
    <mergeCell ref="FR40:FS40"/>
    <mergeCell ref="FT40:FU40"/>
    <mergeCell ref="FV40:FW40"/>
    <mergeCell ref="FX40:FY40"/>
    <mergeCell ref="GD40:GE40"/>
    <mergeCell ref="GF39:GG39"/>
    <mergeCell ref="GH39:GI39"/>
    <mergeCell ref="GJ39:GK39"/>
    <mergeCell ref="GL40:GM40"/>
    <mergeCell ref="FN38:FO38"/>
    <mergeCell ref="FP38:FQ38"/>
    <mergeCell ref="FR38:FS38"/>
    <mergeCell ref="FT38:FU38"/>
    <mergeCell ref="FV38:FW38"/>
    <mergeCell ref="FZ38:GA38"/>
    <mergeCell ref="FX38:FY38"/>
    <mergeCell ref="GD38:GE38"/>
    <mergeCell ref="GF38:GG38"/>
    <mergeCell ref="FR41:FS41"/>
    <mergeCell ref="FT41:FU41"/>
    <mergeCell ref="FV41:FW41"/>
    <mergeCell ref="FZ39:GA39"/>
    <mergeCell ref="GL39:GM39"/>
    <mergeCell ref="FZ40:GA40"/>
    <mergeCell ref="GL41:GM41"/>
    <mergeCell ref="GJ40:GK40"/>
    <mergeCell ref="FN40:FO40"/>
    <mergeCell ref="FP40:FQ40"/>
    <mergeCell ref="GF41:GG41"/>
    <mergeCell ref="GH41:GI41"/>
    <mergeCell ref="GJ41:GK41"/>
    <mergeCell ref="FX41:FY41"/>
    <mergeCell ref="FZ41:GA41"/>
    <mergeCell ref="GD41:GE41"/>
    <mergeCell ref="GF40:GG40"/>
    <mergeCell ref="FZ42:GA42"/>
    <mergeCell ref="FX42:FY42"/>
    <mergeCell ref="GD42:GE42"/>
    <mergeCell ref="GF42:GG42"/>
    <mergeCell ref="GH42:GI42"/>
    <mergeCell ref="GJ42:GK42"/>
    <mergeCell ref="GH40:GI40"/>
    <mergeCell ref="GL42:GM42"/>
    <mergeCell ref="FN43:FO43"/>
    <mergeCell ref="FP43:FQ43"/>
    <mergeCell ref="FR43:FS43"/>
    <mergeCell ref="FT43:FU43"/>
    <mergeCell ref="FV43:FW43"/>
    <mergeCell ref="FX43:FY43"/>
    <mergeCell ref="FZ43:GA43"/>
    <mergeCell ref="GD43:GE43"/>
    <mergeCell ref="FT44:FU44"/>
    <mergeCell ref="FV44:FW44"/>
    <mergeCell ref="FX44:FY44"/>
    <mergeCell ref="GD44:GE44"/>
    <mergeCell ref="GF44:GG44"/>
    <mergeCell ref="FZ44:GA44"/>
    <mergeCell ref="GF43:GG43"/>
    <mergeCell ref="GH43:GI43"/>
    <mergeCell ref="GJ43:GK43"/>
    <mergeCell ref="GL44:GM44"/>
    <mergeCell ref="FN42:FO42"/>
    <mergeCell ref="FP42:FQ42"/>
    <mergeCell ref="FR42:FS42"/>
    <mergeCell ref="FT42:FU42"/>
    <mergeCell ref="FV42:FW42"/>
    <mergeCell ref="FP41:FQ41"/>
    <mergeCell ref="FZ49:GA49"/>
    <mergeCell ref="FP45:FQ45"/>
    <mergeCell ref="FR45:FS45"/>
    <mergeCell ref="FT45:FU45"/>
    <mergeCell ref="FV45:FW45"/>
    <mergeCell ref="GL43:GM43"/>
    <mergeCell ref="GL45:GM45"/>
    <mergeCell ref="FN46:FO46"/>
    <mergeCell ref="FP46:FQ46"/>
    <mergeCell ref="FR46:FS46"/>
    <mergeCell ref="FT46:FU46"/>
    <mergeCell ref="FV46:FW46"/>
    <mergeCell ref="FZ46:GA46"/>
    <mergeCell ref="FX46:FY46"/>
    <mergeCell ref="GD46:GE46"/>
    <mergeCell ref="GF46:GG46"/>
    <mergeCell ref="GJ44:GK44"/>
    <mergeCell ref="FN44:FO44"/>
    <mergeCell ref="FP44:FQ44"/>
    <mergeCell ref="GF45:GG45"/>
    <mergeCell ref="GH45:GI45"/>
    <mergeCell ref="GJ45:GK45"/>
    <mergeCell ref="FX45:FY45"/>
    <mergeCell ref="FZ45:GA45"/>
    <mergeCell ref="GD45:GE45"/>
    <mergeCell ref="FR44:FS44"/>
    <mergeCell ref="GH46:GI46"/>
    <mergeCell ref="GJ46:GK46"/>
    <mergeCell ref="GH44:GI44"/>
    <mergeCell ref="GL46:GM46"/>
    <mergeCell ref="GD51:GE51"/>
    <mergeCell ref="FN47:FO47"/>
    <mergeCell ref="FP47:FQ47"/>
    <mergeCell ref="FR47:FS47"/>
    <mergeCell ref="FT47:FU47"/>
    <mergeCell ref="FV47:FW47"/>
    <mergeCell ref="FX47:FY47"/>
    <mergeCell ref="GD47:GE47"/>
    <mergeCell ref="FR48:FS48"/>
    <mergeCell ref="FT48:FU48"/>
    <mergeCell ref="FV48:FW48"/>
    <mergeCell ref="FX48:FY48"/>
    <mergeCell ref="GD48:GE48"/>
    <mergeCell ref="GF47:GG47"/>
    <mergeCell ref="GH47:GI47"/>
    <mergeCell ref="GJ47:GK47"/>
    <mergeCell ref="GL48:GM48"/>
    <mergeCell ref="FP49:FQ49"/>
    <mergeCell ref="FR49:FS49"/>
    <mergeCell ref="FT49:FU49"/>
    <mergeCell ref="FV49:FW49"/>
    <mergeCell ref="FZ47:GA47"/>
    <mergeCell ref="GL47:GM47"/>
    <mergeCell ref="FZ48:GA48"/>
    <mergeCell ref="GL49:GM49"/>
    <mergeCell ref="GJ48:GK48"/>
    <mergeCell ref="FN48:FO48"/>
    <mergeCell ref="FP48:FQ48"/>
    <mergeCell ref="GF49:GG49"/>
    <mergeCell ref="GH49:GI49"/>
    <mergeCell ref="GJ49:GK49"/>
    <mergeCell ref="FX49:FY49"/>
    <mergeCell ref="GF51:GG51"/>
    <mergeCell ref="GH51:GI51"/>
    <mergeCell ref="GJ51:GK51"/>
    <mergeCell ref="GL52:GM52"/>
    <mergeCell ref="FN50:FO50"/>
    <mergeCell ref="FP50:FQ50"/>
    <mergeCell ref="FR50:FS50"/>
    <mergeCell ref="FT50:FU50"/>
    <mergeCell ref="FV50:FW50"/>
    <mergeCell ref="FP53:FQ53"/>
    <mergeCell ref="FR53:FS53"/>
    <mergeCell ref="FT53:FU53"/>
    <mergeCell ref="FV53:FW53"/>
    <mergeCell ref="GL51:GM51"/>
    <mergeCell ref="GL53:GM53"/>
    <mergeCell ref="GD49:GE49"/>
    <mergeCell ref="GF48:GG48"/>
    <mergeCell ref="FZ50:GA50"/>
    <mergeCell ref="FX50:FY50"/>
    <mergeCell ref="GD50:GE50"/>
    <mergeCell ref="GF50:GG50"/>
    <mergeCell ref="GH50:GI50"/>
    <mergeCell ref="GJ50:GK50"/>
    <mergeCell ref="GH48:GI48"/>
    <mergeCell ref="GL50:GM50"/>
    <mergeCell ref="FN51:FO51"/>
    <mergeCell ref="FP51:FQ51"/>
    <mergeCell ref="FR51:FS51"/>
    <mergeCell ref="FT51:FU51"/>
    <mergeCell ref="FV51:FW51"/>
    <mergeCell ref="FX51:FY51"/>
    <mergeCell ref="FZ51:GA51"/>
    <mergeCell ref="GJ52:GK52"/>
    <mergeCell ref="FN52:FO52"/>
    <mergeCell ref="FP52:FQ52"/>
    <mergeCell ref="GF53:GG53"/>
    <mergeCell ref="GH53:GI53"/>
    <mergeCell ref="GJ53:GK53"/>
    <mergeCell ref="FX53:FY53"/>
    <mergeCell ref="FZ53:GA53"/>
    <mergeCell ref="GD53:GE53"/>
    <mergeCell ref="FR52:FS52"/>
    <mergeCell ref="GH54:GI54"/>
    <mergeCell ref="GJ54:GK54"/>
    <mergeCell ref="GH52:GI52"/>
    <mergeCell ref="FT52:FU52"/>
    <mergeCell ref="FV52:FW52"/>
    <mergeCell ref="FX52:FY52"/>
    <mergeCell ref="GD52:GE52"/>
    <mergeCell ref="GF52:GG52"/>
    <mergeCell ref="FZ52:GA52"/>
    <mergeCell ref="GL54:GM54"/>
    <mergeCell ref="FN55:FO55"/>
    <mergeCell ref="FP55:FQ55"/>
    <mergeCell ref="FR55:FS55"/>
    <mergeCell ref="FT55:FU55"/>
    <mergeCell ref="FV55:FW55"/>
    <mergeCell ref="FX55:FY55"/>
    <mergeCell ref="GD55:GE55"/>
    <mergeCell ref="FR56:FS56"/>
    <mergeCell ref="FT56:FU56"/>
    <mergeCell ref="FV56:FW56"/>
    <mergeCell ref="FX56:FY56"/>
    <mergeCell ref="GD56:GE56"/>
    <mergeCell ref="GF55:GG55"/>
    <mergeCell ref="GH55:GI55"/>
    <mergeCell ref="GJ55:GK55"/>
    <mergeCell ref="GL56:GM56"/>
    <mergeCell ref="FN54:FO54"/>
    <mergeCell ref="FP54:FQ54"/>
    <mergeCell ref="FR54:FS54"/>
    <mergeCell ref="FT54:FU54"/>
    <mergeCell ref="FV54:FW54"/>
    <mergeCell ref="FZ54:GA54"/>
    <mergeCell ref="FX54:FY54"/>
    <mergeCell ref="GD54:GE54"/>
    <mergeCell ref="GF54:GG54"/>
    <mergeCell ref="FR57:FS57"/>
    <mergeCell ref="FT57:FU57"/>
    <mergeCell ref="FV57:FW57"/>
    <mergeCell ref="FZ55:GA55"/>
    <mergeCell ref="GL55:GM55"/>
    <mergeCell ref="FZ56:GA56"/>
    <mergeCell ref="GL57:GM57"/>
    <mergeCell ref="GJ56:GK56"/>
    <mergeCell ref="FN56:FO56"/>
    <mergeCell ref="FP56:FQ56"/>
    <mergeCell ref="GF57:GG57"/>
    <mergeCell ref="GH57:GI57"/>
    <mergeCell ref="GJ57:GK57"/>
    <mergeCell ref="FX57:FY57"/>
    <mergeCell ref="FZ57:GA57"/>
    <mergeCell ref="GD57:GE57"/>
    <mergeCell ref="GF56:GG56"/>
    <mergeCell ref="FZ58:GA58"/>
    <mergeCell ref="FX58:FY58"/>
    <mergeCell ref="GD58:GE58"/>
    <mergeCell ref="GF58:GG58"/>
    <mergeCell ref="GH58:GI58"/>
    <mergeCell ref="GJ58:GK58"/>
    <mergeCell ref="GH56:GI56"/>
    <mergeCell ref="GL58:GM58"/>
    <mergeCell ref="FN59:FO59"/>
    <mergeCell ref="FP59:FQ59"/>
    <mergeCell ref="FR59:FS59"/>
    <mergeCell ref="FT59:FU59"/>
    <mergeCell ref="FV59:FW59"/>
    <mergeCell ref="FX59:FY59"/>
    <mergeCell ref="FZ59:GA59"/>
    <mergeCell ref="GD59:GE59"/>
    <mergeCell ref="FT60:FU60"/>
    <mergeCell ref="FV60:FW60"/>
    <mergeCell ref="FX60:FY60"/>
    <mergeCell ref="GD60:GE60"/>
    <mergeCell ref="GF60:GG60"/>
    <mergeCell ref="FZ60:GA60"/>
    <mergeCell ref="GF59:GG59"/>
    <mergeCell ref="GH59:GI59"/>
    <mergeCell ref="GJ59:GK59"/>
    <mergeCell ref="GL60:GM60"/>
    <mergeCell ref="FN58:FO58"/>
    <mergeCell ref="FP58:FQ58"/>
    <mergeCell ref="FR58:FS58"/>
    <mergeCell ref="FT58:FU58"/>
    <mergeCell ref="FV58:FW58"/>
    <mergeCell ref="FP57:FQ57"/>
    <mergeCell ref="FP61:FQ61"/>
    <mergeCell ref="FR61:FS61"/>
    <mergeCell ref="FT61:FU61"/>
    <mergeCell ref="FV61:FW61"/>
    <mergeCell ref="GL59:GM59"/>
    <mergeCell ref="GL61:GM61"/>
    <mergeCell ref="FN62:FO62"/>
    <mergeCell ref="FP62:FQ62"/>
    <mergeCell ref="FR62:FS62"/>
    <mergeCell ref="FT62:FU62"/>
    <mergeCell ref="FV62:FW62"/>
    <mergeCell ref="FZ62:GA62"/>
    <mergeCell ref="FX62:FY62"/>
    <mergeCell ref="GD62:GE62"/>
    <mergeCell ref="GF62:GG62"/>
    <mergeCell ref="GJ60:GK60"/>
    <mergeCell ref="FN60:FO60"/>
    <mergeCell ref="FP60:FQ60"/>
    <mergeCell ref="GF61:GG61"/>
    <mergeCell ref="GH61:GI61"/>
    <mergeCell ref="GJ61:GK61"/>
    <mergeCell ref="FX61:FY61"/>
    <mergeCell ref="FZ61:GA61"/>
    <mergeCell ref="GD61:GE61"/>
    <mergeCell ref="FR60:FS60"/>
    <mergeCell ref="GH62:GI62"/>
    <mergeCell ref="GJ62:GK62"/>
    <mergeCell ref="GH60:GI60"/>
    <mergeCell ref="GL62:GM62"/>
    <mergeCell ref="FN63:FO63"/>
    <mergeCell ref="FP63:FQ63"/>
    <mergeCell ref="FR63:FS63"/>
    <mergeCell ref="FT63:FU63"/>
    <mergeCell ref="FV63:FW63"/>
    <mergeCell ref="FX63:FY63"/>
    <mergeCell ref="GD63:GE63"/>
    <mergeCell ref="FR64:FS64"/>
    <mergeCell ref="FT64:FU64"/>
    <mergeCell ref="FV64:FW64"/>
    <mergeCell ref="FX64:FY64"/>
    <mergeCell ref="GD64:GE64"/>
    <mergeCell ref="GF63:GG63"/>
    <mergeCell ref="GH63:GI63"/>
    <mergeCell ref="GJ63:GK63"/>
    <mergeCell ref="GL64:GM64"/>
    <mergeCell ref="FP65:FQ65"/>
    <mergeCell ref="FR65:FS65"/>
    <mergeCell ref="FT65:FU65"/>
    <mergeCell ref="FV65:FW65"/>
    <mergeCell ref="FZ63:GA63"/>
    <mergeCell ref="GL63:GM63"/>
    <mergeCell ref="FZ64:GA64"/>
    <mergeCell ref="GL65:GM65"/>
    <mergeCell ref="GJ64:GK64"/>
    <mergeCell ref="FN64:FO64"/>
    <mergeCell ref="FP64:FQ64"/>
    <mergeCell ref="GF65:GG65"/>
    <mergeCell ref="GH65:GI65"/>
    <mergeCell ref="GJ65:GK65"/>
    <mergeCell ref="FX65:FY65"/>
    <mergeCell ref="FZ65:GA65"/>
    <mergeCell ref="GF64:GG64"/>
    <mergeCell ref="FZ66:GA66"/>
    <mergeCell ref="FX66:FY66"/>
    <mergeCell ref="GD66:GE66"/>
    <mergeCell ref="GF66:GG66"/>
    <mergeCell ref="GH66:GI66"/>
    <mergeCell ref="GJ66:GK66"/>
    <mergeCell ref="GH64:GI64"/>
    <mergeCell ref="FN67:FO67"/>
    <mergeCell ref="FP67:FQ67"/>
    <mergeCell ref="FR67:FS67"/>
    <mergeCell ref="FT67:FU67"/>
    <mergeCell ref="FV67:FW67"/>
    <mergeCell ref="FX67:FY67"/>
    <mergeCell ref="FZ67:GA67"/>
    <mergeCell ref="GD67:GE67"/>
    <mergeCell ref="GF67:GG67"/>
    <mergeCell ref="GH67:GI67"/>
    <mergeCell ref="GJ67:GK67"/>
    <mergeCell ref="FN66:FO66"/>
    <mergeCell ref="FP66:FQ66"/>
    <mergeCell ref="GH70:GI70"/>
    <mergeCell ref="GJ70:GK70"/>
    <mergeCell ref="GH68:GI68"/>
    <mergeCell ref="FT68:FU68"/>
    <mergeCell ref="FV68:FW68"/>
    <mergeCell ref="FX68:FY68"/>
    <mergeCell ref="GD68:GE68"/>
    <mergeCell ref="GF68:GG68"/>
    <mergeCell ref="FZ68:GA68"/>
    <mergeCell ref="GL68:GM68"/>
    <mergeCell ref="GD65:GE65"/>
    <mergeCell ref="GJ68:GK68"/>
    <mergeCell ref="FN68:FO68"/>
    <mergeCell ref="FP68:FQ68"/>
    <mergeCell ref="GF69:GG69"/>
    <mergeCell ref="GH69:GI69"/>
    <mergeCell ref="GJ69:GK69"/>
    <mergeCell ref="FX69:FY69"/>
    <mergeCell ref="FZ69:GA69"/>
    <mergeCell ref="GD69:GE69"/>
    <mergeCell ref="FR68:FS68"/>
    <mergeCell ref="GL71:GM71"/>
    <mergeCell ref="FZ72:GA72"/>
    <mergeCell ref="GL73:GM73"/>
    <mergeCell ref="GJ72:GK72"/>
    <mergeCell ref="GL72:GM72"/>
    <mergeCell ref="GL70:GM70"/>
    <mergeCell ref="FP71:FQ71"/>
    <mergeCell ref="FR71:FS71"/>
    <mergeCell ref="FT71:FU71"/>
    <mergeCell ref="FV71:FW71"/>
    <mergeCell ref="FX71:FY71"/>
    <mergeCell ref="GD71:GE71"/>
    <mergeCell ref="FR66:FS66"/>
    <mergeCell ref="FT66:FU66"/>
    <mergeCell ref="FV66:FW66"/>
    <mergeCell ref="FN69:FO69"/>
    <mergeCell ref="FP69:FQ69"/>
    <mergeCell ref="FR69:FS69"/>
    <mergeCell ref="FT69:FU69"/>
    <mergeCell ref="FV69:FW69"/>
    <mergeCell ref="GL67:GM67"/>
    <mergeCell ref="GL69:GM69"/>
    <mergeCell ref="GL66:GM66"/>
    <mergeCell ref="FN70:FO70"/>
    <mergeCell ref="FP70:FQ70"/>
    <mergeCell ref="FR70:FS70"/>
    <mergeCell ref="FT70:FU70"/>
    <mergeCell ref="FV70:FW70"/>
    <mergeCell ref="FZ70:GA70"/>
    <mergeCell ref="FX70:FY70"/>
    <mergeCell ref="GD70:GE70"/>
    <mergeCell ref="GF70:GG70"/>
    <mergeCell ref="FN72:FO72"/>
    <mergeCell ref="FP72:FQ72"/>
    <mergeCell ref="GF73:GG73"/>
    <mergeCell ref="GH73:GI73"/>
    <mergeCell ref="GJ73:GK73"/>
    <mergeCell ref="FX73:FY73"/>
    <mergeCell ref="FZ73:GA73"/>
    <mergeCell ref="GD73:GE73"/>
    <mergeCell ref="GF72:GG72"/>
    <mergeCell ref="FR72:FS72"/>
    <mergeCell ref="FT72:FU72"/>
    <mergeCell ref="FV72:FW72"/>
    <mergeCell ref="FX72:FY72"/>
    <mergeCell ref="GD72:GE72"/>
    <mergeCell ref="GF71:GG71"/>
    <mergeCell ref="GH71:GI71"/>
    <mergeCell ref="GJ71:GK71"/>
    <mergeCell ref="FN71:FO71"/>
    <mergeCell ref="FP73:FQ73"/>
    <mergeCell ref="FR73:FS73"/>
    <mergeCell ref="FT73:FU73"/>
    <mergeCell ref="FV73:FW73"/>
    <mergeCell ref="FZ71:GA71"/>
    <mergeCell ref="FZ74:GA74"/>
    <mergeCell ref="FX74:FY74"/>
    <mergeCell ref="GD74:GE74"/>
    <mergeCell ref="GF74:GG74"/>
    <mergeCell ref="GH74:GI74"/>
    <mergeCell ref="GJ74:GK74"/>
    <mergeCell ref="GH72:GI72"/>
    <mergeCell ref="GL74:GM74"/>
    <mergeCell ref="FN75:FO75"/>
    <mergeCell ref="FP75:FQ75"/>
    <mergeCell ref="FR75:FS75"/>
    <mergeCell ref="FT75:FU75"/>
    <mergeCell ref="FV75:FW75"/>
    <mergeCell ref="FX75:FY75"/>
    <mergeCell ref="FZ75:GA75"/>
    <mergeCell ref="GD75:GE75"/>
    <mergeCell ref="FT76:FU76"/>
    <mergeCell ref="FV76:FW76"/>
    <mergeCell ref="FX76:FY76"/>
    <mergeCell ref="GD76:GE76"/>
    <mergeCell ref="GF76:GG76"/>
    <mergeCell ref="FZ76:GA76"/>
    <mergeCell ref="GF75:GG75"/>
    <mergeCell ref="GH75:GI75"/>
    <mergeCell ref="GJ75:GK75"/>
    <mergeCell ref="GL76:GM76"/>
    <mergeCell ref="FN74:FO74"/>
    <mergeCell ref="FP74:FQ74"/>
    <mergeCell ref="FR74:FS74"/>
    <mergeCell ref="FT74:FU74"/>
    <mergeCell ref="FV74:FW74"/>
    <mergeCell ref="FN73:FO73"/>
    <mergeCell ref="FN77:FO77"/>
    <mergeCell ref="FP77:FQ77"/>
    <mergeCell ref="FR77:FS77"/>
    <mergeCell ref="FT77:FU77"/>
    <mergeCell ref="FV77:FW77"/>
    <mergeCell ref="GL75:GM75"/>
    <mergeCell ref="GL77:GM77"/>
    <mergeCell ref="FN78:FO78"/>
    <mergeCell ref="FP78:FQ78"/>
    <mergeCell ref="FR78:FS78"/>
    <mergeCell ref="FT78:FU78"/>
    <mergeCell ref="FV78:FW78"/>
    <mergeCell ref="FZ78:GA78"/>
    <mergeCell ref="FX78:FY78"/>
    <mergeCell ref="GD78:GE78"/>
    <mergeCell ref="GF78:GG78"/>
    <mergeCell ref="GJ76:GK76"/>
    <mergeCell ref="FN76:FO76"/>
    <mergeCell ref="FP76:FQ76"/>
    <mergeCell ref="GF77:GG77"/>
    <mergeCell ref="GH77:GI77"/>
    <mergeCell ref="GJ77:GK77"/>
    <mergeCell ref="FX77:FY77"/>
    <mergeCell ref="FZ77:GA77"/>
    <mergeCell ref="GD77:GE77"/>
    <mergeCell ref="FR76:FS76"/>
    <mergeCell ref="GH78:GI78"/>
    <mergeCell ref="GJ78:GK78"/>
    <mergeCell ref="GH76:GI76"/>
    <mergeCell ref="GL78:GM78"/>
    <mergeCell ref="FN79:FO79"/>
    <mergeCell ref="FP79:FQ79"/>
    <mergeCell ref="FR79:FS79"/>
    <mergeCell ref="FT79:FU79"/>
    <mergeCell ref="FV79:FW79"/>
    <mergeCell ref="FX79:FY79"/>
    <mergeCell ref="GD79:GE79"/>
    <mergeCell ref="FR80:FS80"/>
    <mergeCell ref="FT80:FU80"/>
    <mergeCell ref="FV80:FW80"/>
    <mergeCell ref="FX80:FY80"/>
    <mergeCell ref="GD80:GE80"/>
    <mergeCell ref="GF79:GG79"/>
    <mergeCell ref="GH79:GI79"/>
    <mergeCell ref="GJ79:GK79"/>
    <mergeCell ref="GL80:GM80"/>
    <mergeCell ref="FN81:FO81"/>
    <mergeCell ref="FP81:FQ81"/>
    <mergeCell ref="FR81:FS81"/>
    <mergeCell ref="FT81:FU81"/>
    <mergeCell ref="FV81:FW81"/>
    <mergeCell ref="FZ79:GA79"/>
    <mergeCell ref="GL79:GM79"/>
    <mergeCell ref="FZ80:GA80"/>
    <mergeCell ref="GL81:GM81"/>
    <mergeCell ref="GJ80:GK80"/>
    <mergeCell ref="FN80:FO80"/>
    <mergeCell ref="FP80:FQ80"/>
    <mergeCell ref="GF81:GG81"/>
    <mergeCell ref="GH81:GI81"/>
    <mergeCell ref="GJ81:GK81"/>
    <mergeCell ref="FX81:FY81"/>
    <mergeCell ref="GF80:GG80"/>
    <mergeCell ref="FZ82:GA82"/>
    <mergeCell ref="FX82:FY82"/>
    <mergeCell ref="GD82:GE82"/>
    <mergeCell ref="GF82:GG82"/>
    <mergeCell ref="GH82:GI82"/>
    <mergeCell ref="GJ82:GK82"/>
    <mergeCell ref="GH80:GI80"/>
    <mergeCell ref="FN83:FO83"/>
    <mergeCell ref="FP83:FQ83"/>
    <mergeCell ref="FR83:FS83"/>
    <mergeCell ref="FT83:FU83"/>
    <mergeCell ref="FV83:FW83"/>
    <mergeCell ref="FX83:FY83"/>
    <mergeCell ref="FZ83:GA83"/>
    <mergeCell ref="GD83:GE83"/>
    <mergeCell ref="GF83:GG83"/>
    <mergeCell ref="GH83:GI83"/>
    <mergeCell ref="GJ83:GK83"/>
    <mergeCell ref="FN82:FO82"/>
    <mergeCell ref="GF86:GG86"/>
    <mergeCell ref="GH86:GI86"/>
    <mergeCell ref="GJ86:GK86"/>
    <mergeCell ref="GH84:GI84"/>
    <mergeCell ref="FT84:FU84"/>
    <mergeCell ref="FV84:FW84"/>
    <mergeCell ref="FX84:FY84"/>
    <mergeCell ref="GD84:GE84"/>
    <mergeCell ref="GF84:GG84"/>
    <mergeCell ref="FZ84:GA84"/>
    <mergeCell ref="GL84:GM84"/>
    <mergeCell ref="FZ81:GA81"/>
    <mergeCell ref="GD81:GE81"/>
    <mergeCell ref="GJ84:GK84"/>
    <mergeCell ref="FN84:FO84"/>
    <mergeCell ref="FP84:FQ84"/>
    <mergeCell ref="GF85:GG85"/>
    <mergeCell ref="GH85:GI85"/>
    <mergeCell ref="GJ85:GK85"/>
    <mergeCell ref="FX85:FY85"/>
    <mergeCell ref="FZ85:GA85"/>
    <mergeCell ref="GD85:GE85"/>
    <mergeCell ref="FR84:FS84"/>
    <mergeCell ref="GL87:GM87"/>
    <mergeCell ref="FZ88:GA88"/>
    <mergeCell ref="GL89:GM89"/>
    <mergeCell ref="GJ88:GK88"/>
    <mergeCell ref="GL88:GM88"/>
    <mergeCell ref="GL86:GM86"/>
    <mergeCell ref="FP87:FQ87"/>
    <mergeCell ref="FR87:FS87"/>
    <mergeCell ref="FT87:FU87"/>
    <mergeCell ref="FV87:FW87"/>
    <mergeCell ref="FX87:FY87"/>
    <mergeCell ref="GD87:GE87"/>
    <mergeCell ref="FP82:FQ82"/>
    <mergeCell ref="FR82:FS82"/>
    <mergeCell ref="FT82:FU82"/>
    <mergeCell ref="FV82:FW82"/>
    <mergeCell ref="FN85:FO85"/>
    <mergeCell ref="FP85:FQ85"/>
    <mergeCell ref="FR85:FS85"/>
    <mergeCell ref="FT85:FU85"/>
    <mergeCell ref="FV85:FW85"/>
    <mergeCell ref="GL83:GM83"/>
    <mergeCell ref="GL85:GM85"/>
    <mergeCell ref="GL82:GM82"/>
    <mergeCell ref="FN86:FO86"/>
    <mergeCell ref="FP86:FQ86"/>
    <mergeCell ref="FR86:FS86"/>
    <mergeCell ref="FT86:FU86"/>
    <mergeCell ref="FV86:FW86"/>
    <mergeCell ref="FZ86:GA86"/>
    <mergeCell ref="FX86:FY86"/>
    <mergeCell ref="GD86:GE86"/>
    <mergeCell ref="FN88:FO88"/>
    <mergeCell ref="FP88:FQ88"/>
    <mergeCell ref="GF89:GG89"/>
    <mergeCell ref="GH89:GI89"/>
    <mergeCell ref="GJ89:GK89"/>
    <mergeCell ref="FX89:FY89"/>
    <mergeCell ref="FZ89:GA89"/>
    <mergeCell ref="GD89:GE89"/>
    <mergeCell ref="GF88:GG88"/>
    <mergeCell ref="FR88:FS88"/>
    <mergeCell ref="FT88:FU88"/>
    <mergeCell ref="FV88:FW88"/>
    <mergeCell ref="FX88:FY88"/>
    <mergeCell ref="GD88:GE88"/>
    <mergeCell ref="GF87:GG87"/>
    <mergeCell ref="GH87:GI87"/>
    <mergeCell ref="GJ87:GK87"/>
    <mergeCell ref="FN87:FO87"/>
    <mergeCell ref="FP89:FQ89"/>
    <mergeCell ref="FR89:FS89"/>
    <mergeCell ref="FT89:FU89"/>
    <mergeCell ref="FV89:FW89"/>
    <mergeCell ref="FZ87:GA87"/>
    <mergeCell ref="FZ90:GA90"/>
    <mergeCell ref="FX90:FY90"/>
    <mergeCell ref="GD90:GE90"/>
    <mergeCell ref="GF90:GG90"/>
    <mergeCell ref="GH90:GI90"/>
    <mergeCell ref="GJ90:GK90"/>
    <mergeCell ref="GH88:GI88"/>
    <mergeCell ref="GL90:GM90"/>
    <mergeCell ref="FN91:FO91"/>
    <mergeCell ref="FP91:FQ91"/>
    <mergeCell ref="FR91:FS91"/>
    <mergeCell ref="FT91:FU91"/>
    <mergeCell ref="FV91:FW91"/>
    <mergeCell ref="FX91:FY91"/>
    <mergeCell ref="FZ91:GA91"/>
    <mergeCell ref="GD91:GE91"/>
    <mergeCell ref="FT92:FU92"/>
    <mergeCell ref="FV92:FW92"/>
    <mergeCell ref="FX92:FY92"/>
    <mergeCell ref="GD92:GE92"/>
    <mergeCell ref="GF92:GG92"/>
    <mergeCell ref="FZ92:GA92"/>
    <mergeCell ref="GF91:GG91"/>
    <mergeCell ref="GH91:GI91"/>
    <mergeCell ref="GJ91:GK91"/>
    <mergeCell ref="GL92:GM92"/>
    <mergeCell ref="FN90:FO90"/>
    <mergeCell ref="FP90:FQ90"/>
    <mergeCell ref="FR90:FS90"/>
    <mergeCell ref="FT90:FU90"/>
    <mergeCell ref="FV90:FW90"/>
    <mergeCell ref="FN89:FO89"/>
    <mergeCell ref="FN93:FO93"/>
    <mergeCell ref="FP93:FQ93"/>
    <mergeCell ref="FR93:FS93"/>
    <mergeCell ref="FT93:FU93"/>
    <mergeCell ref="FV93:FW93"/>
    <mergeCell ref="GL91:GM91"/>
    <mergeCell ref="GL93:GM93"/>
    <mergeCell ref="FN94:FO94"/>
    <mergeCell ref="FP94:FQ94"/>
    <mergeCell ref="FR94:FS94"/>
    <mergeCell ref="FT94:FU94"/>
    <mergeCell ref="FV94:FW94"/>
    <mergeCell ref="FZ94:GA94"/>
    <mergeCell ref="FX94:FY94"/>
    <mergeCell ref="GD94:GE94"/>
    <mergeCell ref="GF94:GG94"/>
    <mergeCell ref="GJ92:GK92"/>
    <mergeCell ref="FN92:FO92"/>
    <mergeCell ref="FP92:FQ92"/>
    <mergeCell ref="GF93:GG93"/>
    <mergeCell ref="GH93:GI93"/>
    <mergeCell ref="GJ93:GK93"/>
    <mergeCell ref="FX93:FY93"/>
    <mergeCell ref="FZ93:GA93"/>
    <mergeCell ref="GD93:GE93"/>
    <mergeCell ref="FR92:FS92"/>
    <mergeCell ref="GH94:GI94"/>
    <mergeCell ref="GJ94:GK94"/>
    <mergeCell ref="GH92:GI92"/>
    <mergeCell ref="GL94:GM94"/>
    <mergeCell ref="FN95:FO95"/>
    <mergeCell ref="FP95:FQ95"/>
    <mergeCell ref="FR95:FS95"/>
    <mergeCell ref="FT95:FU95"/>
    <mergeCell ref="FV95:FW95"/>
    <mergeCell ref="FX95:FY95"/>
    <mergeCell ref="GD95:GE95"/>
    <mergeCell ref="FR96:FS96"/>
    <mergeCell ref="FT96:FU96"/>
    <mergeCell ref="FV96:FW96"/>
    <mergeCell ref="FX96:FY96"/>
    <mergeCell ref="GD96:GE96"/>
    <mergeCell ref="GF95:GG95"/>
    <mergeCell ref="GH95:GI95"/>
    <mergeCell ref="GJ95:GK95"/>
    <mergeCell ref="GL96:GM96"/>
    <mergeCell ref="FN97:FO97"/>
    <mergeCell ref="FP97:FQ97"/>
    <mergeCell ref="FR97:FS97"/>
    <mergeCell ref="FT97:FU97"/>
    <mergeCell ref="FV97:FW97"/>
    <mergeCell ref="FZ95:GA95"/>
    <mergeCell ref="GL95:GM95"/>
    <mergeCell ref="FZ96:GA96"/>
    <mergeCell ref="GL97:GM97"/>
    <mergeCell ref="GJ96:GK96"/>
    <mergeCell ref="FN96:FO96"/>
    <mergeCell ref="FP96:FQ96"/>
    <mergeCell ref="GF97:GG97"/>
    <mergeCell ref="GH97:GI97"/>
    <mergeCell ref="GJ97:GK97"/>
    <mergeCell ref="FX97:FY97"/>
    <mergeCell ref="FZ97:GA97"/>
    <mergeCell ref="GD97:GE97"/>
    <mergeCell ref="GJ100:GK100"/>
    <mergeCell ref="FN100:FO100"/>
    <mergeCell ref="FP100:FQ100"/>
    <mergeCell ref="GF101:GG101"/>
    <mergeCell ref="GH101:GI101"/>
    <mergeCell ref="GJ101:GK101"/>
    <mergeCell ref="FX101:FY101"/>
    <mergeCell ref="FZ101:GA101"/>
    <mergeCell ref="GD101:GE101"/>
    <mergeCell ref="FR100:FS100"/>
    <mergeCell ref="GF96:GG96"/>
    <mergeCell ref="FZ98:GA98"/>
    <mergeCell ref="FX98:FY98"/>
    <mergeCell ref="GD98:GE98"/>
    <mergeCell ref="GF98:GG98"/>
    <mergeCell ref="GH98:GI98"/>
    <mergeCell ref="GJ98:GK98"/>
    <mergeCell ref="GH96:GI96"/>
    <mergeCell ref="FN99:FO99"/>
    <mergeCell ref="FP99:FQ99"/>
    <mergeCell ref="FR99:FS99"/>
    <mergeCell ref="FT99:FU99"/>
    <mergeCell ref="FV99:FW99"/>
    <mergeCell ref="FX99:FY99"/>
    <mergeCell ref="FZ99:GA99"/>
    <mergeCell ref="GD99:GE99"/>
    <mergeCell ref="GF99:GG99"/>
    <mergeCell ref="GH99:GI99"/>
    <mergeCell ref="GJ99:GK99"/>
    <mergeCell ref="GL102:GM102"/>
    <mergeCell ref="FN103:FO103"/>
    <mergeCell ref="FP103:FQ103"/>
    <mergeCell ref="FR103:FS103"/>
    <mergeCell ref="FT103:FU103"/>
    <mergeCell ref="FV103:FW103"/>
    <mergeCell ref="FX103:FY103"/>
    <mergeCell ref="GD103:GE103"/>
    <mergeCell ref="GL100:GM100"/>
    <mergeCell ref="FN98:FO98"/>
    <mergeCell ref="FP98:FQ98"/>
    <mergeCell ref="FR98:FS98"/>
    <mergeCell ref="FT98:FU98"/>
    <mergeCell ref="FV98:FW98"/>
    <mergeCell ref="FN101:FO101"/>
    <mergeCell ref="FP101:FQ101"/>
    <mergeCell ref="FR101:FS101"/>
    <mergeCell ref="FT101:FU101"/>
    <mergeCell ref="FV101:FW101"/>
    <mergeCell ref="GL99:GM99"/>
    <mergeCell ref="GL101:GM101"/>
    <mergeCell ref="GL98:GM98"/>
    <mergeCell ref="FN102:FO102"/>
    <mergeCell ref="FP102:FQ102"/>
    <mergeCell ref="FR102:FS102"/>
    <mergeCell ref="FT102:FU102"/>
    <mergeCell ref="FV102:FW102"/>
    <mergeCell ref="FZ102:GA102"/>
    <mergeCell ref="FX102:FY102"/>
    <mergeCell ref="GD102:GE102"/>
    <mergeCell ref="GF102:GG102"/>
    <mergeCell ref="GH102:GI102"/>
    <mergeCell ref="GJ102:GK102"/>
    <mergeCell ref="GH100:GI100"/>
    <mergeCell ref="FT100:FU100"/>
    <mergeCell ref="FV100:FW100"/>
    <mergeCell ref="FX100:FY100"/>
    <mergeCell ref="GD100:GE100"/>
    <mergeCell ref="GF100:GG100"/>
    <mergeCell ref="FZ100:GA100"/>
    <mergeCell ref="FN105:FO105"/>
    <mergeCell ref="FP105:FQ105"/>
    <mergeCell ref="FR105:FS105"/>
    <mergeCell ref="FT105:FU105"/>
    <mergeCell ref="FV105:FW105"/>
    <mergeCell ref="FZ103:GA103"/>
    <mergeCell ref="GL103:GM103"/>
    <mergeCell ref="FZ104:GA104"/>
    <mergeCell ref="GL105:GM105"/>
    <mergeCell ref="GJ104:GK104"/>
    <mergeCell ref="FN104:FO104"/>
    <mergeCell ref="FP104:FQ104"/>
    <mergeCell ref="GF105:GG105"/>
    <mergeCell ref="GH105:GI105"/>
    <mergeCell ref="GJ105:GK105"/>
    <mergeCell ref="FX105:FY105"/>
    <mergeCell ref="FZ105:GA105"/>
    <mergeCell ref="GD105:GE105"/>
    <mergeCell ref="GF104:GG104"/>
    <mergeCell ref="FR104:FS104"/>
    <mergeCell ref="FT104:FU104"/>
    <mergeCell ref="FV104:FW104"/>
    <mergeCell ref="FX104:FY104"/>
    <mergeCell ref="GD104:GE104"/>
    <mergeCell ref="GF107:GG107"/>
    <mergeCell ref="GH107:GI107"/>
    <mergeCell ref="GJ107:GK107"/>
    <mergeCell ref="GL108:GM108"/>
    <mergeCell ref="FN106:FO106"/>
    <mergeCell ref="FP106:FQ106"/>
    <mergeCell ref="FR106:FS106"/>
    <mergeCell ref="FT106:FU106"/>
    <mergeCell ref="FV106:FW106"/>
    <mergeCell ref="GL107:GM107"/>
    <mergeCell ref="GF103:GG103"/>
    <mergeCell ref="GH103:GI103"/>
    <mergeCell ref="GJ103:GK103"/>
    <mergeCell ref="GL104:GM104"/>
    <mergeCell ref="FZ106:GA106"/>
    <mergeCell ref="FX106:FY106"/>
    <mergeCell ref="GD106:GE106"/>
    <mergeCell ref="GF106:GG106"/>
    <mergeCell ref="GH106:GI106"/>
    <mergeCell ref="GJ106:GK106"/>
    <mergeCell ref="GH104:GI104"/>
    <mergeCell ref="GL106:GM106"/>
    <mergeCell ref="FN107:FO107"/>
    <mergeCell ref="FP107:FQ107"/>
    <mergeCell ref="FR107:FS107"/>
    <mergeCell ref="FT107:FU107"/>
    <mergeCell ref="FV107:FW107"/>
    <mergeCell ref="FX107:FY107"/>
    <mergeCell ref="FZ107:GA107"/>
    <mergeCell ref="GD107:GE107"/>
    <mergeCell ref="GJ108:GK108"/>
    <mergeCell ref="FN108:FO108"/>
    <mergeCell ref="FP108:FQ108"/>
    <mergeCell ref="GJ110:GK110"/>
    <mergeCell ref="GF109:GG109"/>
    <mergeCell ref="GH109:GI109"/>
    <mergeCell ref="GJ109:GK109"/>
    <mergeCell ref="FX109:FY109"/>
    <mergeCell ref="FZ109:GA109"/>
    <mergeCell ref="GD109:GE109"/>
    <mergeCell ref="GH108:GI108"/>
    <mergeCell ref="FZ110:GA110"/>
    <mergeCell ref="FX110:FY110"/>
    <mergeCell ref="GD110:GE110"/>
    <mergeCell ref="GF110:GG110"/>
    <mergeCell ref="GH110:GI110"/>
    <mergeCell ref="GL110:GM110"/>
    <mergeCell ref="FR108:FS108"/>
    <mergeCell ref="FT108:FU108"/>
    <mergeCell ref="FV108:FW108"/>
    <mergeCell ref="FX108:FY108"/>
    <mergeCell ref="GD108:GE108"/>
    <mergeCell ref="GF108:GG108"/>
    <mergeCell ref="FZ108:GA108"/>
    <mergeCell ref="FN111:FO111"/>
    <mergeCell ref="FP111:FQ111"/>
    <mergeCell ref="FR111:FS111"/>
    <mergeCell ref="FT111:FU111"/>
    <mergeCell ref="FV111:FW111"/>
    <mergeCell ref="FX111:FY111"/>
    <mergeCell ref="FZ111:GA111"/>
    <mergeCell ref="FP112:FQ112"/>
    <mergeCell ref="FR112:FS112"/>
    <mergeCell ref="FT112:FU112"/>
    <mergeCell ref="FV112:FW112"/>
    <mergeCell ref="FX112:FY112"/>
    <mergeCell ref="GD112:GE112"/>
    <mergeCell ref="GJ111:GK111"/>
    <mergeCell ref="GL112:GM112"/>
    <mergeCell ref="FN109:FO109"/>
    <mergeCell ref="FP109:FQ109"/>
    <mergeCell ref="FR109:FS109"/>
    <mergeCell ref="FT109:FU109"/>
    <mergeCell ref="FV109:FW109"/>
    <mergeCell ref="GL109:GM109"/>
    <mergeCell ref="FN110:FO110"/>
    <mergeCell ref="FP110:FQ110"/>
    <mergeCell ref="FR110:FS110"/>
    <mergeCell ref="FT110:FU110"/>
    <mergeCell ref="FV110:FW110"/>
    <mergeCell ref="FN113:FO113"/>
    <mergeCell ref="FP113:FQ113"/>
    <mergeCell ref="FR113:FS113"/>
    <mergeCell ref="FT113:FU113"/>
    <mergeCell ref="FV113:FW113"/>
    <mergeCell ref="GL111:GM111"/>
    <mergeCell ref="GD113:GE113"/>
    <mergeCell ref="FZ112:GA112"/>
    <mergeCell ref="GL113:GM113"/>
    <mergeCell ref="FN114:FO114"/>
    <mergeCell ref="FP114:FQ114"/>
    <mergeCell ref="FR114:FS114"/>
    <mergeCell ref="FT114:FU114"/>
    <mergeCell ref="FV114:FW114"/>
    <mergeCell ref="FX113:FY113"/>
    <mergeCell ref="FZ113:GA113"/>
    <mergeCell ref="GL114:GM114"/>
    <mergeCell ref="GJ112:GK112"/>
    <mergeCell ref="FN112:FO112"/>
    <mergeCell ref="FX114:FY114"/>
    <mergeCell ref="GD114:GE114"/>
    <mergeCell ref="GF114:GG114"/>
    <mergeCell ref="GH114:GI114"/>
    <mergeCell ref="GJ114:GK114"/>
    <mergeCell ref="GF113:GG113"/>
    <mergeCell ref="GH113:GI113"/>
    <mergeCell ref="GJ113:GK113"/>
    <mergeCell ref="GD111:GE111"/>
    <mergeCell ref="GF111:GG111"/>
    <mergeCell ref="GH111:GI111"/>
    <mergeCell ref="GF112:GG112"/>
    <mergeCell ref="GH112:GI112"/>
    <mergeCell ref="FN115:FO115"/>
    <mergeCell ref="FP115:FQ115"/>
    <mergeCell ref="FR115:FS115"/>
    <mergeCell ref="FT115:FU115"/>
    <mergeCell ref="FV115:FW115"/>
    <mergeCell ref="FX115:FY115"/>
    <mergeCell ref="FZ115:GA115"/>
    <mergeCell ref="GD115:GE115"/>
    <mergeCell ref="FZ114:GA114"/>
    <mergeCell ref="GL115:GM115"/>
    <mergeCell ref="FN116:FO116"/>
    <mergeCell ref="FP116:FQ116"/>
    <mergeCell ref="FR116:FS116"/>
    <mergeCell ref="FT116:FU116"/>
    <mergeCell ref="FV116:FW116"/>
    <mergeCell ref="FX116:FY116"/>
    <mergeCell ref="GD116:GE116"/>
    <mergeCell ref="GF116:GG116"/>
    <mergeCell ref="GH116:GI116"/>
    <mergeCell ref="GJ116:GK116"/>
    <mergeCell ref="GF115:GG115"/>
    <mergeCell ref="GH115:GI115"/>
    <mergeCell ref="GJ115:GK115"/>
    <mergeCell ref="GL116:GM116"/>
    <mergeCell ref="FN117:FO117"/>
    <mergeCell ref="FP117:FQ117"/>
    <mergeCell ref="FR117:FS117"/>
    <mergeCell ref="FT117:FU117"/>
    <mergeCell ref="FV117:FW117"/>
    <mergeCell ref="FX117:FY117"/>
    <mergeCell ref="FZ117:GA117"/>
    <mergeCell ref="GD117:GE117"/>
    <mergeCell ref="FZ116:GA116"/>
    <mergeCell ref="GF117:GG117"/>
    <mergeCell ref="GH117:GI117"/>
    <mergeCell ref="GJ117:GK117"/>
    <mergeCell ref="GL117:GM117"/>
    <mergeCell ref="CN118:CO118"/>
    <mergeCell ref="CP118:CQ118"/>
    <mergeCell ref="CR118:CS118"/>
    <mergeCell ref="CT118:CU118"/>
    <mergeCell ref="CV118:CW118"/>
    <mergeCell ref="CX118:CY118"/>
    <mergeCell ref="DD118:DE118"/>
    <mergeCell ref="DF118:DG118"/>
    <mergeCell ref="DH118:DI118"/>
    <mergeCell ref="DJ118:DK118"/>
    <mergeCell ref="DL118:DM118"/>
    <mergeCell ref="DN118:DO118"/>
    <mergeCell ref="DP118:DQ118"/>
    <mergeCell ref="DR118:DS118"/>
    <mergeCell ref="DT118:DU118"/>
    <mergeCell ref="DV118:DW118"/>
    <mergeCell ref="DX118:DY118"/>
    <mergeCell ref="DZ118:EA118"/>
    <mergeCell ref="EB118:EC118"/>
    <mergeCell ref="ED118:EE118"/>
    <mergeCell ref="EF118:EG118"/>
    <mergeCell ref="EH118:EI118"/>
    <mergeCell ref="EJ118:EK118"/>
    <mergeCell ref="EL118:EM118"/>
    <mergeCell ref="EN118:EO118"/>
    <mergeCell ref="EP118:EQ118"/>
    <mergeCell ref="ER118:ES118"/>
    <mergeCell ref="ET118:EU118"/>
    <mergeCell ref="EV118:EW118"/>
    <mergeCell ref="EX118:EY118"/>
    <mergeCell ref="FV118:FW118"/>
    <mergeCell ref="EZ118:FA118"/>
    <mergeCell ref="FB118:FC118"/>
    <mergeCell ref="FD118:FE118"/>
    <mergeCell ref="FF118:FG118"/>
    <mergeCell ref="FH118:FI118"/>
    <mergeCell ref="FJ118:FK118"/>
    <mergeCell ref="FX118:FY118"/>
    <mergeCell ref="FZ118:GA118"/>
    <mergeCell ref="GD118:GE118"/>
    <mergeCell ref="GF118:GG118"/>
    <mergeCell ref="GH118:GI118"/>
    <mergeCell ref="FL118:FM118"/>
    <mergeCell ref="FN118:FO118"/>
    <mergeCell ref="FP118:FQ118"/>
    <mergeCell ref="FR118:FS118"/>
    <mergeCell ref="FT118:FU118"/>
    <mergeCell ref="GJ118:GK118"/>
    <mergeCell ref="GL118:GM118"/>
    <mergeCell ref="CN119:CO119"/>
    <mergeCell ref="CP119:CQ119"/>
    <mergeCell ref="CR119:CS119"/>
    <mergeCell ref="CT119:CU119"/>
    <mergeCell ref="CV119:CW119"/>
    <mergeCell ref="CX119:CY119"/>
    <mergeCell ref="CZ119:DA119"/>
    <mergeCell ref="DB119:DC119"/>
    <mergeCell ref="DD119:DE119"/>
    <mergeCell ref="DF119:DG119"/>
    <mergeCell ref="DH119:DI119"/>
    <mergeCell ref="DJ119:DK119"/>
    <mergeCell ref="DL119:DM119"/>
    <mergeCell ref="DN119:DO119"/>
    <mergeCell ref="DP119:DQ119"/>
    <mergeCell ref="DR119:DS119"/>
    <mergeCell ref="DT119:DU119"/>
    <mergeCell ref="DV119:DW119"/>
    <mergeCell ref="DX119:DY119"/>
    <mergeCell ref="DZ119:EA119"/>
    <mergeCell ref="EB119:EC119"/>
    <mergeCell ref="ED119:EE119"/>
    <mergeCell ref="EF119:EG119"/>
    <mergeCell ref="EH119:EI119"/>
    <mergeCell ref="EJ119:EK119"/>
    <mergeCell ref="EL119:EM119"/>
    <mergeCell ref="EN119:EO119"/>
    <mergeCell ref="EP119:EQ119"/>
    <mergeCell ref="ER119:ES119"/>
    <mergeCell ref="ET119:EU119"/>
    <mergeCell ref="EV119:EW119"/>
    <mergeCell ref="EX119:EY119"/>
    <mergeCell ref="FV119:FW119"/>
    <mergeCell ref="EZ119:FA119"/>
    <mergeCell ref="FB119:FC119"/>
    <mergeCell ref="FD119:FE119"/>
    <mergeCell ref="FF119:FG119"/>
    <mergeCell ref="FH119:FI119"/>
    <mergeCell ref="FJ119:FK119"/>
    <mergeCell ref="FX119:FY119"/>
    <mergeCell ref="FZ119:GA119"/>
    <mergeCell ref="GD119:GE119"/>
    <mergeCell ref="GF119:GG119"/>
    <mergeCell ref="GH119:GI119"/>
    <mergeCell ref="FL119:FM119"/>
    <mergeCell ref="FN119:FO119"/>
    <mergeCell ref="FP119:FQ119"/>
    <mergeCell ref="FR119:FS119"/>
    <mergeCell ref="FT119:FU119"/>
    <mergeCell ref="GJ119:GK119"/>
    <mergeCell ref="GL119:GM119"/>
    <mergeCell ref="CN120:CO120"/>
    <mergeCell ref="CP120:CQ120"/>
    <mergeCell ref="CR120:CS120"/>
    <mergeCell ref="CT120:CU120"/>
    <mergeCell ref="CV120:CW120"/>
    <mergeCell ref="CX120:CY120"/>
    <mergeCell ref="CZ120:DA120"/>
    <mergeCell ref="DB120:DC120"/>
    <mergeCell ref="DD120:DE120"/>
    <mergeCell ref="DF120:DG120"/>
    <mergeCell ref="DH120:DI120"/>
    <mergeCell ref="DJ120:DK120"/>
    <mergeCell ref="DL120:DM120"/>
    <mergeCell ref="DN120:DO120"/>
    <mergeCell ref="DP120:DQ120"/>
    <mergeCell ref="DR120:DS120"/>
    <mergeCell ref="DT120:DU120"/>
    <mergeCell ref="DV120:DW120"/>
    <mergeCell ref="DX120:DY120"/>
    <mergeCell ref="DZ120:EA120"/>
    <mergeCell ref="EB120:EC120"/>
    <mergeCell ref="ED120:EE120"/>
    <mergeCell ref="EF120:EG120"/>
    <mergeCell ref="EH120:EI120"/>
    <mergeCell ref="EJ120:EK120"/>
    <mergeCell ref="EL120:EM120"/>
    <mergeCell ref="EN120:EO120"/>
    <mergeCell ref="EP120:EQ120"/>
    <mergeCell ref="ER120:ES120"/>
    <mergeCell ref="ET120:EU120"/>
    <mergeCell ref="EV120:EW120"/>
    <mergeCell ref="EX120:EY120"/>
    <mergeCell ref="FV120:FW120"/>
    <mergeCell ref="EZ120:FA120"/>
    <mergeCell ref="FB120:FC120"/>
    <mergeCell ref="FD120:FE120"/>
    <mergeCell ref="FF120:FG120"/>
    <mergeCell ref="FH120:FI120"/>
    <mergeCell ref="FJ120:FK120"/>
    <mergeCell ref="FX120:FY120"/>
    <mergeCell ref="FZ120:GA120"/>
    <mergeCell ref="GD120:GE120"/>
    <mergeCell ref="GF120:GG120"/>
    <mergeCell ref="GH120:GI120"/>
    <mergeCell ref="FL120:FM120"/>
    <mergeCell ref="FN120:FO120"/>
    <mergeCell ref="FP120:FQ120"/>
    <mergeCell ref="FR120:FS120"/>
    <mergeCell ref="FT120:FU120"/>
    <mergeCell ref="GJ120:GK120"/>
    <mergeCell ref="GL120:GM120"/>
    <mergeCell ref="CN121:CO121"/>
    <mergeCell ref="CP121:CQ121"/>
    <mergeCell ref="CR121:CS121"/>
    <mergeCell ref="CT121:CU121"/>
    <mergeCell ref="CV121:CW121"/>
    <mergeCell ref="CX121:CY121"/>
    <mergeCell ref="CZ121:DA121"/>
    <mergeCell ref="DB121:DC121"/>
    <mergeCell ref="DD121:DE121"/>
    <mergeCell ref="DF121:DG121"/>
    <mergeCell ref="DH121:DI121"/>
    <mergeCell ref="DJ121:DK121"/>
    <mergeCell ref="DL121:DM121"/>
    <mergeCell ref="DN121:DO121"/>
    <mergeCell ref="DP121:DQ121"/>
    <mergeCell ref="DR121:DS121"/>
    <mergeCell ref="DT121:DU121"/>
    <mergeCell ref="DV121:DW121"/>
    <mergeCell ref="DX121:DY121"/>
    <mergeCell ref="DZ121:EA121"/>
    <mergeCell ref="EB121:EC121"/>
    <mergeCell ref="ED121:EE121"/>
    <mergeCell ref="EF121:EG121"/>
    <mergeCell ref="EH121:EI121"/>
    <mergeCell ref="EJ121:EK121"/>
    <mergeCell ref="EL121:EM121"/>
    <mergeCell ref="EN121:EO121"/>
    <mergeCell ref="EP121:EQ121"/>
    <mergeCell ref="ER121:ES121"/>
    <mergeCell ref="ET121:EU121"/>
    <mergeCell ref="EV121:EW121"/>
    <mergeCell ref="EX121:EY121"/>
    <mergeCell ref="FV121:FW121"/>
    <mergeCell ref="EZ121:FA121"/>
    <mergeCell ref="FB121:FC121"/>
    <mergeCell ref="FD121:FE121"/>
    <mergeCell ref="FF121:FG121"/>
    <mergeCell ref="FH121:FI121"/>
    <mergeCell ref="FJ121:FK121"/>
    <mergeCell ref="FX121:FY121"/>
    <mergeCell ref="FZ121:GA121"/>
    <mergeCell ref="GD121:GE121"/>
    <mergeCell ref="GF121:GG121"/>
    <mergeCell ref="GH121:GI121"/>
    <mergeCell ref="FL121:FM121"/>
    <mergeCell ref="FN121:FO121"/>
    <mergeCell ref="FP121:FQ121"/>
    <mergeCell ref="FR121:FS121"/>
    <mergeCell ref="FT121:FU121"/>
    <mergeCell ref="GJ121:GK121"/>
    <mergeCell ref="GL121:GM121"/>
    <mergeCell ref="CN122:CO122"/>
    <mergeCell ref="CP122:CQ122"/>
    <mergeCell ref="CR122:CS122"/>
    <mergeCell ref="CT122:CU122"/>
    <mergeCell ref="CV122:CW122"/>
    <mergeCell ref="CX122:CY122"/>
    <mergeCell ref="CZ122:DA122"/>
    <mergeCell ref="DB122:DC122"/>
    <mergeCell ref="DD122:DE122"/>
    <mergeCell ref="DF122:DG122"/>
    <mergeCell ref="DH122:DI122"/>
    <mergeCell ref="DJ122:DK122"/>
    <mergeCell ref="DL122:DM122"/>
    <mergeCell ref="DN122:DO122"/>
    <mergeCell ref="DP122:DQ122"/>
    <mergeCell ref="DR122:DS122"/>
    <mergeCell ref="DT122:DU122"/>
    <mergeCell ref="DV122:DW122"/>
    <mergeCell ref="DX122:DY122"/>
    <mergeCell ref="DZ122:EA122"/>
    <mergeCell ref="EB122:EC122"/>
    <mergeCell ref="ED122:EE122"/>
    <mergeCell ref="EF122:EG122"/>
    <mergeCell ref="EH122:EI122"/>
    <mergeCell ref="EJ122:EK122"/>
    <mergeCell ref="EL122:EM122"/>
    <mergeCell ref="EN122:EO122"/>
    <mergeCell ref="EP122:EQ122"/>
    <mergeCell ref="ER122:ES122"/>
    <mergeCell ref="ET122:EU122"/>
    <mergeCell ref="EV122:EW122"/>
    <mergeCell ref="EX122:EY122"/>
    <mergeCell ref="FV122:FW122"/>
    <mergeCell ref="EZ122:FA122"/>
    <mergeCell ref="FB122:FC122"/>
    <mergeCell ref="FD122:FE122"/>
    <mergeCell ref="FF122:FG122"/>
    <mergeCell ref="FH122:FI122"/>
    <mergeCell ref="FJ122:FK122"/>
    <mergeCell ref="FX122:FY122"/>
    <mergeCell ref="FZ122:GA122"/>
    <mergeCell ref="GD122:GE122"/>
    <mergeCell ref="GF122:GG122"/>
    <mergeCell ref="GH122:GI122"/>
    <mergeCell ref="FL122:FM122"/>
    <mergeCell ref="FN122:FO122"/>
    <mergeCell ref="FP122:FQ122"/>
    <mergeCell ref="FR122:FS122"/>
    <mergeCell ref="FT122:FU122"/>
    <mergeCell ref="GJ122:GK122"/>
    <mergeCell ref="GL122:GM122"/>
    <mergeCell ref="CN123:CO123"/>
    <mergeCell ref="CP123:CQ123"/>
    <mergeCell ref="CR123:CS123"/>
    <mergeCell ref="CT123:CU123"/>
    <mergeCell ref="CV123:CW123"/>
    <mergeCell ref="CX123:CY123"/>
    <mergeCell ref="CZ123:DA123"/>
    <mergeCell ref="DB123:DC123"/>
    <mergeCell ref="DD123:DE123"/>
    <mergeCell ref="DF123:DG123"/>
    <mergeCell ref="DH123:DI123"/>
    <mergeCell ref="DJ123:DK123"/>
    <mergeCell ref="DL123:DM123"/>
    <mergeCell ref="DN123:DO123"/>
    <mergeCell ref="DP123:DQ123"/>
    <mergeCell ref="DR123:DS123"/>
    <mergeCell ref="DT123:DU123"/>
    <mergeCell ref="DV123:DW123"/>
    <mergeCell ref="DX123:DY123"/>
    <mergeCell ref="DZ123:EA123"/>
    <mergeCell ref="EB123:EC123"/>
    <mergeCell ref="ED123:EE123"/>
    <mergeCell ref="EF123:EG123"/>
    <mergeCell ref="EH123:EI123"/>
    <mergeCell ref="EJ123:EK123"/>
    <mergeCell ref="EL123:EM123"/>
    <mergeCell ref="EN123:EO123"/>
    <mergeCell ref="EP123:EQ123"/>
    <mergeCell ref="ER123:ES123"/>
    <mergeCell ref="ET123:EU123"/>
    <mergeCell ref="EV123:EW123"/>
    <mergeCell ref="EX123:EY123"/>
    <mergeCell ref="FV123:FW123"/>
    <mergeCell ref="EZ123:FA123"/>
    <mergeCell ref="FB123:FC123"/>
    <mergeCell ref="FD123:FE123"/>
    <mergeCell ref="FF123:FG123"/>
    <mergeCell ref="FH123:FI123"/>
    <mergeCell ref="FJ123:FK123"/>
    <mergeCell ref="FX123:FY123"/>
    <mergeCell ref="FZ123:GA123"/>
    <mergeCell ref="GD123:GE123"/>
    <mergeCell ref="GF123:GG123"/>
    <mergeCell ref="GH123:GI123"/>
    <mergeCell ref="FL123:FM123"/>
    <mergeCell ref="FN123:FO123"/>
    <mergeCell ref="FP123:FQ123"/>
    <mergeCell ref="FR123:FS123"/>
    <mergeCell ref="FT123:FU123"/>
    <mergeCell ref="GJ123:GK123"/>
    <mergeCell ref="GL123:GM123"/>
    <mergeCell ref="CN124:CO124"/>
    <mergeCell ref="CP124:CQ124"/>
    <mergeCell ref="CR124:CS124"/>
    <mergeCell ref="CT124:CU124"/>
    <mergeCell ref="CV124:CW124"/>
    <mergeCell ref="CX124:CY124"/>
    <mergeCell ref="CZ124:DA124"/>
    <mergeCell ref="DB124:DC124"/>
    <mergeCell ref="DD124:DE124"/>
    <mergeCell ref="DF124:DG124"/>
    <mergeCell ref="DH124:DI124"/>
    <mergeCell ref="DJ124:DK124"/>
    <mergeCell ref="DL124:DM124"/>
    <mergeCell ref="DN124:DO124"/>
    <mergeCell ref="DP124:DQ124"/>
    <mergeCell ref="DR124:DS124"/>
    <mergeCell ref="DT124:DU124"/>
    <mergeCell ref="FX124:FY124"/>
    <mergeCell ref="FZ124:GA124"/>
    <mergeCell ref="GD124:GE124"/>
    <mergeCell ref="GJ124:GK124"/>
    <mergeCell ref="GL124:GM124"/>
    <mergeCell ref="CN125:CO125"/>
    <mergeCell ref="CP125:CQ125"/>
    <mergeCell ref="CR125:CS125"/>
    <mergeCell ref="CT125:CU125"/>
    <mergeCell ref="CV125:CW125"/>
    <mergeCell ref="CX125:CY125"/>
    <mergeCell ref="CZ125:DA125"/>
    <mergeCell ref="DB125:DC125"/>
    <mergeCell ref="DD125:DE125"/>
    <mergeCell ref="DF125:DG125"/>
    <mergeCell ref="DH125:DI125"/>
    <mergeCell ref="DJ125:DK125"/>
    <mergeCell ref="DL125:DM125"/>
    <mergeCell ref="DN125:DO125"/>
    <mergeCell ref="DP125:DQ125"/>
    <mergeCell ref="DR125:DS125"/>
    <mergeCell ref="DT125:DU125"/>
    <mergeCell ref="DV125:DW125"/>
    <mergeCell ref="DX125:DY125"/>
    <mergeCell ref="DZ125:EA125"/>
    <mergeCell ref="EB124:EC124"/>
    <mergeCell ref="ED124:EE124"/>
    <mergeCell ref="EF124:EG124"/>
    <mergeCell ref="EH124:EI124"/>
    <mergeCell ref="EJ124:EK124"/>
    <mergeCell ref="EL124:EM124"/>
    <mergeCell ref="EN124:EO124"/>
    <mergeCell ref="DV124:DW124"/>
    <mergeCell ref="DX124:DY124"/>
    <mergeCell ref="DZ124:EA124"/>
    <mergeCell ref="GF124:GG124"/>
    <mergeCell ref="GH124:GI124"/>
    <mergeCell ref="FL124:FM124"/>
    <mergeCell ref="FN124:FO124"/>
    <mergeCell ref="FP124:FQ124"/>
    <mergeCell ref="FR124:FS124"/>
    <mergeCell ref="FT124:FU124"/>
    <mergeCell ref="EV124:EW124"/>
    <mergeCell ref="EX124:EY124"/>
    <mergeCell ref="FV124:FW124"/>
    <mergeCell ref="EZ124:FA124"/>
    <mergeCell ref="FB124:FC124"/>
    <mergeCell ref="FD124:FE124"/>
    <mergeCell ref="FF124:FG124"/>
    <mergeCell ref="FH124:FI124"/>
    <mergeCell ref="FJ124:FK124"/>
    <mergeCell ref="EH125:EI125"/>
    <mergeCell ref="EJ125:EK125"/>
    <mergeCell ref="EL125:EM125"/>
    <mergeCell ref="EN125:EO125"/>
    <mergeCell ref="FP125:FQ125"/>
    <mergeCell ref="FR125:FS125"/>
    <mergeCell ref="FT125:FU125"/>
    <mergeCell ref="EP124:EQ124"/>
    <mergeCell ref="ER124:ES124"/>
    <mergeCell ref="ET124:EU124"/>
    <mergeCell ref="ED126:EE126"/>
    <mergeCell ref="EF126:EG126"/>
    <mergeCell ref="EH126:EI126"/>
    <mergeCell ref="EP125:EQ125"/>
    <mergeCell ref="ER125:ES125"/>
    <mergeCell ref="ET125:EU125"/>
    <mergeCell ref="EV125:EW125"/>
    <mergeCell ref="EX125:EY125"/>
    <mergeCell ref="EJ126:EK126"/>
    <mergeCell ref="EL126:EM126"/>
    <mergeCell ref="EN126:EO126"/>
    <mergeCell ref="EP126:EQ126"/>
    <mergeCell ref="FH125:FI125"/>
    <mergeCell ref="CX126:CY126"/>
    <mergeCell ref="DD126:DE126"/>
    <mergeCell ref="DF126:DG126"/>
    <mergeCell ref="DH126:DI126"/>
    <mergeCell ref="DJ126:DK126"/>
    <mergeCell ref="DL126:DM126"/>
    <mergeCell ref="DN126:DO126"/>
    <mergeCell ref="DP126:DQ126"/>
    <mergeCell ref="DR126:DS126"/>
    <mergeCell ref="DT126:DU126"/>
    <mergeCell ref="DV126:DW126"/>
    <mergeCell ref="DX126:DY126"/>
    <mergeCell ref="DZ126:EA126"/>
    <mergeCell ref="EB126:EC126"/>
    <mergeCell ref="EB125:EC125"/>
    <mergeCell ref="ED125:EE125"/>
    <mergeCell ref="EF125:EG125"/>
    <mergeCell ref="FN126:FO126"/>
    <mergeCell ref="ER126:ES126"/>
    <mergeCell ref="ET126:EU126"/>
    <mergeCell ref="EV126:EW126"/>
    <mergeCell ref="EX126:EY126"/>
    <mergeCell ref="EZ126:FA126"/>
    <mergeCell ref="FB126:FC126"/>
    <mergeCell ref="FR126:FS126"/>
    <mergeCell ref="GJ126:GK126"/>
    <mergeCell ref="GL126:GM126"/>
    <mergeCell ref="FT126:FU126"/>
    <mergeCell ref="FV126:FW126"/>
    <mergeCell ref="FD126:FE126"/>
    <mergeCell ref="FF126:FG126"/>
    <mergeCell ref="FH126:FI126"/>
    <mergeCell ref="FJ126:FK126"/>
    <mergeCell ref="FL126:FM126"/>
    <mergeCell ref="FZ125:GA126"/>
    <mergeCell ref="FJ125:FK125"/>
    <mergeCell ref="FX125:FY125"/>
    <mergeCell ref="GD125:GE125"/>
    <mergeCell ref="GF125:GG125"/>
    <mergeCell ref="GH125:GI125"/>
    <mergeCell ref="FL125:FM125"/>
    <mergeCell ref="FN125:FO125"/>
    <mergeCell ref="FV125:FW125"/>
    <mergeCell ref="GJ125:GK125"/>
    <mergeCell ref="GL125:GM125"/>
    <mergeCell ref="EZ125:FA125"/>
    <mergeCell ref="FB125:FC125"/>
    <mergeCell ref="FD125:FE125"/>
    <mergeCell ref="FF125:FG125"/>
    <mergeCell ref="DF127:DG127"/>
    <mergeCell ref="CZ127:DA127"/>
    <mergeCell ref="DB127:DC127"/>
    <mergeCell ref="DH127:DI127"/>
    <mergeCell ref="DJ127:DK127"/>
    <mergeCell ref="GF126:GG126"/>
    <mergeCell ref="GH126:GI126"/>
    <mergeCell ref="FX126:FY126"/>
    <mergeCell ref="GD126:GE126"/>
    <mergeCell ref="DL127:DM127"/>
    <mergeCell ref="DN127:DO127"/>
    <mergeCell ref="FP126:FQ126"/>
    <mergeCell ref="DP127:DQ127"/>
    <mergeCell ref="DR127:DS127"/>
    <mergeCell ref="DT127:DU127"/>
    <mergeCell ref="DV127:DW127"/>
    <mergeCell ref="DX127:DY127"/>
    <mergeCell ref="DZ127:EA127"/>
    <mergeCell ref="EB127:EC127"/>
    <mergeCell ref="ED127:EE127"/>
    <mergeCell ref="EF127:EG127"/>
    <mergeCell ref="EH127:EI127"/>
    <mergeCell ref="EJ127:EK127"/>
    <mergeCell ref="EL127:EM127"/>
    <mergeCell ref="EN127:EO127"/>
    <mergeCell ref="EP127:EQ127"/>
    <mergeCell ref="ER127:ES127"/>
    <mergeCell ref="ET127:EU127"/>
    <mergeCell ref="EV127:EW127"/>
    <mergeCell ref="EX127:EY127"/>
    <mergeCell ref="EZ127:FA127"/>
    <mergeCell ref="FB127:FC127"/>
    <mergeCell ref="FD127:FE127"/>
    <mergeCell ref="FF127:FG127"/>
    <mergeCell ref="FH127:FI127"/>
    <mergeCell ref="FJ127:FK127"/>
    <mergeCell ref="FL127:FM127"/>
    <mergeCell ref="FN127:FO127"/>
    <mergeCell ref="FP127:FQ127"/>
    <mergeCell ref="FR127:FS127"/>
    <mergeCell ref="GF127:GG127"/>
    <mergeCell ref="GH127:GI127"/>
    <mergeCell ref="GJ127:GK127"/>
    <mergeCell ref="GL127:GM127"/>
    <mergeCell ref="FT127:FU127"/>
    <mergeCell ref="FV127:FW127"/>
    <mergeCell ref="FX127:FY127"/>
    <mergeCell ref="FZ127:GA127"/>
    <mergeCell ref="GD127:GE127"/>
    <mergeCell ref="CJ5:CK5"/>
    <mergeCell ref="CL5:CM5"/>
    <mergeCell ref="CJ6:CK6"/>
    <mergeCell ref="CL6:CM6"/>
    <mergeCell ref="CJ7:CK7"/>
    <mergeCell ref="CL7:CM7"/>
    <mergeCell ref="CJ8:CK8"/>
    <mergeCell ref="CL8:CM8"/>
    <mergeCell ref="CJ9:CK9"/>
    <mergeCell ref="CL9:CM9"/>
    <mergeCell ref="CJ10:CK10"/>
    <mergeCell ref="CL10:CM10"/>
    <mergeCell ref="CJ11:CK11"/>
    <mergeCell ref="CL11:CM11"/>
    <mergeCell ref="CJ12:CK12"/>
    <mergeCell ref="CL12:CM12"/>
    <mergeCell ref="CJ13:CK13"/>
    <mergeCell ref="CL13:CM13"/>
    <mergeCell ref="CJ14:CK14"/>
    <mergeCell ref="CL14:CM14"/>
    <mergeCell ref="CJ15:CK15"/>
    <mergeCell ref="CL15:CM15"/>
    <mergeCell ref="CJ16:CK16"/>
    <mergeCell ref="CL16:CM16"/>
    <mergeCell ref="CJ17:CK17"/>
    <mergeCell ref="CL17:CM17"/>
    <mergeCell ref="CJ18:CK18"/>
    <mergeCell ref="CL18:CM18"/>
    <mergeCell ref="CJ19:CK19"/>
    <mergeCell ref="CL19:CM19"/>
    <mergeCell ref="CJ20:CK20"/>
    <mergeCell ref="CL20:CM20"/>
    <mergeCell ref="CJ21:CK21"/>
    <mergeCell ref="CL21:CM21"/>
    <mergeCell ref="CJ22:CK22"/>
    <mergeCell ref="CL22:CM22"/>
    <mergeCell ref="CJ23:CK23"/>
    <mergeCell ref="CL23:CM23"/>
    <mergeCell ref="CJ24:CK24"/>
    <mergeCell ref="CL24:CM24"/>
    <mergeCell ref="CJ25:CK25"/>
    <mergeCell ref="CL25:CM25"/>
    <mergeCell ref="CJ26:CK26"/>
    <mergeCell ref="CL26:CM26"/>
    <mergeCell ref="CJ27:CK27"/>
    <mergeCell ref="CL27:CM27"/>
    <mergeCell ref="CJ28:CK28"/>
    <mergeCell ref="CL28:CM28"/>
    <mergeCell ref="CJ29:CK29"/>
    <mergeCell ref="CL29:CM29"/>
    <mergeCell ref="CJ30:CK30"/>
    <mergeCell ref="CL30:CM30"/>
    <mergeCell ref="CJ31:CK31"/>
    <mergeCell ref="CL31:CM31"/>
    <mergeCell ref="CJ32:CK32"/>
    <mergeCell ref="CL32:CM32"/>
    <mergeCell ref="CJ33:CK33"/>
    <mergeCell ref="CL33:CM33"/>
    <mergeCell ref="CJ34:CK34"/>
    <mergeCell ref="CL34:CM34"/>
    <mergeCell ref="CJ35:CK35"/>
    <mergeCell ref="CL35:CM35"/>
    <mergeCell ref="CJ36:CK36"/>
    <mergeCell ref="CL36:CM36"/>
    <mergeCell ref="CJ37:CK37"/>
    <mergeCell ref="CL37:CM37"/>
    <mergeCell ref="CJ38:CK38"/>
    <mergeCell ref="CL38:CM38"/>
    <mergeCell ref="CJ39:CK39"/>
    <mergeCell ref="CL39:CM39"/>
    <mergeCell ref="CJ40:CK40"/>
    <mergeCell ref="CL40:CM40"/>
    <mergeCell ref="CJ41:CK41"/>
    <mergeCell ref="CL41:CM41"/>
    <mergeCell ref="CJ42:CK42"/>
    <mergeCell ref="CL42:CM42"/>
    <mergeCell ref="CJ43:CK43"/>
    <mergeCell ref="CL43:CM43"/>
    <mergeCell ref="CJ44:CK44"/>
    <mergeCell ref="CL44:CM44"/>
    <mergeCell ref="CJ45:CK45"/>
    <mergeCell ref="CL45:CM45"/>
    <mergeCell ref="CJ46:CK46"/>
    <mergeCell ref="CL46:CM46"/>
    <mergeCell ref="CJ47:CK47"/>
    <mergeCell ref="CL47:CM47"/>
    <mergeCell ref="CJ48:CK48"/>
    <mergeCell ref="CL48:CM48"/>
    <mergeCell ref="CJ49:CK49"/>
    <mergeCell ref="CL49:CM49"/>
    <mergeCell ref="CJ50:CK50"/>
    <mergeCell ref="CL50:CM50"/>
    <mergeCell ref="CJ51:CK51"/>
    <mergeCell ref="CL51:CM51"/>
    <mergeCell ref="CJ52:CK52"/>
    <mergeCell ref="CL52:CM52"/>
    <mergeCell ref="CJ53:CK53"/>
    <mergeCell ref="CL53:CM53"/>
    <mergeCell ref="CJ54:CK54"/>
    <mergeCell ref="CL54:CM54"/>
    <mergeCell ref="CJ55:CK55"/>
    <mergeCell ref="CL55:CM55"/>
    <mergeCell ref="CJ56:CK56"/>
    <mergeCell ref="CL56:CM56"/>
    <mergeCell ref="CJ57:CK57"/>
    <mergeCell ref="CL57:CM57"/>
    <mergeCell ref="CJ58:CK58"/>
    <mergeCell ref="CL58:CM58"/>
    <mergeCell ref="CL82:CM82"/>
    <mergeCell ref="CJ59:CK59"/>
    <mergeCell ref="CL59:CM59"/>
    <mergeCell ref="CJ60:CK60"/>
    <mergeCell ref="CL60:CM60"/>
    <mergeCell ref="CJ61:CK61"/>
    <mergeCell ref="CL61:CM61"/>
    <mergeCell ref="CJ62:CK62"/>
    <mergeCell ref="CL62:CM62"/>
    <mergeCell ref="CJ63:CK63"/>
    <mergeCell ref="CL63:CM63"/>
    <mergeCell ref="CJ64:CK64"/>
    <mergeCell ref="CL64:CM64"/>
    <mergeCell ref="CJ65:CK65"/>
    <mergeCell ref="CL65:CM65"/>
    <mergeCell ref="CJ66:CK66"/>
    <mergeCell ref="CL66:CM66"/>
    <mergeCell ref="CJ67:CK67"/>
    <mergeCell ref="CL67:CM67"/>
    <mergeCell ref="CH77:CI77"/>
    <mergeCell ref="CJ85:CK85"/>
    <mergeCell ref="CL85:CM85"/>
    <mergeCell ref="CJ68:CK68"/>
    <mergeCell ref="CL68:CM68"/>
    <mergeCell ref="CJ69:CK69"/>
    <mergeCell ref="CL69:CM69"/>
    <mergeCell ref="CJ70:CK70"/>
    <mergeCell ref="CL70:CM70"/>
    <mergeCell ref="CJ71:CK71"/>
    <mergeCell ref="CL71:CM71"/>
    <mergeCell ref="CJ72:CK72"/>
    <mergeCell ref="CL72:CM72"/>
    <mergeCell ref="CJ73:CK73"/>
    <mergeCell ref="CL73:CM73"/>
    <mergeCell ref="CJ74:CK74"/>
    <mergeCell ref="CL74:CM74"/>
    <mergeCell ref="CJ75:CK75"/>
    <mergeCell ref="CL75:CM75"/>
    <mergeCell ref="CJ76:CK76"/>
    <mergeCell ref="CL76:CM76"/>
    <mergeCell ref="CJ77:CK77"/>
    <mergeCell ref="CL77:CM77"/>
    <mergeCell ref="CJ78:CK78"/>
    <mergeCell ref="CL78:CM78"/>
    <mergeCell ref="CJ79:CK79"/>
    <mergeCell ref="CL79:CM79"/>
    <mergeCell ref="CJ80:CK80"/>
    <mergeCell ref="CL80:CM80"/>
    <mergeCell ref="CJ81:CK81"/>
    <mergeCell ref="CL81:CM81"/>
    <mergeCell ref="CJ82:CK82"/>
    <mergeCell ref="BN87:BO87"/>
    <mergeCell ref="CH82:CI82"/>
    <mergeCell ref="CJ83:CK83"/>
    <mergeCell ref="CL83:CM83"/>
    <mergeCell ref="CJ84:CK84"/>
    <mergeCell ref="CL84:CM84"/>
    <mergeCell ref="BN88:BO88"/>
    <mergeCell ref="BN77:BO77"/>
    <mergeCell ref="BN78:BO78"/>
    <mergeCell ref="BN79:BO79"/>
    <mergeCell ref="BN80:BO80"/>
    <mergeCell ref="BN81:BO81"/>
    <mergeCell ref="BN82:BO82"/>
    <mergeCell ref="BN83:BO83"/>
    <mergeCell ref="BN84:BO84"/>
    <mergeCell ref="BN72:BO72"/>
    <mergeCell ref="BN73:BO73"/>
    <mergeCell ref="BN74:BO74"/>
    <mergeCell ref="BN75:BO75"/>
    <mergeCell ref="BN76:BO76"/>
    <mergeCell ref="BN86:BO86"/>
    <mergeCell ref="BN85:BO85"/>
    <mergeCell ref="CF78:CG78"/>
    <mergeCell ref="CF79:CG79"/>
    <mergeCell ref="CF80:CG80"/>
    <mergeCell ref="CF81:CG81"/>
    <mergeCell ref="CF82:CG82"/>
    <mergeCell ref="CF75:CG75"/>
    <mergeCell ref="CH75:CI75"/>
    <mergeCell ref="CF76:CG76"/>
    <mergeCell ref="CH76:CI76"/>
    <mergeCell ref="CF77:CG77"/>
    <mergeCell ref="BN44:BO44"/>
    <mergeCell ref="BN45:BO45"/>
    <mergeCell ref="BN46:BO46"/>
    <mergeCell ref="BN47:BO47"/>
    <mergeCell ref="BN36:BO36"/>
    <mergeCell ref="BN37:BO37"/>
    <mergeCell ref="BN38:BO38"/>
    <mergeCell ref="BN39:BO39"/>
    <mergeCell ref="BN40:BO40"/>
    <mergeCell ref="BN41:BO41"/>
    <mergeCell ref="BN66:BO66"/>
    <mergeCell ref="BN67:BO67"/>
    <mergeCell ref="BN68:BO68"/>
    <mergeCell ref="BN69:BO69"/>
    <mergeCell ref="BN70:BO70"/>
    <mergeCell ref="BN71:BO71"/>
    <mergeCell ref="BN60:BO60"/>
    <mergeCell ref="BN61:BO61"/>
    <mergeCell ref="BN62:BO62"/>
    <mergeCell ref="BN63:BO63"/>
    <mergeCell ref="BN64:BO64"/>
    <mergeCell ref="BN65:BO65"/>
    <mergeCell ref="BN54:BO54"/>
    <mergeCell ref="BN55:BO55"/>
    <mergeCell ref="BN56:BO56"/>
    <mergeCell ref="BN57:BO57"/>
    <mergeCell ref="BN58:BO58"/>
    <mergeCell ref="BN59:BO59"/>
    <mergeCell ref="CF14:CG14"/>
    <mergeCell ref="CH14:CI14"/>
    <mergeCell ref="BN30:BO30"/>
    <mergeCell ref="BN31:BO31"/>
    <mergeCell ref="BN32:BO32"/>
    <mergeCell ref="BN33:BO33"/>
    <mergeCell ref="BN34:BO34"/>
    <mergeCell ref="BN35:BO35"/>
    <mergeCell ref="BN24:BO24"/>
    <mergeCell ref="BN25:BO25"/>
    <mergeCell ref="BN26:BO26"/>
    <mergeCell ref="BN27:BO27"/>
    <mergeCell ref="BN28:BO28"/>
    <mergeCell ref="BN29:BO29"/>
    <mergeCell ref="BN18:BO18"/>
    <mergeCell ref="BN19:BO19"/>
    <mergeCell ref="BN20:BO20"/>
    <mergeCell ref="BN21:BO21"/>
    <mergeCell ref="BN22:BO22"/>
    <mergeCell ref="BN23:BO23"/>
    <mergeCell ref="CF15:CG15"/>
    <mergeCell ref="CH15:CI15"/>
    <mergeCell ref="CF16:CG16"/>
    <mergeCell ref="CH16:CI16"/>
    <mergeCell ref="CF17:CG17"/>
    <mergeCell ref="CH17:CI17"/>
    <mergeCell ref="CF18:CG18"/>
    <mergeCell ref="CH18:CI18"/>
    <mergeCell ref="CF19:CG19"/>
    <mergeCell ref="CH19:CI19"/>
    <mergeCell ref="CF20:CG20"/>
    <mergeCell ref="CH20:CI20"/>
    <mergeCell ref="CF5:CG5"/>
    <mergeCell ref="CH5:CI5"/>
    <mergeCell ref="CF6:CG6"/>
    <mergeCell ref="CH6:CI6"/>
    <mergeCell ref="CF7:CG7"/>
    <mergeCell ref="CH7:CI7"/>
    <mergeCell ref="CF8:CG8"/>
    <mergeCell ref="CH8:CI8"/>
    <mergeCell ref="CF9:CG9"/>
    <mergeCell ref="CH9:CI9"/>
    <mergeCell ref="CF10:CG10"/>
    <mergeCell ref="CH10:CI10"/>
    <mergeCell ref="CF11:CG11"/>
    <mergeCell ref="CH11:CI11"/>
    <mergeCell ref="CF12:CG12"/>
    <mergeCell ref="CH12:CI12"/>
    <mergeCell ref="CF13:CG13"/>
    <mergeCell ref="CH13:CI13"/>
    <mergeCell ref="CF21:CG21"/>
    <mergeCell ref="CH21:CI21"/>
    <mergeCell ref="CF22:CG22"/>
    <mergeCell ref="CH22:CI22"/>
    <mergeCell ref="CF23:CG23"/>
    <mergeCell ref="CH23:CI23"/>
    <mergeCell ref="CF24:CG24"/>
    <mergeCell ref="CH24:CI24"/>
    <mergeCell ref="CF25:CG25"/>
    <mergeCell ref="CH25:CI25"/>
    <mergeCell ref="CF26:CG26"/>
    <mergeCell ref="CH26:CI26"/>
    <mergeCell ref="CF27:CG27"/>
    <mergeCell ref="CH27:CI27"/>
    <mergeCell ref="CF28:CG28"/>
    <mergeCell ref="CH28:CI28"/>
    <mergeCell ref="CF29:CG29"/>
    <mergeCell ref="CH29:CI29"/>
    <mergeCell ref="CF30:CG30"/>
    <mergeCell ref="CH30:CI30"/>
    <mergeCell ref="CF31:CG31"/>
    <mergeCell ref="CH31:CI31"/>
    <mergeCell ref="CF32:CG32"/>
    <mergeCell ref="CH32:CI32"/>
    <mergeCell ref="CF33:CG33"/>
    <mergeCell ref="CH33:CI33"/>
    <mergeCell ref="CF34:CG34"/>
    <mergeCell ref="CH34:CI34"/>
    <mergeCell ref="CF35:CG35"/>
    <mergeCell ref="CH35:CI35"/>
    <mergeCell ref="CF36:CG36"/>
    <mergeCell ref="CH36:CI36"/>
    <mergeCell ref="CF37:CG37"/>
    <mergeCell ref="CH37:CI37"/>
    <mergeCell ref="CF38:CG38"/>
    <mergeCell ref="CH38:CI38"/>
    <mergeCell ref="CF39:CG39"/>
    <mergeCell ref="CH39:CI39"/>
    <mergeCell ref="CF40:CG40"/>
    <mergeCell ref="CH40:CI40"/>
    <mergeCell ref="CF41:CG41"/>
    <mergeCell ref="CH41:CI41"/>
    <mergeCell ref="CF42:CG42"/>
    <mergeCell ref="CH42:CI42"/>
    <mergeCell ref="CF43:CG43"/>
    <mergeCell ref="CH43:CI43"/>
    <mergeCell ref="CF44:CG44"/>
    <mergeCell ref="CH44:CI44"/>
    <mergeCell ref="CF45:CG45"/>
    <mergeCell ref="CH45:CI45"/>
    <mergeCell ref="CF46:CG46"/>
    <mergeCell ref="CH46:CI46"/>
    <mergeCell ref="CF47:CG47"/>
    <mergeCell ref="CH47:CI47"/>
    <mergeCell ref="CF48:CG48"/>
    <mergeCell ref="CH48:CI48"/>
    <mergeCell ref="CF49:CG49"/>
    <mergeCell ref="CH49:CI49"/>
    <mergeCell ref="CF50:CG50"/>
    <mergeCell ref="CH50:CI50"/>
    <mergeCell ref="CF51:CG51"/>
    <mergeCell ref="CH51:CI51"/>
    <mergeCell ref="CF52:CG52"/>
    <mergeCell ref="CH52:CI52"/>
    <mergeCell ref="CF53:CG53"/>
    <mergeCell ref="CH53:CI53"/>
    <mergeCell ref="CF54:CG54"/>
    <mergeCell ref="CH54:CI54"/>
    <mergeCell ref="CF55:CG55"/>
    <mergeCell ref="CH55:CI55"/>
    <mergeCell ref="CF56:CG56"/>
    <mergeCell ref="CH56:CI56"/>
    <mergeCell ref="CF57:CG57"/>
    <mergeCell ref="CH57:CI57"/>
    <mergeCell ref="CF58:CG58"/>
    <mergeCell ref="CH58:CI58"/>
    <mergeCell ref="CF59:CG59"/>
    <mergeCell ref="CH59:CI59"/>
    <mergeCell ref="CF60:CG60"/>
    <mergeCell ref="CH60:CI60"/>
    <mergeCell ref="CF61:CG61"/>
    <mergeCell ref="CH61:CI61"/>
    <mergeCell ref="CF62:CG62"/>
    <mergeCell ref="CH62:CI62"/>
    <mergeCell ref="CF63:CG63"/>
    <mergeCell ref="CH63:CI63"/>
    <mergeCell ref="CF64:CG64"/>
    <mergeCell ref="CH64:CI64"/>
    <mergeCell ref="CF65:CG65"/>
    <mergeCell ref="CH65:CI65"/>
    <mergeCell ref="CF66:CG66"/>
    <mergeCell ref="CH66:CI66"/>
    <mergeCell ref="CF67:CG67"/>
    <mergeCell ref="CH67:CI67"/>
    <mergeCell ref="CF68:CG68"/>
    <mergeCell ref="CH68:CI68"/>
    <mergeCell ref="CF69:CG69"/>
    <mergeCell ref="CH69:CI69"/>
    <mergeCell ref="CF70:CG70"/>
    <mergeCell ref="CH70:CI70"/>
    <mergeCell ref="CF71:CG71"/>
    <mergeCell ref="CH71:CI71"/>
    <mergeCell ref="CF72:CG72"/>
    <mergeCell ref="CH72:CI72"/>
    <mergeCell ref="CF73:CG73"/>
    <mergeCell ref="CH73:CI73"/>
    <mergeCell ref="CF74:CG74"/>
    <mergeCell ref="CH74:CI74"/>
    <mergeCell ref="CB80:CC80"/>
    <mergeCell ref="CD80:CE80"/>
    <mergeCell ref="BR120:BS120"/>
    <mergeCell ref="BP119:BQ119"/>
    <mergeCell ref="BR119:BS119"/>
    <mergeCell ref="BP120:BQ120"/>
    <mergeCell ref="BP127:BQ127"/>
    <mergeCell ref="BR127:BS127"/>
    <mergeCell ref="BP122:BQ122"/>
    <mergeCell ref="BR122:BS122"/>
    <mergeCell ref="BP123:BQ123"/>
    <mergeCell ref="BR123:BS123"/>
    <mergeCell ref="BP115:BQ115"/>
    <mergeCell ref="BR115:BS115"/>
    <mergeCell ref="BP117:BQ117"/>
    <mergeCell ref="BR117:BS117"/>
    <mergeCell ref="BP118:BQ118"/>
    <mergeCell ref="BR118:BS118"/>
    <mergeCell ref="BP116:BQ116"/>
    <mergeCell ref="BR110:BS110"/>
    <mergeCell ref="BP111:BQ111"/>
    <mergeCell ref="BR111:BS111"/>
    <mergeCell ref="BP112:BQ112"/>
    <mergeCell ref="BR112:BS112"/>
    <mergeCell ref="BR114:BS114"/>
    <mergeCell ref="BP113:BQ113"/>
    <mergeCell ref="BR113:BS113"/>
    <mergeCell ref="BP114:BQ114"/>
    <mergeCell ref="BP110:BQ110"/>
    <mergeCell ref="BP107:BQ107"/>
    <mergeCell ref="BR107:BS107"/>
    <mergeCell ref="BP108:BQ108"/>
    <mergeCell ref="BR108:BS108"/>
    <mergeCell ref="BP109:BQ109"/>
    <mergeCell ref="BR109:BS109"/>
    <mergeCell ref="BP104:BQ104"/>
    <mergeCell ref="BR104:BS104"/>
    <mergeCell ref="BP105:BQ105"/>
    <mergeCell ref="BR105:BS105"/>
    <mergeCell ref="BP106:BQ106"/>
    <mergeCell ref="BR106:BS106"/>
    <mergeCell ref="BP101:BQ101"/>
    <mergeCell ref="BR101:BS101"/>
    <mergeCell ref="BP102:BQ102"/>
    <mergeCell ref="BR102:BS102"/>
    <mergeCell ref="BP103:BQ103"/>
    <mergeCell ref="BR103:BS103"/>
    <mergeCell ref="BP98:BQ98"/>
    <mergeCell ref="BR98:BS98"/>
    <mergeCell ref="BP99:BQ99"/>
    <mergeCell ref="BR99:BS99"/>
    <mergeCell ref="BP100:BQ100"/>
    <mergeCell ref="BR100:BS100"/>
    <mergeCell ref="BP95:BQ95"/>
    <mergeCell ref="BR95:BS95"/>
    <mergeCell ref="BP96:BQ96"/>
    <mergeCell ref="BR96:BS96"/>
    <mergeCell ref="BP97:BQ97"/>
    <mergeCell ref="BR97:BS97"/>
    <mergeCell ref="BP92:BQ92"/>
    <mergeCell ref="BR92:BS92"/>
    <mergeCell ref="BP93:BQ93"/>
    <mergeCell ref="BR93:BS93"/>
    <mergeCell ref="BP94:BQ94"/>
    <mergeCell ref="BR94:BS94"/>
    <mergeCell ref="BP89:BQ89"/>
    <mergeCell ref="BR89:BS89"/>
    <mergeCell ref="BP90:BQ90"/>
    <mergeCell ref="BR90:BS90"/>
    <mergeCell ref="BP91:BQ91"/>
    <mergeCell ref="BR91:BS91"/>
    <mergeCell ref="BP86:BQ86"/>
    <mergeCell ref="BR86:BS86"/>
    <mergeCell ref="BP87:BQ87"/>
    <mergeCell ref="BR87:BS87"/>
    <mergeCell ref="BP88:BQ88"/>
    <mergeCell ref="BR88:BS88"/>
    <mergeCell ref="CB5:CC5"/>
    <mergeCell ref="CD5:CE5"/>
    <mergeCell ref="CB6:CC6"/>
    <mergeCell ref="CD6:CE6"/>
    <mergeCell ref="CB7:CC7"/>
    <mergeCell ref="CD7:CE7"/>
    <mergeCell ref="CB8:CC8"/>
    <mergeCell ref="CD8:CE8"/>
    <mergeCell ref="CB9:CC9"/>
    <mergeCell ref="CD9:CE9"/>
    <mergeCell ref="CB10:CC10"/>
    <mergeCell ref="CD10:CE10"/>
    <mergeCell ref="CB11:CC11"/>
    <mergeCell ref="CD11:CE11"/>
    <mergeCell ref="CB12:CC12"/>
    <mergeCell ref="CD12:CE12"/>
    <mergeCell ref="CB13:CC13"/>
    <mergeCell ref="CD13:CE13"/>
    <mergeCell ref="CB14:CC14"/>
    <mergeCell ref="CD14:CE14"/>
    <mergeCell ref="CB15:CC15"/>
    <mergeCell ref="CD15:CE15"/>
    <mergeCell ref="CB16:CC16"/>
    <mergeCell ref="CD16:CE16"/>
    <mergeCell ref="CB17:CC17"/>
    <mergeCell ref="CD17:CE17"/>
    <mergeCell ref="CB18:CC18"/>
    <mergeCell ref="CD18:CE18"/>
    <mergeCell ref="CB19:CC19"/>
    <mergeCell ref="CD19:CE19"/>
    <mergeCell ref="CB20:CC20"/>
    <mergeCell ref="CD20:CE20"/>
    <mergeCell ref="CB21:CC21"/>
    <mergeCell ref="CD21:CE21"/>
    <mergeCell ref="CB22:CC22"/>
    <mergeCell ref="CD22:CE22"/>
    <mergeCell ref="CB23:CC23"/>
    <mergeCell ref="CD23:CE23"/>
    <mergeCell ref="CB24:CC24"/>
    <mergeCell ref="CD24:CE24"/>
    <mergeCell ref="CB25:CC25"/>
    <mergeCell ref="CD25:CE25"/>
    <mergeCell ref="CB26:CC26"/>
    <mergeCell ref="CD26:CE26"/>
    <mergeCell ref="CB27:CC27"/>
    <mergeCell ref="CD27:CE27"/>
    <mergeCell ref="CB28:CC28"/>
    <mergeCell ref="CD28:CE28"/>
    <mergeCell ref="CB29:CC29"/>
    <mergeCell ref="CD29:CE29"/>
    <mergeCell ref="CB30:CC30"/>
    <mergeCell ref="CD30:CE30"/>
    <mergeCell ref="CB31:CC31"/>
    <mergeCell ref="CD31:CE31"/>
    <mergeCell ref="CB32:CC32"/>
    <mergeCell ref="CD32:CE32"/>
    <mergeCell ref="CB33:CC33"/>
    <mergeCell ref="CD33:CE33"/>
    <mergeCell ref="CB34:CC34"/>
    <mergeCell ref="CD34:CE34"/>
    <mergeCell ref="CB35:CC35"/>
    <mergeCell ref="CD35:CE35"/>
    <mergeCell ref="CB36:CC36"/>
    <mergeCell ref="CD36:CE36"/>
    <mergeCell ref="CB37:CC37"/>
    <mergeCell ref="CD37:CE37"/>
    <mergeCell ref="CB38:CC38"/>
    <mergeCell ref="CD38:CE38"/>
    <mergeCell ref="CB39:CC39"/>
    <mergeCell ref="CD39:CE39"/>
    <mergeCell ref="CB40:CC40"/>
    <mergeCell ref="CD40:CE40"/>
    <mergeCell ref="CB41:CC41"/>
    <mergeCell ref="CD41:CE41"/>
    <mergeCell ref="CB42:CC42"/>
    <mergeCell ref="CD42:CE42"/>
    <mergeCell ref="CB43:CC43"/>
    <mergeCell ref="CD43:CE43"/>
    <mergeCell ref="CB44:CC44"/>
    <mergeCell ref="CD44:CE44"/>
    <mergeCell ref="CB45:CC45"/>
    <mergeCell ref="CD45:CE45"/>
    <mergeCell ref="CB46:CC46"/>
    <mergeCell ref="CD46:CE46"/>
    <mergeCell ref="CB47:CC47"/>
    <mergeCell ref="CD47:CE47"/>
    <mergeCell ref="CB48:CC48"/>
    <mergeCell ref="CD48:CE48"/>
    <mergeCell ref="CB49:CC49"/>
    <mergeCell ref="CD49:CE49"/>
    <mergeCell ref="CB50:CC50"/>
    <mergeCell ref="CD50:CE50"/>
    <mergeCell ref="CB51:CC51"/>
    <mergeCell ref="CD51:CE51"/>
    <mergeCell ref="CB52:CC52"/>
    <mergeCell ref="CD52:CE52"/>
    <mergeCell ref="CB53:CC53"/>
    <mergeCell ref="CD53:CE53"/>
    <mergeCell ref="CB54:CC54"/>
    <mergeCell ref="CD54:CE54"/>
    <mergeCell ref="CB55:CC55"/>
    <mergeCell ref="CD55:CE55"/>
    <mergeCell ref="CB56:CC56"/>
    <mergeCell ref="CD56:CE56"/>
    <mergeCell ref="CB57:CC57"/>
    <mergeCell ref="CD57:CE57"/>
    <mergeCell ref="CB58:CC58"/>
    <mergeCell ref="CD58:CE58"/>
    <mergeCell ref="CB59:CC59"/>
    <mergeCell ref="CD59:CE59"/>
    <mergeCell ref="CB60:CC60"/>
    <mergeCell ref="CD60:CE60"/>
    <mergeCell ref="CB61:CC61"/>
    <mergeCell ref="CD61:CE61"/>
    <mergeCell ref="CB62:CC62"/>
    <mergeCell ref="CD62:CE62"/>
    <mergeCell ref="CB63:CC63"/>
    <mergeCell ref="CD63:CE63"/>
    <mergeCell ref="CB64:CC64"/>
    <mergeCell ref="CD64:CE64"/>
    <mergeCell ref="CB65:CC65"/>
    <mergeCell ref="CD65:CE65"/>
    <mergeCell ref="CB66:CC66"/>
    <mergeCell ref="CD66:CE66"/>
    <mergeCell ref="CB67:CC67"/>
    <mergeCell ref="CD67:CE67"/>
    <mergeCell ref="CB68:CC68"/>
    <mergeCell ref="CD68:CE68"/>
    <mergeCell ref="BT116:BU116"/>
    <mergeCell ref="BV116:BW116"/>
    <mergeCell ref="BX116:BY116"/>
    <mergeCell ref="BZ116:CA116"/>
    <mergeCell ref="BT117:BU117"/>
    <mergeCell ref="BV117:BW117"/>
    <mergeCell ref="BX117:BY117"/>
    <mergeCell ref="BZ117:CA117"/>
    <mergeCell ref="BT114:BU114"/>
    <mergeCell ref="BV114:BW114"/>
    <mergeCell ref="BX114:BY114"/>
    <mergeCell ref="BZ114:CA114"/>
    <mergeCell ref="CB69:CC69"/>
    <mergeCell ref="CD69:CE69"/>
    <mergeCell ref="CB70:CC70"/>
    <mergeCell ref="CD70:CE70"/>
    <mergeCell ref="CB71:CC71"/>
    <mergeCell ref="CD71:CE71"/>
    <mergeCell ref="CB72:CC72"/>
    <mergeCell ref="CD72:CE72"/>
    <mergeCell ref="CB73:CC73"/>
    <mergeCell ref="CD73:CE73"/>
    <mergeCell ref="CB74:CC74"/>
    <mergeCell ref="CD74:CE74"/>
    <mergeCell ref="CB75:CC75"/>
    <mergeCell ref="CD75:CE75"/>
    <mergeCell ref="CB76:CC76"/>
    <mergeCell ref="CD76:CE76"/>
    <mergeCell ref="CB77:CC77"/>
    <mergeCell ref="CD77:CE77"/>
    <mergeCell ref="BT126:BU126"/>
    <mergeCell ref="BV126:BW126"/>
    <mergeCell ref="BX126:BY126"/>
    <mergeCell ref="BZ126:CA126"/>
    <mergeCell ref="BX125:BY125"/>
    <mergeCell ref="BZ125:CA125"/>
    <mergeCell ref="BT124:BU124"/>
    <mergeCell ref="BV124:BW124"/>
    <mergeCell ref="BX124:BY124"/>
    <mergeCell ref="BZ124:CA124"/>
    <mergeCell ref="BT125:BU125"/>
    <mergeCell ref="BV125:BW125"/>
    <mergeCell ref="BT122:BU122"/>
    <mergeCell ref="BV122:BW122"/>
    <mergeCell ref="BX122:BY122"/>
    <mergeCell ref="BZ122:CA122"/>
    <mergeCell ref="BT123:BU123"/>
    <mergeCell ref="BV123:BW123"/>
    <mergeCell ref="BT115:BU115"/>
    <mergeCell ref="BV115:BW115"/>
    <mergeCell ref="BX115:BY115"/>
    <mergeCell ref="BZ115:CA115"/>
    <mergeCell ref="BV103:BW103"/>
    <mergeCell ref="BX103:BY103"/>
    <mergeCell ref="BZ103:CA103"/>
    <mergeCell ref="BT112:BU112"/>
    <mergeCell ref="BV112:BW112"/>
    <mergeCell ref="BX112:BY112"/>
    <mergeCell ref="BZ112:CA112"/>
    <mergeCell ref="BT113:BU113"/>
    <mergeCell ref="BV113:BW113"/>
    <mergeCell ref="BX113:BY113"/>
    <mergeCell ref="BZ113:CA113"/>
    <mergeCell ref="BT110:BU110"/>
    <mergeCell ref="BV110:BW110"/>
    <mergeCell ref="BX110:BY110"/>
    <mergeCell ref="BZ110:CA110"/>
    <mergeCell ref="BT111:BU111"/>
    <mergeCell ref="BV111:BW111"/>
    <mergeCell ref="BX111:BY111"/>
    <mergeCell ref="BZ111:CA111"/>
    <mergeCell ref="BT108:BU108"/>
    <mergeCell ref="BV108:BW108"/>
    <mergeCell ref="BX108:BY108"/>
    <mergeCell ref="BZ108:CA108"/>
    <mergeCell ref="BT109:BU109"/>
    <mergeCell ref="BV109:BW109"/>
    <mergeCell ref="BX109:BY109"/>
    <mergeCell ref="BZ109:CA109"/>
    <mergeCell ref="BX14:BY14"/>
    <mergeCell ref="BZ14:CA14"/>
    <mergeCell ref="BX15:BY15"/>
    <mergeCell ref="BZ15:CA15"/>
    <mergeCell ref="BX16:BY16"/>
    <mergeCell ref="BZ16:CA16"/>
    <mergeCell ref="BX17:BY17"/>
    <mergeCell ref="BZ17:CA17"/>
    <mergeCell ref="BX18:BY18"/>
    <mergeCell ref="BZ18:CA18"/>
    <mergeCell ref="BX19:BY19"/>
    <mergeCell ref="BZ19:CA19"/>
    <mergeCell ref="BT106:BU106"/>
    <mergeCell ref="BV106:BW106"/>
    <mergeCell ref="BX106:BY106"/>
    <mergeCell ref="BZ106:CA106"/>
    <mergeCell ref="BT107:BU107"/>
    <mergeCell ref="BV107:BW107"/>
    <mergeCell ref="BX107:BY107"/>
    <mergeCell ref="BZ107:CA107"/>
    <mergeCell ref="BT104:BU104"/>
    <mergeCell ref="BV104:BW104"/>
    <mergeCell ref="BX104:BY104"/>
    <mergeCell ref="BZ104:CA104"/>
    <mergeCell ref="BT105:BU105"/>
    <mergeCell ref="BV105:BW105"/>
    <mergeCell ref="BX105:BY105"/>
    <mergeCell ref="BZ105:CA105"/>
    <mergeCell ref="BT102:BU102"/>
    <mergeCell ref="BV102:BW102"/>
    <mergeCell ref="BX102:BY102"/>
    <mergeCell ref="BZ102:CA102"/>
    <mergeCell ref="BX5:BY5"/>
    <mergeCell ref="BZ5:CA5"/>
    <mergeCell ref="BX6:BY6"/>
    <mergeCell ref="BZ6:CA6"/>
    <mergeCell ref="BX7:BY7"/>
    <mergeCell ref="BZ7:CA7"/>
    <mergeCell ref="BX8:BY8"/>
    <mergeCell ref="BZ8:CA8"/>
    <mergeCell ref="BX9:BY9"/>
    <mergeCell ref="BZ9:CA9"/>
    <mergeCell ref="BX10:BY10"/>
    <mergeCell ref="BZ10:CA10"/>
    <mergeCell ref="BX11:BY11"/>
    <mergeCell ref="BZ11:CA11"/>
    <mergeCell ref="BX12:BY12"/>
    <mergeCell ref="BZ12:CA12"/>
    <mergeCell ref="BX13:BY13"/>
    <mergeCell ref="BZ13:CA13"/>
    <mergeCell ref="BX20:BY20"/>
    <mergeCell ref="BZ20:CA20"/>
    <mergeCell ref="BX21:BY21"/>
    <mergeCell ref="BZ21:CA21"/>
    <mergeCell ref="BX22:BY22"/>
    <mergeCell ref="BZ22:CA22"/>
    <mergeCell ref="BX23:BY23"/>
    <mergeCell ref="BZ23:CA23"/>
    <mergeCell ref="BX24:BY24"/>
    <mergeCell ref="BZ24:CA24"/>
    <mergeCell ref="BX25:BY25"/>
    <mergeCell ref="BZ25:CA25"/>
    <mergeCell ref="BX26:BY26"/>
    <mergeCell ref="BZ26:CA26"/>
    <mergeCell ref="BX27:BY27"/>
    <mergeCell ref="BZ27:CA27"/>
    <mergeCell ref="BX28:BY28"/>
    <mergeCell ref="BZ28:CA28"/>
    <mergeCell ref="BX29:BY29"/>
    <mergeCell ref="BZ29:CA29"/>
    <mergeCell ref="BX30:BY30"/>
    <mergeCell ref="BZ30:CA30"/>
    <mergeCell ref="BX31:BY31"/>
    <mergeCell ref="BZ31:CA31"/>
    <mergeCell ref="BX32:BY32"/>
    <mergeCell ref="BZ32:CA32"/>
    <mergeCell ref="BX33:BY33"/>
    <mergeCell ref="BZ33:CA33"/>
    <mergeCell ref="BX34:BY34"/>
    <mergeCell ref="BZ34:CA34"/>
    <mergeCell ref="BX35:BY35"/>
    <mergeCell ref="BZ35:CA35"/>
    <mergeCell ref="BX36:BY36"/>
    <mergeCell ref="BZ36:CA36"/>
    <mergeCell ref="BX37:BY37"/>
    <mergeCell ref="BZ37:CA37"/>
    <mergeCell ref="BX38:BY38"/>
    <mergeCell ref="BZ38:CA38"/>
    <mergeCell ref="BX39:BY39"/>
    <mergeCell ref="BZ39:CA39"/>
    <mergeCell ref="BX40:BY40"/>
    <mergeCell ref="BZ40:CA40"/>
    <mergeCell ref="BX41:BY41"/>
    <mergeCell ref="BZ41:CA41"/>
    <mergeCell ref="BX42:BY42"/>
    <mergeCell ref="BZ42:CA42"/>
    <mergeCell ref="BX43:BY43"/>
    <mergeCell ref="BZ43:CA43"/>
    <mergeCell ref="BX44:BY44"/>
    <mergeCell ref="BZ44:CA44"/>
    <mergeCell ref="BX45:BY45"/>
    <mergeCell ref="BZ45:CA45"/>
    <mergeCell ref="BX46:BY46"/>
    <mergeCell ref="BZ46:CA46"/>
    <mergeCell ref="BX47:BY47"/>
    <mergeCell ref="BZ47:CA47"/>
    <mergeCell ref="BX48:BY48"/>
    <mergeCell ref="BZ48:CA48"/>
    <mergeCell ref="BX49:BY49"/>
    <mergeCell ref="BZ49:CA49"/>
    <mergeCell ref="BX50:BY50"/>
    <mergeCell ref="BZ50:CA50"/>
    <mergeCell ref="BX51:BY51"/>
    <mergeCell ref="BZ51:CA51"/>
    <mergeCell ref="BX52:BY52"/>
    <mergeCell ref="BZ52:CA52"/>
    <mergeCell ref="BX53:BY53"/>
    <mergeCell ref="BZ53:CA53"/>
    <mergeCell ref="BX54:BY54"/>
    <mergeCell ref="BZ54:CA54"/>
    <mergeCell ref="BX55:BY55"/>
    <mergeCell ref="BZ55:CA55"/>
    <mergeCell ref="BT80:BU80"/>
    <mergeCell ref="BZ91:CA91"/>
    <mergeCell ref="BV81:BW81"/>
    <mergeCell ref="BV70:BW70"/>
    <mergeCell ref="BT72:BU72"/>
    <mergeCell ref="BX56:BY56"/>
    <mergeCell ref="BZ56:CA56"/>
    <mergeCell ref="BX57:BY57"/>
    <mergeCell ref="BZ57:CA57"/>
    <mergeCell ref="BX68:BY68"/>
    <mergeCell ref="BX77:BY77"/>
    <mergeCell ref="BX58:BY58"/>
    <mergeCell ref="BZ58:CA58"/>
    <mergeCell ref="BX59:BY59"/>
    <mergeCell ref="BZ59:CA59"/>
    <mergeCell ref="BX60:BY60"/>
    <mergeCell ref="BZ60:CA60"/>
    <mergeCell ref="BX61:BY61"/>
    <mergeCell ref="BZ61:CA61"/>
    <mergeCell ref="BX62:BY62"/>
    <mergeCell ref="BZ62:CA62"/>
    <mergeCell ref="BX63:BY63"/>
    <mergeCell ref="BZ63:CA63"/>
    <mergeCell ref="BX64:BY64"/>
    <mergeCell ref="BZ64:CA64"/>
    <mergeCell ref="BX65:BY65"/>
    <mergeCell ref="BZ65:CA65"/>
    <mergeCell ref="BX66:BY66"/>
    <mergeCell ref="BZ66:CA66"/>
    <mergeCell ref="BX67:BY67"/>
    <mergeCell ref="BZ67:CA67"/>
    <mergeCell ref="BZ68:CA68"/>
    <mergeCell ref="BX69:BY69"/>
    <mergeCell ref="BZ69:CA69"/>
    <mergeCell ref="BX70:BY70"/>
    <mergeCell ref="BZ70:CA70"/>
    <mergeCell ref="BX71:BY71"/>
    <mergeCell ref="BZ71:CA71"/>
    <mergeCell ref="BX72:BY72"/>
    <mergeCell ref="BZ72:CA72"/>
    <mergeCell ref="BX73:BY73"/>
    <mergeCell ref="BZ73:CA73"/>
    <mergeCell ref="BZ79:CA79"/>
    <mergeCell ref="BX74:BY74"/>
    <mergeCell ref="BZ74:CA74"/>
    <mergeCell ref="BX75:BY75"/>
    <mergeCell ref="BZ75:CA75"/>
    <mergeCell ref="BX76:BY76"/>
    <mergeCell ref="BZ76:CA76"/>
    <mergeCell ref="BZ77:CA77"/>
    <mergeCell ref="BX78:BY78"/>
    <mergeCell ref="BZ78:CA78"/>
    <mergeCell ref="BX83:BY83"/>
    <mergeCell ref="BZ83:CA83"/>
    <mergeCell ref="BX84:BY84"/>
    <mergeCell ref="BZ84:CA84"/>
    <mergeCell ref="BX85:BY85"/>
    <mergeCell ref="BZ85:CA85"/>
    <mergeCell ref="BT97:BU97"/>
    <mergeCell ref="BV97:BW97"/>
    <mergeCell ref="BX97:BY97"/>
    <mergeCell ref="BZ97:CA97"/>
    <mergeCell ref="BT98:BU98"/>
    <mergeCell ref="BV98:BW98"/>
    <mergeCell ref="BX98:BY98"/>
    <mergeCell ref="BZ98:CA98"/>
    <mergeCell ref="BT95:BU95"/>
    <mergeCell ref="BV95:BW95"/>
    <mergeCell ref="BX95:BY95"/>
    <mergeCell ref="BZ95:CA95"/>
    <mergeCell ref="BX93:BY93"/>
    <mergeCell ref="BZ93:CA93"/>
    <mergeCell ref="BT85:BU85"/>
    <mergeCell ref="BT94:BU94"/>
    <mergeCell ref="BV94:BW94"/>
    <mergeCell ref="BX94:BY94"/>
    <mergeCell ref="BT96:BU96"/>
    <mergeCell ref="BZ94:CA94"/>
    <mergeCell ref="BT91:BU91"/>
    <mergeCell ref="BV91:BW91"/>
    <mergeCell ref="BX91:BY91"/>
    <mergeCell ref="BT90:BU90"/>
    <mergeCell ref="BV83:BW83"/>
    <mergeCell ref="CH116:CI116"/>
    <mergeCell ref="CB117:CC117"/>
    <mergeCell ref="CD117:CE117"/>
    <mergeCell ref="CF117:CG117"/>
    <mergeCell ref="CH117:CI117"/>
    <mergeCell ref="BT87:BU87"/>
    <mergeCell ref="BT16:BU16"/>
    <mergeCell ref="BV16:BW16"/>
    <mergeCell ref="BT18:BU18"/>
    <mergeCell ref="BV18:BW18"/>
    <mergeCell ref="BT17:BU17"/>
    <mergeCell ref="BV17:BW17"/>
    <mergeCell ref="BT19:BU19"/>
    <mergeCell ref="BV19:BW19"/>
    <mergeCell ref="BT21:BU21"/>
    <mergeCell ref="BT92:BU92"/>
    <mergeCell ref="BV92:BW92"/>
    <mergeCell ref="BX92:BY92"/>
    <mergeCell ref="BZ92:CA92"/>
    <mergeCell ref="BZ80:CA80"/>
    <mergeCell ref="BX81:BY81"/>
    <mergeCell ref="BZ81:CA81"/>
    <mergeCell ref="BX82:BY82"/>
    <mergeCell ref="BZ82:CA82"/>
    <mergeCell ref="BX90:BY90"/>
    <mergeCell ref="BZ90:CA90"/>
    <mergeCell ref="BV87:BW87"/>
    <mergeCell ref="BX87:BY87"/>
    <mergeCell ref="BZ87:CA87"/>
    <mergeCell ref="BT88:BU88"/>
    <mergeCell ref="BV80:BW80"/>
    <mergeCell ref="BX80:BY80"/>
    <mergeCell ref="BT5:BU5"/>
    <mergeCell ref="BV5:BW5"/>
    <mergeCell ref="BT6:BU6"/>
    <mergeCell ref="BV6:BW6"/>
    <mergeCell ref="BT7:BU7"/>
    <mergeCell ref="BV7:BW7"/>
    <mergeCell ref="BT9:BU9"/>
    <mergeCell ref="BV9:BW9"/>
    <mergeCell ref="BT10:BU10"/>
    <mergeCell ref="BV10:BW10"/>
    <mergeCell ref="BT12:BU12"/>
    <mergeCell ref="BV12:BW12"/>
    <mergeCell ref="BT11:BU11"/>
    <mergeCell ref="BV11:BW11"/>
    <mergeCell ref="BT13:BU13"/>
    <mergeCell ref="BV13:BW13"/>
    <mergeCell ref="BT15:BU15"/>
    <mergeCell ref="BV15:BW15"/>
    <mergeCell ref="BT14:BU14"/>
    <mergeCell ref="BV14:BW14"/>
    <mergeCell ref="BT8:BU8"/>
    <mergeCell ref="BV8:BW8"/>
    <mergeCell ref="BV21:BW21"/>
    <mergeCell ref="BT20:BU20"/>
    <mergeCell ref="BV20:BW20"/>
    <mergeCell ref="BT22:BU22"/>
    <mergeCell ref="BV22:BW22"/>
    <mergeCell ref="BT24:BU24"/>
    <mergeCell ref="BV24:BW24"/>
    <mergeCell ref="BT23:BU23"/>
    <mergeCell ref="BV23:BW23"/>
    <mergeCell ref="BT25:BU25"/>
    <mergeCell ref="BV25:BW25"/>
    <mergeCell ref="BT27:BU27"/>
    <mergeCell ref="BV27:BW27"/>
    <mergeCell ref="BT26:BU26"/>
    <mergeCell ref="BV26:BW26"/>
    <mergeCell ref="BT28:BU28"/>
    <mergeCell ref="BV28:BW28"/>
    <mergeCell ref="BT30:BU30"/>
    <mergeCell ref="BV30:BW30"/>
    <mergeCell ref="BT29:BU29"/>
    <mergeCell ref="BV29:BW29"/>
    <mergeCell ref="BT31:BU31"/>
    <mergeCell ref="BV31:BW31"/>
    <mergeCell ref="BT33:BU33"/>
    <mergeCell ref="BV33:BW33"/>
    <mergeCell ref="BT32:BU32"/>
    <mergeCell ref="BV32:BW32"/>
    <mergeCell ref="BT34:BU34"/>
    <mergeCell ref="BV34:BW34"/>
    <mergeCell ref="BT36:BU36"/>
    <mergeCell ref="BV36:BW36"/>
    <mergeCell ref="BT35:BU35"/>
    <mergeCell ref="BV35:BW35"/>
    <mergeCell ref="BT37:BU37"/>
    <mergeCell ref="BV37:BW37"/>
    <mergeCell ref="BT39:BU39"/>
    <mergeCell ref="BV39:BW39"/>
    <mergeCell ref="BT38:BU38"/>
    <mergeCell ref="BV38:BW38"/>
    <mergeCell ref="BT40:BU40"/>
    <mergeCell ref="BV40:BW40"/>
    <mergeCell ref="BT42:BU42"/>
    <mergeCell ref="BV42:BW42"/>
    <mergeCell ref="BT41:BU41"/>
    <mergeCell ref="BV41:BW41"/>
    <mergeCell ref="BT43:BU43"/>
    <mergeCell ref="BV43:BW43"/>
    <mergeCell ref="BT45:BU45"/>
    <mergeCell ref="BV45:BW45"/>
    <mergeCell ref="BT44:BU44"/>
    <mergeCell ref="BV44:BW44"/>
    <mergeCell ref="BT46:BU46"/>
    <mergeCell ref="BV46:BW46"/>
    <mergeCell ref="BT48:BU48"/>
    <mergeCell ref="BV48:BW48"/>
    <mergeCell ref="BT47:BU47"/>
    <mergeCell ref="BV47:BW47"/>
    <mergeCell ref="BT49:BU49"/>
    <mergeCell ref="BV49:BW49"/>
    <mergeCell ref="BT51:BU51"/>
    <mergeCell ref="BV51:BW51"/>
    <mergeCell ref="BT50:BU50"/>
    <mergeCell ref="BV50:BW50"/>
    <mergeCell ref="BT52:BU52"/>
    <mergeCell ref="BV52:BW52"/>
    <mergeCell ref="BT54:BU54"/>
    <mergeCell ref="BV54:BW54"/>
    <mergeCell ref="BT53:BU53"/>
    <mergeCell ref="BV53:BW53"/>
    <mergeCell ref="BT55:BU55"/>
    <mergeCell ref="BV55:BW55"/>
    <mergeCell ref="BV72:BW72"/>
    <mergeCell ref="BT71:BU71"/>
    <mergeCell ref="BV71:BW71"/>
    <mergeCell ref="BT73:BU73"/>
    <mergeCell ref="BV73:BW73"/>
    <mergeCell ref="BT57:BU57"/>
    <mergeCell ref="BV57:BW57"/>
    <mergeCell ref="BT56:BU56"/>
    <mergeCell ref="BV56:BW56"/>
    <mergeCell ref="BT58:BU58"/>
    <mergeCell ref="BV58:BW58"/>
    <mergeCell ref="BT60:BU60"/>
    <mergeCell ref="BV60:BW60"/>
    <mergeCell ref="BT59:BU59"/>
    <mergeCell ref="BV59:BW59"/>
    <mergeCell ref="BT61:BU61"/>
    <mergeCell ref="BV61:BW61"/>
    <mergeCell ref="BT63:BU63"/>
    <mergeCell ref="BV63:BW63"/>
    <mergeCell ref="BT62:BU62"/>
    <mergeCell ref="BV62:BW62"/>
    <mergeCell ref="BT64:BU64"/>
    <mergeCell ref="BV64:BW64"/>
    <mergeCell ref="CH111:CI111"/>
    <mergeCell ref="CB112:CC112"/>
    <mergeCell ref="CD112:CE112"/>
    <mergeCell ref="CF112:CG112"/>
    <mergeCell ref="CH112:CI112"/>
    <mergeCell ref="CF109:CG109"/>
    <mergeCell ref="CH109:CI109"/>
    <mergeCell ref="CB110:CC110"/>
    <mergeCell ref="CD110:CE110"/>
    <mergeCell ref="CF110:CG110"/>
    <mergeCell ref="CH110:CI110"/>
    <mergeCell ref="CF107:CG107"/>
    <mergeCell ref="BV96:BW96"/>
    <mergeCell ref="BX96:BY96"/>
    <mergeCell ref="BZ96:CA96"/>
    <mergeCell ref="CF98:CG98"/>
    <mergeCell ref="CH98:CI98"/>
    <mergeCell ref="CH107:CI107"/>
    <mergeCell ref="CB108:CC108"/>
    <mergeCell ref="CD108:CE108"/>
    <mergeCell ref="CF108:CG108"/>
    <mergeCell ref="CH108:CI108"/>
    <mergeCell ref="CF105:CG105"/>
    <mergeCell ref="CH105:CI105"/>
    <mergeCell ref="CB106:CC106"/>
    <mergeCell ref="CD106:CE106"/>
    <mergeCell ref="CF106:CG106"/>
    <mergeCell ref="CH106:CI106"/>
    <mergeCell ref="CB105:CC105"/>
    <mergeCell ref="CH97:CI97"/>
    <mergeCell ref="BV100:BW100"/>
    <mergeCell ref="BX100:BY100"/>
    <mergeCell ref="CD89:CE89"/>
    <mergeCell ref="CD105:CE105"/>
    <mergeCell ref="CF103:CG103"/>
    <mergeCell ref="CH103:CI103"/>
    <mergeCell ref="CB104:CC104"/>
    <mergeCell ref="CD104:CE104"/>
    <mergeCell ref="CF104:CG104"/>
    <mergeCell ref="CH104:CI104"/>
    <mergeCell ref="CB107:CC107"/>
    <mergeCell ref="CD107:CE107"/>
    <mergeCell ref="CB103:CC103"/>
    <mergeCell ref="CD103:CE103"/>
    <mergeCell ref="CB101:CC101"/>
    <mergeCell ref="CD93:CE93"/>
    <mergeCell ref="CF93:CG93"/>
    <mergeCell ref="CH93:CI93"/>
    <mergeCell ref="CB94:CC94"/>
    <mergeCell ref="CD94:CE94"/>
    <mergeCell ref="CF94:CG94"/>
    <mergeCell ref="CH94:CI94"/>
    <mergeCell ref="CF102:CG102"/>
    <mergeCell ref="CB99:CC99"/>
    <mergeCell ref="CD99:CE99"/>
    <mergeCell ref="CF99:CG99"/>
    <mergeCell ref="CB100:CC100"/>
    <mergeCell ref="CH99:CI99"/>
    <mergeCell ref="BP5:BQ5"/>
    <mergeCell ref="BR5:BS5"/>
    <mergeCell ref="BP6:BQ6"/>
    <mergeCell ref="BR6:BS6"/>
    <mergeCell ref="BP7:BQ7"/>
    <mergeCell ref="BR7:BS7"/>
    <mergeCell ref="BP8:BQ8"/>
    <mergeCell ref="BR8:BS8"/>
    <mergeCell ref="BP9:BQ9"/>
    <mergeCell ref="BR9:BS9"/>
    <mergeCell ref="BP10:BQ10"/>
    <mergeCell ref="BR10:BS10"/>
    <mergeCell ref="BP11:BQ11"/>
    <mergeCell ref="BR11:BS11"/>
    <mergeCell ref="BP12:BQ12"/>
    <mergeCell ref="BR12:BS12"/>
    <mergeCell ref="BP13:BQ13"/>
    <mergeCell ref="BR13:BS13"/>
    <mergeCell ref="BP14:BQ14"/>
    <mergeCell ref="BR14:BS14"/>
    <mergeCell ref="BP15:BQ15"/>
    <mergeCell ref="BR15:BS15"/>
    <mergeCell ref="BP16:BQ16"/>
    <mergeCell ref="BR16:BS16"/>
    <mergeCell ref="BP17:BQ17"/>
    <mergeCell ref="BR17:BS17"/>
    <mergeCell ref="BP18:BQ18"/>
    <mergeCell ref="BR18:BS18"/>
    <mergeCell ref="BP19:BQ19"/>
    <mergeCell ref="BR19:BS19"/>
    <mergeCell ref="BP20:BQ20"/>
    <mergeCell ref="BR20:BS20"/>
    <mergeCell ref="BP21:BQ21"/>
    <mergeCell ref="BR21:BS21"/>
    <mergeCell ref="BP22:BQ22"/>
    <mergeCell ref="BR22:BS22"/>
    <mergeCell ref="BP23:BQ23"/>
    <mergeCell ref="BR23:BS23"/>
    <mergeCell ref="BP24:BQ24"/>
    <mergeCell ref="BR24:BS24"/>
    <mergeCell ref="BP25:BQ25"/>
    <mergeCell ref="BR25:BS25"/>
    <mergeCell ref="BP26:BQ26"/>
    <mergeCell ref="BR26:BS26"/>
    <mergeCell ref="BP27:BQ27"/>
    <mergeCell ref="BR27:BS27"/>
    <mergeCell ref="BP28:BQ28"/>
    <mergeCell ref="BR28:BS28"/>
    <mergeCell ref="BP29:BQ29"/>
    <mergeCell ref="BR29:BS29"/>
    <mergeCell ref="BP30:BQ30"/>
    <mergeCell ref="BR30:BS30"/>
    <mergeCell ref="BP31:BQ31"/>
    <mergeCell ref="BR31:BS31"/>
    <mergeCell ref="BP32:BQ32"/>
    <mergeCell ref="BR32:BS32"/>
    <mergeCell ref="BP33:BQ33"/>
    <mergeCell ref="BR33:BS33"/>
    <mergeCell ref="BP34:BQ34"/>
    <mergeCell ref="BR34:BS34"/>
    <mergeCell ref="BP35:BQ35"/>
    <mergeCell ref="BR35:BS35"/>
    <mergeCell ref="BP36:BQ36"/>
    <mergeCell ref="BR36:BS36"/>
    <mergeCell ref="BP37:BQ37"/>
    <mergeCell ref="BR37:BS37"/>
    <mergeCell ref="BP38:BQ38"/>
    <mergeCell ref="BR38:BS38"/>
    <mergeCell ref="BP39:BQ39"/>
    <mergeCell ref="BR39:BS39"/>
    <mergeCell ref="BP40:BQ40"/>
    <mergeCell ref="BR40:BS40"/>
    <mergeCell ref="BP41:BQ41"/>
    <mergeCell ref="BR41:BS41"/>
    <mergeCell ref="BP42:BQ42"/>
    <mergeCell ref="BR42:BS42"/>
    <mergeCell ref="BP43:BQ43"/>
    <mergeCell ref="BR43:BS43"/>
    <mergeCell ref="BP44:BQ44"/>
    <mergeCell ref="BR44:BS44"/>
    <mergeCell ref="BP45:BQ45"/>
    <mergeCell ref="BR45:BS45"/>
    <mergeCell ref="BP46:BQ46"/>
    <mergeCell ref="BR46:BS46"/>
    <mergeCell ref="BP47:BQ47"/>
    <mergeCell ref="BR47:BS47"/>
    <mergeCell ref="BP48:BQ48"/>
    <mergeCell ref="BR48:BS48"/>
    <mergeCell ref="BP49:BQ49"/>
    <mergeCell ref="BR49:BS49"/>
    <mergeCell ref="BP50:BQ50"/>
    <mergeCell ref="BR50:BS50"/>
    <mergeCell ref="BP51:BQ51"/>
    <mergeCell ref="BR51:BS51"/>
    <mergeCell ref="BP52:BQ52"/>
    <mergeCell ref="BR52:BS52"/>
    <mergeCell ref="BP53:BQ53"/>
    <mergeCell ref="BR53:BS53"/>
    <mergeCell ref="BP54:BQ54"/>
    <mergeCell ref="BR54:BS54"/>
    <mergeCell ref="BP55:BQ55"/>
    <mergeCell ref="BR55:BS55"/>
    <mergeCell ref="BP56:BQ56"/>
    <mergeCell ref="BR56:BS56"/>
    <mergeCell ref="BP57:BQ57"/>
    <mergeCell ref="BR57:BS57"/>
    <mergeCell ref="BP58:BQ58"/>
    <mergeCell ref="BR58:BS58"/>
    <mergeCell ref="BV75:BW75"/>
    <mergeCell ref="BT74:BU74"/>
    <mergeCell ref="BV74:BW74"/>
    <mergeCell ref="BP59:BQ59"/>
    <mergeCell ref="BR59:BS59"/>
    <mergeCell ref="BP60:BQ60"/>
    <mergeCell ref="BR60:BS60"/>
    <mergeCell ref="BP61:BQ61"/>
    <mergeCell ref="BR61:BS61"/>
    <mergeCell ref="BP62:BQ62"/>
    <mergeCell ref="BR62:BS62"/>
    <mergeCell ref="BP63:BQ63"/>
    <mergeCell ref="BR63:BS63"/>
    <mergeCell ref="BP64:BQ64"/>
    <mergeCell ref="BR64:BS64"/>
    <mergeCell ref="BP65:BQ65"/>
    <mergeCell ref="BR65:BS65"/>
    <mergeCell ref="BP66:BQ66"/>
    <mergeCell ref="BR66:BS66"/>
    <mergeCell ref="BP67:BQ67"/>
    <mergeCell ref="BR67:BS67"/>
    <mergeCell ref="BT66:BU66"/>
    <mergeCell ref="BV66:BW66"/>
    <mergeCell ref="BT65:BU65"/>
    <mergeCell ref="BV65:BW65"/>
    <mergeCell ref="BT67:BU67"/>
    <mergeCell ref="BV67:BW67"/>
    <mergeCell ref="BT69:BU69"/>
    <mergeCell ref="BV69:BW69"/>
    <mergeCell ref="BT68:BU68"/>
    <mergeCell ref="BV68:BW68"/>
    <mergeCell ref="BT70:BU70"/>
    <mergeCell ref="BP69:BQ69"/>
    <mergeCell ref="BR69:BS69"/>
    <mergeCell ref="BP70:BQ70"/>
    <mergeCell ref="BR70:BS70"/>
    <mergeCell ref="BP71:BQ71"/>
    <mergeCell ref="BR71:BS71"/>
    <mergeCell ref="BP72:BQ72"/>
    <mergeCell ref="BR72:BS72"/>
    <mergeCell ref="BP73:BQ73"/>
    <mergeCell ref="BR73:BS73"/>
    <mergeCell ref="BP74:BQ74"/>
    <mergeCell ref="BR74:BS74"/>
    <mergeCell ref="BP75:BQ75"/>
    <mergeCell ref="BR75:BS75"/>
    <mergeCell ref="BP76:BQ76"/>
    <mergeCell ref="BR76:BS76"/>
    <mergeCell ref="BT75:BU75"/>
    <mergeCell ref="BT76:BU76"/>
    <mergeCell ref="CF83:CG83"/>
    <mergeCell ref="CH83:CI83"/>
    <mergeCell ref="CF84:CG84"/>
    <mergeCell ref="CH84:CI84"/>
    <mergeCell ref="CF85:CG85"/>
    <mergeCell ref="CH85:CI85"/>
    <mergeCell ref="BV85:BW85"/>
    <mergeCell ref="BT86:BU86"/>
    <mergeCell ref="BV86:BW86"/>
    <mergeCell ref="BX86:BY86"/>
    <mergeCell ref="BZ86:CA86"/>
    <mergeCell ref="BT93:BU93"/>
    <mergeCell ref="BV93:BW93"/>
    <mergeCell ref="BV88:BW88"/>
    <mergeCell ref="BZ88:CA88"/>
    <mergeCell ref="BX88:BY88"/>
    <mergeCell ref="BT89:BU89"/>
    <mergeCell ref="BV89:BW89"/>
    <mergeCell ref="CB91:CC91"/>
    <mergeCell ref="CD91:CE91"/>
    <mergeCell ref="CF91:CG91"/>
    <mergeCell ref="CH91:CI91"/>
    <mergeCell ref="CB92:CC92"/>
    <mergeCell ref="CD92:CE92"/>
    <mergeCell ref="CF92:CG92"/>
    <mergeCell ref="CH92:CI92"/>
    <mergeCell ref="CB89:CC89"/>
    <mergeCell ref="BV90:BW90"/>
    <mergeCell ref="CB93:CC93"/>
    <mergeCell ref="CB90:CC90"/>
    <mergeCell ref="CD90:CE90"/>
    <mergeCell ref="CH90:CI90"/>
    <mergeCell ref="BV76:BW76"/>
    <mergeCell ref="BT78:BU78"/>
    <mergeCell ref="BV78:BW78"/>
    <mergeCell ref="BT77:BU77"/>
    <mergeCell ref="BV77:BW77"/>
    <mergeCell ref="BT79:BU79"/>
    <mergeCell ref="BV79:BW79"/>
    <mergeCell ref="CB78:CC78"/>
    <mergeCell ref="CD78:CE78"/>
    <mergeCell ref="CB79:CC79"/>
    <mergeCell ref="BX79:BY79"/>
    <mergeCell ref="CF89:CG89"/>
    <mergeCell ref="CH89:CI89"/>
    <mergeCell ref="BX89:BY89"/>
    <mergeCell ref="BZ89:CA89"/>
    <mergeCell ref="CH78:CI78"/>
    <mergeCell ref="CH79:CI79"/>
    <mergeCell ref="CH80:CI80"/>
    <mergeCell ref="CH81:CI81"/>
    <mergeCell ref="CF87:CG87"/>
    <mergeCell ref="CH87:CI87"/>
    <mergeCell ref="CB86:CC86"/>
    <mergeCell ref="CD86:CE86"/>
    <mergeCell ref="CB88:CC88"/>
    <mergeCell ref="CD88:CE88"/>
    <mergeCell ref="CF88:CG88"/>
    <mergeCell ref="CH88:CI88"/>
    <mergeCell ref="CF86:CG86"/>
    <mergeCell ref="CH86:CI86"/>
    <mergeCell ref="CB83:CC83"/>
    <mergeCell ref="CD83:CE83"/>
    <mergeCell ref="CB85:CC85"/>
    <mergeCell ref="CL92:CM92"/>
    <mergeCell ref="BR78:BS78"/>
    <mergeCell ref="BP79:BQ79"/>
    <mergeCell ref="BR79:BS79"/>
    <mergeCell ref="CB87:CC87"/>
    <mergeCell ref="BP80:BQ80"/>
    <mergeCell ref="BR80:BS80"/>
    <mergeCell ref="BP81:BQ81"/>
    <mergeCell ref="BR81:BS81"/>
    <mergeCell ref="BP82:BQ82"/>
    <mergeCell ref="BR82:BS82"/>
    <mergeCell ref="BR85:BS85"/>
    <mergeCell ref="BT82:BU82"/>
    <mergeCell ref="BV82:BW82"/>
    <mergeCell ref="CD87:CE87"/>
    <mergeCell ref="BP83:BQ83"/>
    <mergeCell ref="BR83:BS83"/>
    <mergeCell ref="BP84:BQ84"/>
    <mergeCell ref="BR84:BS84"/>
    <mergeCell ref="BT84:BU84"/>
    <mergeCell ref="BV84:BW84"/>
    <mergeCell ref="BT83:BU83"/>
    <mergeCell ref="BP85:BQ85"/>
    <mergeCell ref="CD79:CE79"/>
    <mergeCell ref="CB81:CC81"/>
    <mergeCell ref="CD81:CE81"/>
    <mergeCell ref="CB82:CC82"/>
    <mergeCell ref="CD82:CE82"/>
    <mergeCell ref="CB84:CC84"/>
    <mergeCell ref="CD84:CE84"/>
    <mergeCell ref="BT81:BU81"/>
    <mergeCell ref="CD85:CE85"/>
    <mergeCell ref="CL117:CM117"/>
    <mergeCell ref="CJ114:CK114"/>
    <mergeCell ref="CJ104:CK104"/>
    <mergeCell ref="CL104:CM104"/>
    <mergeCell ref="CN117:CO117"/>
    <mergeCell ref="CP117:CQ117"/>
    <mergeCell ref="CJ126:CK126"/>
    <mergeCell ref="CL86:CM86"/>
    <mergeCell ref="CJ87:CK87"/>
    <mergeCell ref="CL87:CM87"/>
    <mergeCell ref="CJ88:CK88"/>
    <mergeCell ref="CL88:CM88"/>
    <mergeCell ref="CJ90:CK90"/>
    <mergeCell ref="CJ91:CK91"/>
    <mergeCell ref="CL91:CM91"/>
    <mergeCell ref="CJ92:CK92"/>
    <mergeCell ref="CJ89:CK89"/>
    <mergeCell ref="CL89:CM89"/>
    <mergeCell ref="CJ86:CK86"/>
    <mergeCell ref="CL90:CM90"/>
    <mergeCell ref="CJ108:CK108"/>
    <mergeCell ref="CL108:CM108"/>
    <mergeCell ref="CJ109:CK109"/>
    <mergeCell ref="CL109:CM109"/>
    <mergeCell ref="CJ106:CK106"/>
    <mergeCell ref="CJ101:CK101"/>
    <mergeCell ref="CL101:CM101"/>
    <mergeCell ref="CJ98:CK98"/>
    <mergeCell ref="CL102:CM102"/>
    <mergeCell ref="CJ102:CK102"/>
    <mergeCell ref="CJ103:CK103"/>
    <mergeCell ref="CL103:CM103"/>
    <mergeCell ref="CL115:CM115"/>
    <mergeCell ref="CJ116:CK116"/>
    <mergeCell ref="CL116:CM116"/>
    <mergeCell ref="CJ97:CK97"/>
    <mergeCell ref="CL97:CM97"/>
    <mergeCell ref="CL98:CM98"/>
    <mergeCell ref="CJ99:CK99"/>
    <mergeCell ref="CL99:CM99"/>
    <mergeCell ref="CJ100:CK100"/>
    <mergeCell ref="CL100:CM100"/>
    <mergeCell ref="CL114:CM114"/>
    <mergeCell ref="CL112:CM112"/>
    <mergeCell ref="CJ113:CK113"/>
    <mergeCell ref="CL113:CM113"/>
    <mergeCell ref="CL111:CM111"/>
    <mergeCell ref="CL110:CM110"/>
    <mergeCell ref="CJ110:CK110"/>
    <mergeCell ref="CJ105:CK105"/>
    <mergeCell ref="CL105:CM105"/>
    <mergeCell ref="CL106:CM106"/>
    <mergeCell ref="CJ107:CK107"/>
    <mergeCell ref="CL107:CM107"/>
    <mergeCell ref="CJ93:CK93"/>
    <mergeCell ref="CL94:CM94"/>
    <mergeCell ref="CJ94:CK94"/>
    <mergeCell ref="CJ95:CK95"/>
    <mergeCell ref="CL95:CM95"/>
    <mergeCell ref="CJ96:CK96"/>
    <mergeCell ref="CL96:CM96"/>
    <mergeCell ref="CL93:CM93"/>
    <mergeCell ref="CB95:CC95"/>
    <mergeCell ref="CD95:CE95"/>
    <mergeCell ref="CF95:CG95"/>
    <mergeCell ref="CH95:CI95"/>
    <mergeCell ref="CB96:CC96"/>
    <mergeCell ref="CD96:CE96"/>
    <mergeCell ref="CF96:CG96"/>
    <mergeCell ref="CH96:CI96"/>
    <mergeCell ref="CH100:CI100"/>
    <mergeCell ref="CB97:CC97"/>
    <mergeCell ref="CD97:CE97"/>
    <mergeCell ref="CF97:CG97"/>
    <mergeCell ref="CJ117:CK117"/>
    <mergeCell ref="CJ115:CK115"/>
    <mergeCell ref="CF126:CG126"/>
    <mergeCell ref="CH126:CI126"/>
    <mergeCell ref="CB126:CC126"/>
    <mergeCell ref="CB124:CC124"/>
    <mergeCell ref="CD124:CE124"/>
    <mergeCell ref="CF124:CG124"/>
    <mergeCell ref="CH124:CI124"/>
    <mergeCell ref="CJ112:CK112"/>
    <mergeCell ref="CD101:CE101"/>
    <mergeCell ref="CF101:CG101"/>
    <mergeCell ref="CH101:CI101"/>
    <mergeCell ref="CB102:CC102"/>
    <mergeCell ref="CD102:CE102"/>
    <mergeCell ref="CJ111:CK111"/>
    <mergeCell ref="CB113:CC113"/>
    <mergeCell ref="CD113:CE113"/>
    <mergeCell ref="CB109:CC109"/>
    <mergeCell ref="CD109:CE109"/>
    <mergeCell ref="CF113:CG113"/>
    <mergeCell ref="CH113:CI113"/>
    <mergeCell ref="CB118:CC118"/>
    <mergeCell ref="CD118:CE118"/>
    <mergeCell ref="CF118:CG118"/>
    <mergeCell ref="CH118:CI118"/>
    <mergeCell ref="CH114:CI114"/>
    <mergeCell ref="CH102:CI102"/>
    <mergeCell ref="CB115:CC115"/>
    <mergeCell ref="CB116:CC116"/>
    <mergeCell ref="CD115:CE115"/>
    <mergeCell ref="CF115:CG115"/>
    <mergeCell ref="BN5:BO5"/>
    <mergeCell ref="BF40:BG40"/>
    <mergeCell ref="BF42:BG42"/>
    <mergeCell ref="BF43:BG43"/>
    <mergeCell ref="BF44:BG44"/>
    <mergeCell ref="BF41:BG41"/>
    <mergeCell ref="BF45:BG45"/>
    <mergeCell ref="BF46:BG46"/>
    <mergeCell ref="BF50:BG50"/>
    <mergeCell ref="BF47:BG47"/>
    <mergeCell ref="BF48:BG48"/>
    <mergeCell ref="BF49:BG49"/>
    <mergeCell ref="BF5:BG5"/>
    <mergeCell ref="BF6:BG6"/>
    <mergeCell ref="BF7:BG7"/>
    <mergeCell ref="BF8:BG8"/>
    <mergeCell ref="BF119:BG119"/>
    <mergeCell ref="BN12:BO12"/>
    <mergeCell ref="BN13:BO13"/>
    <mergeCell ref="BN14:BO14"/>
    <mergeCell ref="BN15:BO15"/>
    <mergeCell ref="BN16:BO16"/>
    <mergeCell ref="BN17:BO17"/>
    <mergeCell ref="BN6:BO6"/>
    <mergeCell ref="BN7:BO7"/>
    <mergeCell ref="BN8:BO8"/>
    <mergeCell ref="BN9:BO9"/>
    <mergeCell ref="BN51:BO51"/>
    <mergeCell ref="BN52:BO52"/>
    <mergeCell ref="BN53:BO53"/>
    <mergeCell ref="BN42:BO42"/>
    <mergeCell ref="BN43:BO43"/>
    <mergeCell ref="BN10:BO10"/>
    <mergeCell ref="BN11:BO11"/>
    <mergeCell ref="BN48:BO48"/>
    <mergeCell ref="BN49:BO49"/>
    <mergeCell ref="BN50:BO50"/>
    <mergeCell ref="AC5:AC6"/>
    <mergeCell ref="AC7:AC8"/>
    <mergeCell ref="AC9:AC10"/>
    <mergeCell ref="AC12:AC13"/>
    <mergeCell ref="AC14:AC15"/>
    <mergeCell ref="AC16:AC17"/>
    <mergeCell ref="AD138:AF138"/>
    <mergeCell ref="AC19:AC20"/>
    <mergeCell ref="AC21:AC22"/>
    <mergeCell ref="AC23:AC24"/>
    <mergeCell ref="AC26:AC27"/>
    <mergeCell ref="AC28:AC29"/>
    <mergeCell ref="AC30:AC31"/>
    <mergeCell ref="AC33:AC34"/>
    <mergeCell ref="AC98:AC99"/>
    <mergeCell ref="AC100:AC101"/>
    <mergeCell ref="AC103:AC104"/>
    <mergeCell ref="AC105:AC106"/>
    <mergeCell ref="AC107:AC108"/>
    <mergeCell ref="AC75:AC76"/>
    <mergeCell ref="AC77:AC78"/>
    <mergeCell ref="AC79:AC80"/>
    <mergeCell ref="AC82:AC83"/>
    <mergeCell ref="BF36:BG36"/>
    <mergeCell ref="BF37:BG37"/>
    <mergeCell ref="BF39:BG39"/>
    <mergeCell ref="BF9:BG9"/>
    <mergeCell ref="BP68:BQ68"/>
    <mergeCell ref="BR68:BS68"/>
    <mergeCell ref="AC35:AC36"/>
    <mergeCell ref="BP77:BQ77"/>
    <mergeCell ref="AC37:AC38"/>
    <mergeCell ref="AC44:AC45"/>
    <mergeCell ref="AC47:AC48"/>
    <mergeCell ref="AC49:AC50"/>
    <mergeCell ref="AC51:AC52"/>
    <mergeCell ref="AC54:AC55"/>
    <mergeCell ref="AC56:AC57"/>
    <mergeCell ref="AC58:AC59"/>
    <mergeCell ref="AC84:AC85"/>
    <mergeCell ref="AC86:AC87"/>
    <mergeCell ref="AC61:AC62"/>
    <mergeCell ref="AC63:AC64"/>
    <mergeCell ref="AC65:AC66"/>
    <mergeCell ref="AC68:AC69"/>
    <mergeCell ref="AC70:AC71"/>
    <mergeCell ref="AC72:AC73"/>
    <mergeCell ref="AC40:AC41"/>
    <mergeCell ref="AC42:AC43"/>
    <mergeCell ref="BF64:BG64"/>
    <mergeCell ref="BF66:BG66"/>
    <mergeCell ref="BF67:BG67"/>
    <mergeCell ref="BF68:BG68"/>
    <mergeCell ref="BF65:BG65"/>
    <mergeCell ref="BF69:BG69"/>
    <mergeCell ref="BF70:BG70"/>
    <mergeCell ref="BF74:BG74"/>
    <mergeCell ref="BF71:BG71"/>
    <mergeCell ref="BF72:BG72"/>
    <mergeCell ref="AC110:AC111"/>
    <mergeCell ref="AC112:AC113"/>
    <mergeCell ref="AC114:AC115"/>
    <mergeCell ref="AC89:AC90"/>
    <mergeCell ref="AC91:AC92"/>
    <mergeCell ref="AC93:AC94"/>
    <mergeCell ref="AC96:AC97"/>
    <mergeCell ref="BR77:BS77"/>
    <mergeCell ref="BP78:BQ78"/>
    <mergeCell ref="BF10:BG10"/>
    <mergeCell ref="BF14:BG14"/>
    <mergeCell ref="BF15:BG15"/>
    <mergeCell ref="BF16:BG16"/>
    <mergeCell ref="BF18:BG18"/>
    <mergeCell ref="BF19:BG19"/>
    <mergeCell ref="BF20:BG20"/>
    <mergeCell ref="BF17:BG17"/>
    <mergeCell ref="BF21:BG21"/>
    <mergeCell ref="BF22:BG22"/>
    <mergeCell ref="BF26:BG26"/>
    <mergeCell ref="BF23:BG23"/>
    <mergeCell ref="BF24:BG24"/>
    <mergeCell ref="BF25:BG25"/>
    <mergeCell ref="BF11:BG11"/>
    <mergeCell ref="BF12:BG12"/>
    <mergeCell ref="BF13:BG13"/>
    <mergeCell ref="BF27:BG27"/>
    <mergeCell ref="BF28:BG28"/>
    <mergeCell ref="BF30:BG30"/>
    <mergeCell ref="BF31:BG31"/>
    <mergeCell ref="BF32:BG32"/>
    <mergeCell ref="BF29:BG29"/>
    <mergeCell ref="BF33:BG33"/>
    <mergeCell ref="BF34:BG34"/>
    <mergeCell ref="BF38:BG38"/>
    <mergeCell ref="BF35:BG35"/>
    <mergeCell ref="BF51:BG51"/>
    <mergeCell ref="BF52:BG52"/>
    <mergeCell ref="BF54:BG54"/>
    <mergeCell ref="BF55:BG55"/>
    <mergeCell ref="BF56:BG56"/>
    <mergeCell ref="BF53:BG53"/>
    <mergeCell ref="BF57:BG57"/>
    <mergeCell ref="BF58:BG58"/>
    <mergeCell ref="BF62:BG62"/>
    <mergeCell ref="BF59:BG59"/>
    <mergeCell ref="BF60:BG60"/>
    <mergeCell ref="BF61:BG61"/>
    <mergeCell ref="BF63:BG63"/>
    <mergeCell ref="BF73:BG73"/>
    <mergeCell ref="BF75:BG75"/>
    <mergeCell ref="BF76:BG76"/>
    <mergeCell ref="BF78:BG78"/>
    <mergeCell ref="BF79:BG79"/>
    <mergeCell ref="BF80:BG80"/>
    <mergeCell ref="BF77:BG77"/>
    <mergeCell ref="BF81:BG81"/>
    <mergeCell ref="BF82:BG82"/>
    <mergeCell ref="BF86:BG86"/>
    <mergeCell ref="BF83:BG83"/>
    <mergeCell ref="BF84:BG84"/>
    <mergeCell ref="BF85:BG85"/>
    <mergeCell ref="BF87:BG87"/>
    <mergeCell ref="BF88:BG88"/>
    <mergeCell ref="BF90:BG90"/>
    <mergeCell ref="BF91:BG91"/>
    <mergeCell ref="BF92:BG92"/>
    <mergeCell ref="BF89:BG89"/>
    <mergeCell ref="BF94:BG94"/>
    <mergeCell ref="BF98:BG98"/>
    <mergeCell ref="BF95:BG95"/>
    <mergeCell ref="BF96:BG96"/>
    <mergeCell ref="BF97:BG97"/>
    <mergeCell ref="BF99:BG99"/>
    <mergeCell ref="BF100:BG100"/>
    <mergeCell ref="BF102:BG102"/>
    <mergeCell ref="BF103:BG103"/>
    <mergeCell ref="BF104:BG104"/>
    <mergeCell ref="BF101:BG101"/>
    <mergeCell ref="BF93:BG93"/>
    <mergeCell ref="CB114:CC114"/>
    <mergeCell ref="CD114:CE114"/>
    <mergeCell ref="CF114:CG114"/>
    <mergeCell ref="CB111:CC111"/>
    <mergeCell ref="CD100:CE100"/>
    <mergeCell ref="CF100:CG100"/>
    <mergeCell ref="CB98:CC98"/>
    <mergeCell ref="CD98:CE98"/>
    <mergeCell ref="CD111:CE111"/>
    <mergeCell ref="CF111:CG111"/>
    <mergeCell ref="CF90:CG90"/>
    <mergeCell ref="BT99:BU99"/>
    <mergeCell ref="BV99:BW99"/>
    <mergeCell ref="BX99:BY99"/>
    <mergeCell ref="BZ99:CA99"/>
    <mergeCell ref="BX101:BY101"/>
    <mergeCell ref="BZ101:CA101"/>
    <mergeCell ref="BT103:BU103"/>
    <mergeCell ref="CJ118:CK118"/>
    <mergeCell ref="DB118:DC118"/>
    <mergeCell ref="CP127:CQ127"/>
    <mergeCell ref="BR125:BS125"/>
    <mergeCell ref="CH227:CJ228"/>
    <mergeCell ref="CD116:CE116"/>
    <mergeCell ref="CF116:CG116"/>
    <mergeCell ref="BT100:BU100"/>
    <mergeCell ref="BZ100:CA100"/>
    <mergeCell ref="BT101:BU101"/>
    <mergeCell ref="BV101:BW101"/>
    <mergeCell ref="CL126:CM126"/>
    <mergeCell ref="CL118:CM118"/>
    <mergeCell ref="CJ119:CK119"/>
    <mergeCell ref="CL119:CM119"/>
    <mergeCell ref="CJ120:CK120"/>
    <mergeCell ref="CJ121:CK121"/>
    <mergeCell ref="CL121:CM121"/>
    <mergeCell ref="CL123:CM123"/>
    <mergeCell ref="CJ124:CK124"/>
    <mergeCell ref="CJ125:CK125"/>
    <mergeCell ref="CL125:CM125"/>
    <mergeCell ref="CF120:CG120"/>
    <mergeCell ref="CH120:CI120"/>
    <mergeCell ref="CB121:CC121"/>
    <mergeCell ref="CD121:CE121"/>
    <mergeCell ref="CF121:CG121"/>
    <mergeCell ref="CH121:CI121"/>
    <mergeCell ref="CD119:CE119"/>
    <mergeCell ref="CF119:CG119"/>
    <mergeCell ref="CH119:CI119"/>
    <mergeCell ref="CH115:CI115"/>
    <mergeCell ref="CB123:CC123"/>
    <mergeCell ref="CD123:CE123"/>
    <mergeCell ref="BT394:BW395"/>
    <mergeCell ref="CB125:CC125"/>
    <mergeCell ref="CD125:CE125"/>
    <mergeCell ref="BY256:CB257"/>
    <mergeCell ref="CV363:CY364"/>
    <mergeCell ref="CX271:DA272"/>
    <mergeCell ref="CY334:CZ335"/>
    <mergeCell ref="DA382:DC383"/>
    <mergeCell ref="CX388:DA389"/>
    <mergeCell ref="CC303:CF304"/>
    <mergeCell ref="CC305:CF306"/>
    <mergeCell ref="DA392:DC393"/>
    <mergeCell ref="BY306:CB307"/>
    <mergeCell ref="DA139:DC140"/>
    <mergeCell ref="CJ127:CK127"/>
    <mergeCell ref="CL124:CM124"/>
    <mergeCell ref="BT159:BW160"/>
    <mergeCell ref="CC153:CF154"/>
    <mergeCell ref="BR138:BT138"/>
    <mergeCell ref="CF139:CZ140"/>
    <mergeCell ref="CH157:CJ158"/>
    <mergeCell ref="CY157:CZ158"/>
    <mergeCell ref="BW139:BX140"/>
    <mergeCell ref="DA157:DC158"/>
    <mergeCell ref="CC157:CE158"/>
    <mergeCell ref="CC165:CE166"/>
    <mergeCell ref="CV155:CY156"/>
    <mergeCell ref="CR156:CU157"/>
    <mergeCell ref="BT262:BW263"/>
    <mergeCell ref="BT259:BW260"/>
    <mergeCell ref="CL120:CM120"/>
    <mergeCell ref="CN126:CO126"/>
    <mergeCell ref="CP126:CQ126"/>
    <mergeCell ref="CR126:CS126"/>
    <mergeCell ref="CT126:CU126"/>
    <mergeCell ref="CV126:CW126"/>
    <mergeCell ref="CY135:DA136"/>
    <mergeCell ref="BJ119:BK119"/>
    <mergeCell ref="BT281:BW282"/>
    <mergeCell ref="BZ121:CA121"/>
    <mergeCell ref="BY239:BZ240"/>
    <mergeCell ref="BJ123:BK123"/>
    <mergeCell ref="BL123:BM123"/>
    <mergeCell ref="BM382:BO383"/>
    <mergeCell ref="BJ388:BM389"/>
    <mergeCell ref="BH184:BJ185"/>
    <mergeCell ref="BJ221:BM222"/>
    <mergeCell ref="BK207:BL208"/>
    <mergeCell ref="BH225:BJ226"/>
    <mergeCell ref="CL370:CO371"/>
    <mergeCell ref="CL372:CO373"/>
    <mergeCell ref="BT309:BW310"/>
    <mergeCell ref="BY310:CB311"/>
    <mergeCell ref="BN124:BO124"/>
    <mergeCell ref="BN119:BO119"/>
    <mergeCell ref="BT277:BW278"/>
    <mergeCell ref="BK184:BL185"/>
    <mergeCell ref="BP126:BQ126"/>
    <mergeCell ref="BP125:BQ125"/>
    <mergeCell ref="BR121:BS121"/>
    <mergeCell ref="BX123:BY123"/>
    <mergeCell ref="BZ123:CA123"/>
    <mergeCell ref="BT120:BU120"/>
    <mergeCell ref="BV120:BW120"/>
    <mergeCell ref="BX120:BY120"/>
    <mergeCell ref="BZ120:CA120"/>
    <mergeCell ref="BT121:BU121"/>
    <mergeCell ref="BV121:BW121"/>
    <mergeCell ref="BX121:BY121"/>
    <mergeCell ref="AT165:AV166"/>
    <mergeCell ref="AR139:BL140"/>
    <mergeCell ref="AR157:AS158"/>
    <mergeCell ref="AT157:AV158"/>
    <mergeCell ref="AW179:AX180"/>
    <mergeCell ref="BJ171:BM172"/>
    <mergeCell ref="BK165:BL166"/>
    <mergeCell ref="BM175:BO176"/>
    <mergeCell ref="BB184:BD185"/>
    <mergeCell ref="AY179:BA180"/>
    <mergeCell ref="BH153:BK154"/>
    <mergeCell ref="BT179:BW180"/>
    <mergeCell ref="BH123:BI123"/>
    <mergeCell ref="BH124:BI124"/>
    <mergeCell ref="BM165:BO166"/>
    <mergeCell ref="BR126:BS126"/>
    <mergeCell ref="BH157:BJ158"/>
    <mergeCell ref="BH162:BK163"/>
    <mergeCell ref="BD156:BG157"/>
    <mergeCell ref="BH155:BK156"/>
    <mergeCell ref="AO155:AR156"/>
    <mergeCell ref="AM139:AQ140"/>
    <mergeCell ref="BH125:BI125"/>
    <mergeCell ref="BH126:BI126"/>
    <mergeCell ref="BF123:BG123"/>
    <mergeCell ref="AY150:BB151"/>
    <mergeCell ref="BP139:BP140"/>
    <mergeCell ref="BM139:BO140"/>
    <mergeCell ref="BN126:BO126"/>
    <mergeCell ref="BN127:BO127"/>
    <mergeCell ref="BL124:BM124"/>
    <mergeCell ref="BJ124:BK124"/>
    <mergeCell ref="AO165:AQ166"/>
    <mergeCell ref="BY459:BZ460"/>
    <mergeCell ref="AY327:BA328"/>
    <mergeCell ref="AT329:AV330"/>
    <mergeCell ref="AW329:AX330"/>
    <mergeCell ref="AY329:BA330"/>
    <mergeCell ref="AL331:AR332"/>
    <mergeCell ref="AT331:AV332"/>
    <mergeCell ref="AW331:AX332"/>
    <mergeCell ref="AY331:BA332"/>
    <mergeCell ref="BH327:BJ328"/>
    <mergeCell ref="BB234:BD235"/>
    <mergeCell ref="AK239:AL240"/>
    <mergeCell ref="AL227:AR228"/>
    <mergeCell ref="AJ233:AL234"/>
    <mergeCell ref="AM239:AQ240"/>
    <mergeCell ref="AI139:AJ140"/>
    <mergeCell ref="BY359:CB360"/>
    <mergeCell ref="BX400:BZ401"/>
    <mergeCell ref="BY443:CF444"/>
    <mergeCell ref="CC365:CE366"/>
    <mergeCell ref="AJ454:AL455"/>
    <mergeCell ref="AF327:AI328"/>
    <mergeCell ref="AL327:AR328"/>
    <mergeCell ref="AW394:AX395"/>
    <mergeCell ref="DA477:DC478"/>
    <mergeCell ref="DA316:DC317"/>
    <mergeCell ref="CY316:CZ317"/>
    <mergeCell ref="CF365:CG366"/>
    <mergeCell ref="DD289:DD290"/>
    <mergeCell ref="CF374:CG375"/>
    <mergeCell ref="CH374:CJ375"/>
    <mergeCell ref="DA334:DC335"/>
    <mergeCell ref="CV305:CY306"/>
    <mergeCell ref="DA324:DC325"/>
    <mergeCell ref="CP324:CS325"/>
    <mergeCell ref="CY324:CZ325"/>
    <mergeCell ref="CV334:CX335"/>
    <mergeCell ref="DD347:DD348"/>
    <mergeCell ref="CP343:CR344"/>
    <mergeCell ref="CH324:CJ325"/>
    <mergeCell ref="DD405:DD406"/>
    <mergeCell ref="CY401:CZ402"/>
    <mergeCell ref="CP448:CR449"/>
    <mergeCell ref="CY343:CZ344"/>
    <mergeCell ref="CY454:CZ455"/>
    <mergeCell ref="CY477:CZ478"/>
    <mergeCell ref="CV379:CY380"/>
    <mergeCell ref="CR417:CU418"/>
    <mergeCell ref="CR359:CU360"/>
    <mergeCell ref="CV361:CY362"/>
    <mergeCell ref="CR422:CU423"/>
    <mergeCell ref="CY374:CZ375"/>
    <mergeCell ref="CV392:CX393"/>
    <mergeCell ref="CY392:CZ393"/>
    <mergeCell ref="BZ396:CF397"/>
    <mergeCell ref="BZ394:CF395"/>
    <mergeCell ref="DA431:DC432"/>
    <mergeCell ref="CV421:CY422"/>
    <mergeCell ref="DA374:DC375"/>
    <mergeCell ref="CY382:CZ383"/>
    <mergeCell ref="CV419:CY420"/>
    <mergeCell ref="CC419:CF420"/>
    <mergeCell ref="CP453:CR454"/>
    <mergeCell ref="CH394:CJ395"/>
    <mergeCell ref="CK394:CL395"/>
    <mergeCell ref="CM394:CO395"/>
    <mergeCell ref="CX330:DA331"/>
    <mergeCell ref="CY365:CZ366"/>
    <mergeCell ref="CV324:CX325"/>
    <mergeCell ref="CM338:CO339"/>
    <mergeCell ref="CM376:CP377"/>
    <mergeCell ref="DA343:DC344"/>
    <mergeCell ref="DA423:DC424"/>
    <mergeCell ref="DA347:DC348"/>
    <mergeCell ref="CF347:CZ348"/>
    <mergeCell ref="CM425:CP426"/>
    <mergeCell ref="CF405:CZ406"/>
    <mergeCell ref="CH431:CJ432"/>
    <mergeCell ref="CP431:CS432"/>
    <mergeCell ref="CV431:CX432"/>
    <mergeCell ref="CH396:CJ397"/>
    <mergeCell ref="CV423:CX424"/>
    <mergeCell ref="CM358:CP359"/>
    <mergeCell ref="CV374:CX375"/>
    <mergeCell ref="DA405:DC406"/>
    <mergeCell ref="CM416:CP417"/>
    <mergeCell ref="CY431:CZ432"/>
    <mergeCell ref="DA441:DC442"/>
    <mergeCell ref="DA448:DC449"/>
    <mergeCell ref="CV454:CX455"/>
    <mergeCell ref="CV448:CX449"/>
    <mergeCell ref="CY485:CZ486"/>
    <mergeCell ref="AF443:AI444"/>
    <mergeCell ref="AO529:AR530"/>
    <mergeCell ref="CR471:CU472"/>
    <mergeCell ref="CV473:CY474"/>
    <mergeCell ref="CV475:CY476"/>
    <mergeCell ref="CR476:CU477"/>
    <mergeCell ref="CV477:CX478"/>
    <mergeCell ref="DD459:DD460"/>
    <mergeCell ref="CM470:CP471"/>
    <mergeCell ref="BT470:BW471"/>
    <mergeCell ref="AF446:AI447"/>
    <mergeCell ref="AJ447:AL448"/>
    <mergeCell ref="BR522:BS523"/>
    <mergeCell ref="AF524:AI525"/>
    <mergeCell ref="AY524:BB525"/>
    <mergeCell ref="AF500:AI501"/>
    <mergeCell ref="BP513:BP514"/>
    <mergeCell ref="CF459:CZ460"/>
    <mergeCell ref="CC475:CF476"/>
    <mergeCell ref="CC473:CF474"/>
    <mergeCell ref="CA459:CE460"/>
    <mergeCell ref="DA454:DC455"/>
    <mergeCell ref="DA459:DC460"/>
    <mergeCell ref="DA485:DC486"/>
    <mergeCell ref="BT491:BW492"/>
    <mergeCell ref="CX491:DA492"/>
    <mergeCell ref="BT495:BW496"/>
    <mergeCell ref="CV495:CX496"/>
    <mergeCell ref="DA495:DC496"/>
    <mergeCell ref="CC485:CE486"/>
    <mergeCell ref="BT479:BW480"/>
    <mergeCell ref="CC585:CE586"/>
    <mergeCell ref="CC583:CF584"/>
    <mergeCell ref="BT533:BW534"/>
    <mergeCell ref="DA539:DC540"/>
    <mergeCell ref="CF531:CG532"/>
    <mergeCell ref="DA531:DC532"/>
    <mergeCell ref="BW567:BX568"/>
    <mergeCell ref="CW479:CZ480"/>
    <mergeCell ref="CP502:CR503"/>
    <mergeCell ref="CM533:CP534"/>
    <mergeCell ref="CP539:CS540"/>
    <mergeCell ref="CY508:CZ509"/>
    <mergeCell ref="CF539:CG540"/>
    <mergeCell ref="CH539:CJ540"/>
    <mergeCell ref="CC539:CE540"/>
    <mergeCell ref="CV536:CY537"/>
    <mergeCell ref="CV539:CX540"/>
    <mergeCell ref="CV485:CX486"/>
    <mergeCell ref="CV482:CY483"/>
    <mergeCell ref="BT559:BW560"/>
    <mergeCell ref="BR566:BT566"/>
    <mergeCell ref="DA502:DC503"/>
    <mergeCell ref="BT505:BW506"/>
    <mergeCell ref="CK497:CL498"/>
    <mergeCell ref="CM497:CO498"/>
    <mergeCell ref="BT500:BW501"/>
    <mergeCell ref="BX501:BZ502"/>
    <mergeCell ref="BT497:BW498"/>
    <mergeCell ref="BT482:BW483"/>
    <mergeCell ref="DA508:DC509"/>
    <mergeCell ref="DA602:DC603"/>
    <mergeCell ref="CL592:CO593"/>
    <mergeCell ref="DA594:DC595"/>
    <mergeCell ref="CM596:CP597"/>
    <mergeCell ref="CW596:CZ597"/>
    <mergeCell ref="CH594:CJ595"/>
    <mergeCell ref="BY567:BZ568"/>
    <mergeCell ref="CA567:CE568"/>
    <mergeCell ref="CY531:CZ532"/>
    <mergeCell ref="CF594:CG595"/>
    <mergeCell ref="BT578:BW579"/>
    <mergeCell ref="BT587:BW588"/>
    <mergeCell ref="CV585:CX586"/>
    <mergeCell ref="CY585:CZ586"/>
    <mergeCell ref="CV502:CX503"/>
    <mergeCell ref="CF585:CG586"/>
    <mergeCell ref="CH585:CJ586"/>
    <mergeCell ref="BY584:CB585"/>
    <mergeCell ref="CL527:CO528"/>
    <mergeCell ref="CL529:CO530"/>
    <mergeCell ref="DA556:DC557"/>
    <mergeCell ref="CV556:CX557"/>
    <mergeCell ref="CP556:CR557"/>
    <mergeCell ref="BX557:BZ558"/>
    <mergeCell ref="BX555:BZ556"/>
    <mergeCell ref="CP602:CS603"/>
    <mergeCell ref="CV602:CX603"/>
    <mergeCell ref="AR347:BL348"/>
    <mergeCell ref="BK315:BL316"/>
    <mergeCell ref="AF439:AI440"/>
    <mergeCell ref="BM315:BO316"/>
    <mergeCell ref="AF320:AI321"/>
    <mergeCell ref="AF323:AI324"/>
    <mergeCell ref="AF281:AI282"/>
    <mergeCell ref="AF303:AI304"/>
    <mergeCell ref="AF329:AI330"/>
    <mergeCell ref="CP619:CR620"/>
    <mergeCell ref="CV619:CX620"/>
    <mergeCell ref="BX620:BZ621"/>
    <mergeCell ref="CH365:CJ366"/>
    <mergeCell ref="CV321:CY322"/>
    <mergeCell ref="CR310:CU311"/>
    <mergeCell ref="CC312:CF313"/>
    <mergeCell ref="CV428:CY429"/>
    <mergeCell ref="CH477:CJ478"/>
    <mergeCell ref="CF477:CG478"/>
    <mergeCell ref="BT446:BW447"/>
    <mergeCell ref="BT443:BW444"/>
    <mergeCell ref="BT416:BW417"/>
    <mergeCell ref="BT330:BW331"/>
    <mergeCell ref="AF309:AI310"/>
    <mergeCell ref="AY309:BB310"/>
    <mergeCell ref="BX454:BZ455"/>
    <mergeCell ref="AF505:AI506"/>
    <mergeCell ref="BM508:BO509"/>
    <mergeCell ref="CP485:CS486"/>
    <mergeCell ref="BR512:BT512"/>
    <mergeCell ref="CY495:CZ496"/>
    <mergeCell ref="CM443:CO444"/>
    <mergeCell ref="AE590:AH591"/>
    <mergeCell ref="AT594:AV595"/>
    <mergeCell ref="BK585:BL586"/>
    <mergeCell ref="AY641:BB642"/>
    <mergeCell ref="AK642:AN643"/>
    <mergeCell ref="AO644:AR645"/>
    <mergeCell ref="AJ618:AL619"/>
    <mergeCell ref="AJ620:AL621"/>
    <mergeCell ref="BB539:BE540"/>
    <mergeCell ref="AO539:AQ540"/>
    <mergeCell ref="AF536:AI537"/>
    <mergeCell ref="AF547:AI548"/>
    <mergeCell ref="AY279:BA280"/>
    <mergeCell ref="AF416:AI417"/>
    <mergeCell ref="AW327:AX328"/>
    <mergeCell ref="AD458:AF458"/>
    <mergeCell ref="AI459:AJ460"/>
    <mergeCell ref="AD468:AE469"/>
    <mergeCell ref="AF470:AI471"/>
    <mergeCell ref="BB448:BD449"/>
    <mergeCell ref="AW443:AX444"/>
    <mergeCell ref="AE475:AH476"/>
    <mergeCell ref="AF436:AI437"/>
    <mergeCell ref="AD404:AF404"/>
    <mergeCell ref="AI405:AJ406"/>
    <mergeCell ref="AD414:AE415"/>
    <mergeCell ref="AT443:AV444"/>
    <mergeCell ref="AF312:AI313"/>
    <mergeCell ref="AO315:AQ316"/>
    <mergeCell ref="AR315:AS316"/>
    <mergeCell ref="AY394:BA395"/>
    <mergeCell ref="AF390:AI391"/>
    <mergeCell ref="AY497:BA498"/>
    <mergeCell ref="AF491:AI492"/>
    <mergeCell ref="BJ491:BM492"/>
    <mergeCell ref="BM513:BO514"/>
    <mergeCell ref="BM567:BO568"/>
    <mergeCell ref="BP567:BP568"/>
    <mergeCell ref="AF578:AI579"/>
    <mergeCell ref="AK525:AN526"/>
    <mergeCell ref="AO527:AR528"/>
    <mergeCell ref="BH527:BK528"/>
    <mergeCell ref="BH539:BJ540"/>
    <mergeCell ref="BK539:BL540"/>
    <mergeCell ref="AD566:AF566"/>
    <mergeCell ref="AD576:AE577"/>
    <mergeCell ref="AD522:AE523"/>
    <mergeCell ref="AJ503:AL504"/>
    <mergeCell ref="AY578:BB579"/>
    <mergeCell ref="AK579:AN580"/>
    <mergeCell ref="BD579:BG580"/>
    <mergeCell ref="AT551:AV552"/>
    <mergeCell ref="AF533:AI534"/>
    <mergeCell ref="AF551:AI552"/>
    <mergeCell ref="AL551:AR552"/>
    <mergeCell ref="AF544:AI545"/>
    <mergeCell ref="AY533:BB534"/>
    <mergeCell ref="BH536:BK537"/>
    <mergeCell ref="BB502:BD503"/>
    <mergeCell ref="BH529:BK530"/>
    <mergeCell ref="BH502:BJ503"/>
    <mergeCell ref="BK502:BL503"/>
    <mergeCell ref="BK508:BL509"/>
    <mergeCell ref="AF479:AI480"/>
    <mergeCell ref="AR477:AS478"/>
    <mergeCell ref="AT477:AV478"/>
    <mergeCell ref="BH477:BJ478"/>
    <mergeCell ref="BK477:BL478"/>
    <mergeCell ref="BM539:BO540"/>
    <mergeCell ref="BM556:BO557"/>
    <mergeCell ref="AR513:BL514"/>
    <mergeCell ref="AF495:AI496"/>
    <mergeCell ref="BH495:BJ496"/>
    <mergeCell ref="AF497:AI498"/>
    <mergeCell ref="BM495:BO496"/>
    <mergeCell ref="AK497:AR498"/>
    <mergeCell ref="BD525:BG526"/>
    <mergeCell ref="BM531:BO532"/>
    <mergeCell ref="AO531:AQ532"/>
    <mergeCell ref="AR531:AS532"/>
    <mergeCell ref="BH531:BJ532"/>
    <mergeCell ref="BK531:BL532"/>
    <mergeCell ref="BD530:BG531"/>
    <mergeCell ref="AI513:AJ514"/>
    <mergeCell ref="AK513:AL514"/>
    <mergeCell ref="AM513:AQ514"/>
    <mergeCell ref="BK495:BL496"/>
    <mergeCell ref="AT497:AV498"/>
    <mergeCell ref="BK556:BL557"/>
    <mergeCell ref="BI533:BL534"/>
    <mergeCell ref="AW551:AX552"/>
    <mergeCell ref="AY551:BA552"/>
    <mergeCell ref="BB556:BD557"/>
    <mergeCell ref="AJ557:AL558"/>
    <mergeCell ref="AJ555:AL556"/>
    <mergeCell ref="AF612:AI613"/>
    <mergeCell ref="BI650:BL651"/>
    <mergeCell ref="AR656:AS657"/>
    <mergeCell ref="AF653:AI654"/>
    <mergeCell ref="AF641:AI642"/>
    <mergeCell ref="AT614:AV615"/>
    <mergeCell ref="AD629:AF629"/>
    <mergeCell ref="AR594:AS595"/>
    <mergeCell ref="AF608:AI609"/>
    <mergeCell ref="AF599:AI600"/>
    <mergeCell ref="AF554:AI555"/>
    <mergeCell ref="AF559:AI560"/>
    <mergeCell ref="BT524:BW525"/>
    <mergeCell ref="CM524:CP525"/>
    <mergeCell ref="CC531:CE532"/>
    <mergeCell ref="CC527:CF528"/>
    <mergeCell ref="AT531:AV532"/>
    <mergeCell ref="CM587:CP588"/>
    <mergeCell ref="BY530:CB531"/>
    <mergeCell ref="BT596:BW597"/>
    <mergeCell ref="AR585:AS586"/>
    <mergeCell ref="AT585:AV586"/>
    <mergeCell ref="AF587:AI588"/>
    <mergeCell ref="BY525:CB526"/>
    <mergeCell ref="CH531:CJ532"/>
    <mergeCell ref="AK584:AN585"/>
    <mergeCell ref="AO585:AQ586"/>
    <mergeCell ref="BD584:BG585"/>
    <mergeCell ref="AX590:BA591"/>
    <mergeCell ref="AE592:AH593"/>
    <mergeCell ref="BB602:BE603"/>
    <mergeCell ref="AD639:AE640"/>
    <mergeCell ref="AO648:AQ649"/>
    <mergeCell ref="AR648:AS649"/>
    <mergeCell ref="AL668:AR669"/>
    <mergeCell ref="AY650:BB651"/>
    <mergeCell ref="AT668:AV669"/>
    <mergeCell ref="AJ674:AL675"/>
    <mergeCell ref="BH675:BJ676"/>
    <mergeCell ref="BK675:BL676"/>
    <mergeCell ref="BM675:BO676"/>
    <mergeCell ref="BH563:BJ564"/>
    <mergeCell ref="BK563:BL564"/>
    <mergeCell ref="BM594:BO595"/>
    <mergeCell ref="AY596:BB597"/>
    <mergeCell ref="BI596:BL597"/>
    <mergeCell ref="AO594:AQ595"/>
    <mergeCell ref="BK619:BL620"/>
    <mergeCell ref="BM585:BO586"/>
    <mergeCell ref="AO583:AR584"/>
    <mergeCell ref="AY668:BA669"/>
    <mergeCell ref="BH653:BK654"/>
    <mergeCell ref="BM602:BO603"/>
    <mergeCell ref="BJ608:BM609"/>
    <mergeCell ref="AO602:AQ603"/>
    <mergeCell ref="AX646:BA647"/>
    <mergeCell ref="AY587:BB588"/>
    <mergeCell ref="CV612:CX613"/>
    <mergeCell ref="CY612:CZ613"/>
    <mergeCell ref="BK602:BL603"/>
    <mergeCell ref="CS668:CV669"/>
    <mergeCell ref="BB619:BD620"/>
    <mergeCell ref="AF596:AI597"/>
    <mergeCell ref="AF664:AI665"/>
    <mergeCell ref="BB673:BD674"/>
    <mergeCell ref="BK656:BL657"/>
    <mergeCell ref="AR567:BL568"/>
    <mergeCell ref="AO581:AR582"/>
    <mergeCell ref="BM656:BO657"/>
    <mergeCell ref="BJ662:BM663"/>
    <mergeCell ref="BR576:BS577"/>
    <mergeCell ref="BM619:BO620"/>
    <mergeCell ref="BH599:BK600"/>
    <mergeCell ref="BH602:BJ603"/>
    <mergeCell ref="BH581:BK582"/>
    <mergeCell ref="BH583:BK584"/>
    <mergeCell ref="AI567:AJ568"/>
    <mergeCell ref="AK567:AL568"/>
    <mergeCell ref="AM567:AQ568"/>
    <mergeCell ref="AO646:AR647"/>
    <mergeCell ref="AF644:AI645"/>
    <mergeCell ref="AX644:BA645"/>
    <mergeCell ref="BK648:BL649"/>
    <mergeCell ref="BM648:BO649"/>
    <mergeCell ref="BH625:BJ626"/>
    <mergeCell ref="BK625:BL626"/>
    <mergeCell ref="BM625:BO626"/>
    <mergeCell ref="BK594:BL595"/>
    <mergeCell ref="BH619:BJ620"/>
    <mergeCell ref="CW676:CY677"/>
    <mergeCell ref="DA585:DC586"/>
    <mergeCell ref="CS664:CV665"/>
    <mergeCell ref="BT607:BW608"/>
    <mergeCell ref="BP686:BP687"/>
    <mergeCell ref="BY559:CF560"/>
    <mergeCell ref="CH559:CJ560"/>
    <mergeCell ref="CK559:CL560"/>
    <mergeCell ref="CM559:CO560"/>
    <mergeCell ref="BS590:BV591"/>
    <mergeCell ref="BT610:BW611"/>
    <mergeCell ref="CY619:CZ620"/>
    <mergeCell ref="DA619:DC620"/>
    <mergeCell ref="BT622:BW623"/>
    <mergeCell ref="BH680:BJ681"/>
    <mergeCell ref="BK680:BL681"/>
    <mergeCell ref="AL614:AR615"/>
    <mergeCell ref="BR685:BT685"/>
    <mergeCell ref="BW686:BX687"/>
    <mergeCell ref="BY686:BZ687"/>
    <mergeCell ref="CA686:CE687"/>
    <mergeCell ref="CF686:CZ687"/>
    <mergeCell ref="AJ672:AL673"/>
    <mergeCell ref="AX592:BA593"/>
    <mergeCell ref="BH666:BJ667"/>
    <mergeCell ref="BK666:BL667"/>
    <mergeCell ref="BM666:BO667"/>
    <mergeCell ref="BK612:BL613"/>
    <mergeCell ref="BM612:BO613"/>
    <mergeCell ref="CC602:CE603"/>
    <mergeCell ref="CF602:CG603"/>
    <mergeCell ref="CH602:CJ603"/>
    <mergeCell ref="AF676:AI677"/>
    <mergeCell ref="AF668:AI669"/>
    <mergeCell ref="BH704:BJ705"/>
    <mergeCell ref="AT704:AV705"/>
    <mergeCell ref="BK704:BL705"/>
    <mergeCell ref="AD685:AF685"/>
    <mergeCell ref="BM704:BO705"/>
    <mergeCell ref="AF706:AI707"/>
    <mergeCell ref="AK703:AN704"/>
    <mergeCell ref="AY706:BB707"/>
    <mergeCell ref="AO700:AR701"/>
    <mergeCell ref="AO702:AR703"/>
    <mergeCell ref="AD695:AE696"/>
    <mergeCell ref="AF697:AI698"/>
    <mergeCell ref="AY697:BB698"/>
    <mergeCell ref="AK698:AN699"/>
    <mergeCell ref="AI686:AJ687"/>
    <mergeCell ref="AK686:AL687"/>
    <mergeCell ref="AM686:AQ687"/>
    <mergeCell ref="BM686:BO687"/>
    <mergeCell ref="AF700:AI701"/>
    <mergeCell ref="AX700:BA701"/>
    <mergeCell ref="AX702:BA703"/>
    <mergeCell ref="BI706:BL707"/>
    <mergeCell ref="BM680:BO681"/>
    <mergeCell ref="AF671:AI672"/>
    <mergeCell ref="AO704:AQ705"/>
    <mergeCell ref="AR704:AS705"/>
    <mergeCell ref="DA744:DC745"/>
    <mergeCell ref="CC713:CE714"/>
    <mergeCell ref="CF713:CG714"/>
    <mergeCell ref="CH713:CJ714"/>
    <mergeCell ref="CV713:CX714"/>
    <mergeCell ref="CY704:CZ705"/>
    <mergeCell ref="CR703:CU704"/>
    <mergeCell ref="CC704:CE705"/>
    <mergeCell ref="CF704:CG705"/>
    <mergeCell ref="CH704:CJ705"/>
    <mergeCell ref="CY713:CZ714"/>
    <mergeCell ref="DA713:DC714"/>
    <mergeCell ref="BT715:BW716"/>
    <mergeCell ref="CM715:CP716"/>
    <mergeCell ref="CW715:CZ716"/>
    <mergeCell ref="BT718:BW719"/>
    <mergeCell ref="CV718:CY719"/>
    <mergeCell ref="BS711:BV712"/>
    <mergeCell ref="BT731:BW732"/>
    <mergeCell ref="CV731:CX732"/>
    <mergeCell ref="CY731:CZ732"/>
    <mergeCell ref="CC721:CE722"/>
    <mergeCell ref="CF721:CG722"/>
    <mergeCell ref="CH721:CJ722"/>
    <mergeCell ref="CP721:CS722"/>
    <mergeCell ref="CV721:CX722"/>
    <mergeCell ref="CY721:CZ722"/>
    <mergeCell ref="DA704:DC705"/>
    <mergeCell ref="BT706:BW707"/>
    <mergeCell ref="CM706:CP707"/>
    <mergeCell ref="BS709:BV710"/>
    <mergeCell ref="CY738:CZ739"/>
    <mergeCell ref="DA738:DC739"/>
    <mergeCell ref="BX739:BZ740"/>
    <mergeCell ref="DA721:DC722"/>
    <mergeCell ref="BT727:BW728"/>
    <mergeCell ref="CX727:DA728"/>
    <mergeCell ref="DA731:DC732"/>
    <mergeCell ref="BT733:BW734"/>
    <mergeCell ref="BY733:CF734"/>
    <mergeCell ref="CH733:CJ734"/>
    <mergeCell ref="BW513:BX514"/>
    <mergeCell ref="BY513:BZ514"/>
    <mergeCell ref="CA513:CE514"/>
    <mergeCell ref="CY602:CZ603"/>
    <mergeCell ref="CY594:CZ595"/>
    <mergeCell ref="CY539:CZ540"/>
    <mergeCell ref="CV508:CX509"/>
    <mergeCell ref="BX503:BZ504"/>
    <mergeCell ref="CR584:CU585"/>
    <mergeCell ref="CC594:CE595"/>
    <mergeCell ref="BT736:BW737"/>
    <mergeCell ref="BX737:BZ738"/>
    <mergeCell ref="CL709:CO710"/>
    <mergeCell ref="CC700:CF701"/>
    <mergeCell ref="CV700:CY701"/>
    <mergeCell ref="CC702:CF703"/>
    <mergeCell ref="CV702:CY703"/>
    <mergeCell ref="BY703:CB704"/>
    <mergeCell ref="CV704:CX705"/>
    <mergeCell ref="DA612:DC613"/>
    <mergeCell ref="BT614:BW615"/>
    <mergeCell ref="BZ614:CF615"/>
    <mergeCell ref="CS674:CV675"/>
    <mergeCell ref="BY476:CB477"/>
    <mergeCell ref="CC477:CE478"/>
    <mergeCell ref="AR686:BL687"/>
    <mergeCell ref="AW614:AX615"/>
    <mergeCell ref="AY614:BA615"/>
    <mergeCell ref="AT656:AV657"/>
    <mergeCell ref="DA686:DC687"/>
    <mergeCell ref="DA549:DC550"/>
    <mergeCell ref="BT551:BW552"/>
    <mergeCell ref="CH382:CJ383"/>
    <mergeCell ref="CP382:CS383"/>
    <mergeCell ref="BT544:BW545"/>
    <mergeCell ref="BT321:BW322"/>
    <mergeCell ref="CF567:CZ568"/>
    <mergeCell ref="CM578:CP579"/>
    <mergeCell ref="BT536:BW537"/>
    <mergeCell ref="CF485:CG486"/>
    <mergeCell ref="CH485:CJ486"/>
    <mergeCell ref="CY502:CZ503"/>
    <mergeCell ref="BT547:BW548"/>
    <mergeCell ref="CH497:CJ498"/>
    <mergeCell ref="BT396:BW397"/>
    <mergeCell ref="BR346:BT346"/>
    <mergeCell ref="BX342:BZ343"/>
    <mergeCell ref="BJ545:BM546"/>
    <mergeCell ref="BH549:BJ550"/>
    <mergeCell ref="BK549:BL550"/>
    <mergeCell ref="BM549:BO550"/>
    <mergeCell ref="BM563:BO564"/>
    <mergeCell ref="CV365:CX366"/>
    <mergeCell ref="CH443:CJ444"/>
    <mergeCell ref="CK443:CL444"/>
    <mergeCell ref="CV744:CX745"/>
    <mergeCell ref="CP738:CR739"/>
    <mergeCell ref="CV738:CX739"/>
    <mergeCell ref="CK733:CL734"/>
    <mergeCell ref="CM733:CO734"/>
    <mergeCell ref="CY744:CZ745"/>
    <mergeCell ref="BY551:CF552"/>
    <mergeCell ref="CK551:CL552"/>
    <mergeCell ref="CM551:CO552"/>
    <mergeCell ref="BT554:BW555"/>
    <mergeCell ref="CY556:CZ557"/>
    <mergeCell ref="CF513:CZ514"/>
    <mergeCell ref="CC529:CF530"/>
    <mergeCell ref="CV531:CX532"/>
    <mergeCell ref="CM479:CP480"/>
    <mergeCell ref="BY497:CF498"/>
    <mergeCell ref="CY448:CZ449"/>
    <mergeCell ref="CX545:DA546"/>
    <mergeCell ref="CV549:CX550"/>
    <mergeCell ref="CY549:CZ550"/>
    <mergeCell ref="CV594:CX595"/>
    <mergeCell ref="CC581:CF582"/>
    <mergeCell ref="CV581:CY582"/>
    <mergeCell ref="CH551:CJ552"/>
    <mergeCell ref="CR579:CU580"/>
    <mergeCell ref="BY579:CB580"/>
    <mergeCell ref="BX447:BZ448"/>
    <mergeCell ref="BX449:BZ450"/>
    <mergeCell ref="CW533:CZ534"/>
    <mergeCell ref="DA513:DC514"/>
    <mergeCell ref="BT599:BW600"/>
    <mergeCell ref="CV583:CY584"/>
    <mergeCell ref="CF382:CG383"/>
    <mergeCell ref="DX668:DY669"/>
    <mergeCell ref="DZ668:EB669"/>
    <mergeCell ref="CS670:CV671"/>
    <mergeCell ref="CX670:DE671"/>
    <mergeCell ref="DG670:DI671"/>
    <mergeCell ref="DJ670:DK671"/>
    <mergeCell ref="DL670:DN671"/>
    <mergeCell ref="BS592:BV593"/>
    <mergeCell ref="CL590:CO591"/>
    <mergeCell ref="CV599:CY600"/>
    <mergeCell ref="DD567:DD568"/>
    <mergeCell ref="CX608:DA609"/>
    <mergeCell ref="AI630:AJ631"/>
    <mergeCell ref="AK630:AL631"/>
    <mergeCell ref="AM630:AQ631"/>
    <mergeCell ref="AR630:BL631"/>
    <mergeCell ref="BM630:BO631"/>
    <mergeCell ref="BP630:BP631"/>
    <mergeCell ref="AF622:AI623"/>
    <mergeCell ref="AF617:AI618"/>
    <mergeCell ref="AF661:AI662"/>
    <mergeCell ref="DA567:DC568"/>
    <mergeCell ref="AO656:AQ657"/>
    <mergeCell ref="BH656:BJ657"/>
    <mergeCell ref="BB656:BE657"/>
    <mergeCell ref="AT648:AV649"/>
    <mergeCell ref="BH648:BJ649"/>
    <mergeCell ref="AF650:AI651"/>
    <mergeCell ref="AR602:AS603"/>
    <mergeCell ref="AT602:AV603"/>
    <mergeCell ref="BH612:BJ613"/>
    <mergeCell ref="DD513:DD514"/>
    <mergeCell ref="DW664:DZ665"/>
    <mergeCell ref="DO677:DQ678"/>
    <mergeCell ref="DU677:DW678"/>
    <mergeCell ref="DX677:DY678"/>
    <mergeCell ref="DZ677:EB678"/>
    <mergeCell ref="AW668:AX669"/>
    <mergeCell ref="AF729:AI730"/>
    <mergeCell ref="BJ729:BM730"/>
    <mergeCell ref="BH733:BJ734"/>
    <mergeCell ref="BK733:BL734"/>
    <mergeCell ref="BM733:BO734"/>
    <mergeCell ref="AK647:AN648"/>
    <mergeCell ref="CH614:CJ615"/>
    <mergeCell ref="CK614:CL615"/>
    <mergeCell ref="CV625:CX626"/>
    <mergeCell ref="CY625:CZ626"/>
    <mergeCell ref="AF614:AI615"/>
    <mergeCell ref="BH556:BJ557"/>
    <mergeCell ref="BH594:BJ595"/>
    <mergeCell ref="DA625:DC626"/>
    <mergeCell ref="CM614:CO615"/>
    <mergeCell ref="BT617:BW618"/>
    <mergeCell ref="BX618:BZ619"/>
    <mergeCell ref="BH585:BJ586"/>
    <mergeCell ref="DU668:DW669"/>
    <mergeCell ref="DD686:DD687"/>
    <mergeCell ref="BR695:BS696"/>
    <mergeCell ref="BT697:BW698"/>
    <mergeCell ref="CM697:CP698"/>
    <mergeCell ref="BY698:CB699"/>
    <mergeCell ref="CR698:CU699"/>
    <mergeCell ref="AF739:AI740"/>
    <mergeCell ref="AJ741:AL742"/>
    <mergeCell ref="BB742:BD743"/>
    <mergeCell ref="BH742:BJ743"/>
    <mergeCell ref="BK742:BL743"/>
    <mergeCell ref="BM742:BO743"/>
    <mergeCell ref="BH709:BK710"/>
    <mergeCell ref="AO712:AQ713"/>
    <mergeCell ref="AR712:AS713"/>
    <mergeCell ref="AT712:AV713"/>
    <mergeCell ref="BB712:BE713"/>
    <mergeCell ref="BH712:BJ713"/>
    <mergeCell ref="BK712:BL713"/>
    <mergeCell ref="BM712:BO713"/>
    <mergeCell ref="AF717:AI718"/>
    <mergeCell ref="BJ718:BM719"/>
    <mergeCell ref="AF720:AI721"/>
    <mergeCell ref="BH722:BJ723"/>
    <mergeCell ref="BK722:BL723"/>
    <mergeCell ref="BM722:BO723"/>
    <mergeCell ref="AF733:AI734"/>
    <mergeCell ref="AF709:AI710"/>
    <mergeCell ref="AF737:AI738"/>
    <mergeCell ref="AK737:AR738"/>
    <mergeCell ref="AT737:AV738"/>
    <mergeCell ref="AW737:AX738"/>
    <mergeCell ref="AY737:BA738"/>
    <mergeCell ref="AF735:AI736"/>
    <mergeCell ref="AK735:AR736"/>
    <mergeCell ref="AT735:AV736"/>
    <mergeCell ref="AW735:AX736"/>
    <mergeCell ref="AY735:BA736"/>
    <mergeCell ref="BT741:BW742"/>
    <mergeCell ref="CL711:CO712"/>
    <mergeCell ref="DF239:DH239"/>
    <mergeCell ref="DK240:DL241"/>
    <mergeCell ref="DM240:DN241"/>
    <mergeCell ref="DO240:DS241"/>
    <mergeCell ref="DT240:EN241"/>
    <mergeCell ref="EO240:EQ241"/>
    <mergeCell ref="ER240:ER241"/>
    <mergeCell ref="DF249:DG250"/>
    <mergeCell ref="DH251:DK252"/>
    <mergeCell ref="EA251:ED252"/>
    <mergeCell ref="DM252:DP253"/>
    <mergeCell ref="EF252:EI253"/>
    <mergeCell ref="DH254:DK255"/>
    <mergeCell ref="DQ254:DT255"/>
    <mergeCell ref="EJ254:EM255"/>
    <mergeCell ref="DQ256:DT257"/>
    <mergeCell ref="EJ256:EM257"/>
    <mergeCell ref="DM257:DP258"/>
    <mergeCell ref="EF257:EI258"/>
    <mergeCell ref="DQ258:DS259"/>
    <mergeCell ref="DT258:DU259"/>
    <mergeCell ref="DV258:DX259"/>
    <mergeCell ref="EJ258:EL259"/>
    <mergeCell ref="EM258:EN259"/>
    <mergeCell ref="EO258:EQ259"/>
    <mergeCell ref="DH278:DK279"/>
    <mergeCell ref="DM278:DT279"/>
    <mergeCell ref="DV278:DX279"/>
    <mergeCell ref="DY278:DZ279"/>
    <mergeCell ref="EA278:EC279"/>
    <mergeCell ref="DH282:DK283"/>
    <mergeCell ref="DL284:DN285"/>
    <mergeCell ref="ED285:EF286"/>
    <mergeCell ref="EJ285:EL286"/>
    <mergeCell ref="EM285:EN286"/>
    <mergeCell ref="EO285:EQ286"/>
    <mergeCell ref="DH260:DK261"/>
    <mergeCell ref="EA260:ED261"/>
    <mergeCell ref="EK260:EN261"/>
    <mergeCell ref="DH263:DK264"/>
    <mergeCell ref="EJ263:EM264"/>
    <mergeCell ref="DQ266:DS267"/>
    <mergeCell ref="DT266:DU267"/>
    <mergeCell ref="DV266:DX267"/>
    <mergeCell ref="ED266:EG267"/>
    <mergeCell ref="EJ266:EL267"/>
    <mergeCell ref="EM266:EN267"/>
    <mergeCell ref="EO266:EQ267"/>
    <mergeCell ref="DH272:DK273"/>
    <mergeCell ref="EL272:EO273"/>
    <mergeCell ref="DH276:DK277"/>
    <mergeCell ref="EJ276:EL277"/>
    <mergeCell ref="EM276:EN277"/>
    <mergeCell ref="EO276:EQ277"/>
  </mergeCells>
  <phoneticPr fontId="3"/>
  <dataValidations count="11">
    <dataValidation type="list" showInputMessage="1" showErrorMessage="1" sqref="K5:U10 K12:U17 K61:U66 K47:U52 K54:U59 K33:U38 K40:U45 K19:U24 K26:U31">
      <formula1>$G$134:$G$138</formula1>
    </dataValidation>
    <dataValidation type="list" showInputMessage="1" showErrorMessage="1" sqref="K75:U80 K68:U73 K110:U115 K103:U108 K96:U101 K82:U87 K89:U94">
      <formula1>$T$134:$T$138</formula1>
    </dataValidation>
    <dataValidation type="list" allowBlank="1" showInputMessage="1" showErrorMessage="1" sqref="AR61:AT62 AQ25:AS26 DG421:DI422 DG172:DI173 DG371:DI372 DG222:DI223 DG321:DI322 EL172:EN173">
      <formula1>"D10,D13"</formula1>
    </dataValidation>
    <dataValidation type="list" allowBlank="1" showInputMessage="1" showErrorMessage="1" sqref="DG184:DI185 DG427:DI428 DG228:DI230 DG327:DI328 EV184:EX185 AF279 DG178:DI179 EV178:EX179 AF331 DG377:DI378 AF333">
      <formula1>"D16,D13"</formula1>
    </dataValidation>
    <dataValidation type="list" allowBlank="1" showInputMessage="1" showErrorMessage="1" sqref="DJ417:DJ418 DJ168:DJ169 DJ367:DJ368 DJ218:DJ219 DJ317:DJ318 EO168:EO169">
      <formula1>"D19 2000,D16 1800,D13 1800"</formula1>
    </dataValidation>
    <dataValidation type="list" allowBlank="1" showInputMessage="1" showErrorMessage="1" sqref="CJ596:CJ598 CK597:CK599 CJ209:CJ211 CK210:CK212 BB535:BC535 CP211:CQ211 CM209 CN131:CO131 AY259 CJ533:CJ535 FR161:FS161 FO159:FT160 CP598:CQ598 FN161 CM259 AV425:AV427 AU129:AV130 AQ129:AQ131 CQ209:CR210 CK534:CK536 CH129:CI131 BC479:BD480 AY479 BB598:BC598 BC596:BD597 L160 AY596 AW426:AW428 CP261:CQ261 CJ259:CK261 AY209 AV209:AV211 CQ533:CR534 CM533 P160:Q161 BB261:BC261 CJ159:CJ161 CJ318:CJ320 CK319:CK321 CP535:CQ535 CK129 BB481:BC481 AV479:AV481 AW480:AW482 BC425:BD426 AY425 CO129:CP130 BC533:BD534 AW160:AW162 AY309 O162:P162 BC259:BD260 CK160:CK162 AY650 AV706:AV708 AV159:AV161 CP320:CQ320 AV650:AV652 AW651:AW653 BC650:BD651 CQ318:CR319 BB652:BC652 CM318 EC410:ED410 CK377:CK379 AW597:AW599 AV596:AV598 CJ376:CJ378 CJ715:CJ717 BB161:BC161 AY159 O174:P174 L172 AT133:AU133 AY376 CM715 CK716:CK718 BB378:BC378 BC376:BD377 CP161:CQ161 CM159 AW210:AW212 CP717:CQ717 CQ479:CR480 CM479 AV376:AV378 BB427:BC427 AW377:AW379 CP481:CQ481 FE159:FJ160 FB160:FC162 CP378:CQ378 CJ479:CJ481 CQ425:CR426 CM425 CK480:CK482 BC159:BD160 BB311:BC311 BC309:BD310 CQ715:CR716 CQ376:CR377 FD161 CM376 BC209:BD210 BB211:BC211 CQ159:CR160 AY533 EC161:ED161 DZ159:EE160 DW160:DX162 DY161 DW409:DX411 DZ408:EE409 DY410 EC360:ED360 DZ358:EE359 DW359:DX361 DY360 EC211:ED211 DZ209:EE210 DW210:DX212 DY211 EC310:ED310 DZ308:EE309 DW309:DX311 DY310 AW707:AW709 BC706:BD707 BB708:BC708 AV259:AW261 AV533:AV535 AV309:AW311 CQ259:CR260 CP427:CQ427 CJ425:CJ427 CK426:CK428 CQ596:CR597 CM596 FH161:FI161 AW534:AW536 AY706 DX260:DX262 DY261:DY263 ED262:EE262 EA260 EE260:EF261">
      <formula1>"D13,D10"</formula1>
    </dataValidation>
    <dataValidation type="list" allowBlank="1" showInputMessage="1" showErrorMessage="1" sqref="AY589:BB589 BX358:BX360 BT369:BW369 BX367:BX369 BC587:BC589 EO200:EQ202 CX358:DC360 CQ706:CQ708 AY416 BJ416:BO418 AY418:BB418 AF435 BC416:BC418 AF418:AI418 AJ416:AJ418 AD259 AF543 AF416 AQ416:AT418 AD425 CM416 BR425 FO150:FS152 DG317:DI320 BC200:BC202 FZ150:GE152 AY200 BJ200:BO202 BR596 BT606 BX587:BX589 L223 BT587 CE587:CJ589 CX416:DC418 CM418:CP418 CQ524:CQ526 CE578:CH580 BR587 CX578:DC580 BX578:BX580 BT578 CM580:CP580 CQ578:CQ580 CM578 BR259 CX697:DC699 AQ250:AT252 BJ250:BO252 AJ250:AJ252 CQ416:CQ418 BT580:BW580 CM524 BT589:BW589 CX524:DC526 CM526:CP526 BJ524:BO526 BT706 CE706:CJ708 CM708:CP708 BC578:BC580 AF526:AI526 AJ524:AJ526 AD309 AQ300:AT302 BJ300:BO302 AJ300:AJ302 AY302:BB302 AQ200:AT202 AJ200:AJ202 AF202:AI202 AY252:BB252 AY526:BB526 AY587 BC250:BC252 BC524:BC526 CX706:DC708 BR159 CZ790 BC641:BC643 BR706 AY578 AF580:AI580 AF578 CM706 CE697:CH699 AY250 CE416:CH418 AY580:BB580 AF524 AQ524:AT526 AD533 CQ587:CQ589 AD596 CM587 CX587:DC589 AY641 AD587 BT418:BW418 AQ578:AT580 CE150:CH152 CX150:DC152 BJ641:BO643 AQ641:AT643 AJ641:AJ643 BX150:BX152 BT708:BW708 CM150 AQ150:AT152 AD159 BJ150:BO152 AJ150:AJ152 BT152:BW152 AY152:BB152 BC150:BC152 AY150 AF169 AF152:AI152 AF643:AI643 AY643:BB643 AD650 AY202:BB202 CE524:CH526 BJ587:BO589 CE470:CH472 CX470:DC472 BX470:BX472 CM472:CP472 CQ470:CQ472 AD209 W223:AB225 AF699:AI699 L225:O225 AF219 AY699:BB699 AD706 AF716 BR533 P223:P225 AF587 AF252:AI252 CM470 AF660 CM697 BT699:BW699 BT472:BW472 N188 P189:P191 L189 BX416:BX418 W189:AB191 L191:O191 BT416 AY470 AD479 W201:AB203 L201 BJ578:BO580 L203:O203 L214:O214 P212:P214 L212 W212:AB214 BC300:BC302 AY300 AF302:AI302 AF319 BJ470:BO472 AY472:BB472 BC470:BC472 AD470 AJ578:AJ580 AF589:AI589 AJ587:AJ589 CM589:CP589 BX706:BX708 BT543 AQ587:AV589 BT526:BW526 AF472:AI472 AJ470:AJ472 BX524:BX526 BT524 BR209 CE200:CH202 CX200:DC202 BX200:BX202 CE309:CH311 CM200 CX309:DC311 BX309:BX311 AF470 BT309 AQ470:AV472 BR318 BT302:BW302 CM311:CP311 CQ309:CQ311 CM309 BT311:BW311 CE300:CH302 BR309 CX300:DC302 BX300:BX302 BT202:BW202 CM202:CP202 CQ200:CQ202 BX697:BX699 BT697 CM699:CP699 CQ697:CQ699 BR715 BT300 CM302:CP302 CQ300:CQ302 CM300 AY360:BB360 BC358:BC360 AY358 AF360:AI360 AD376 AF386 AQ358:AT360 BJ358:BO360 AJ358:AJ360 AF358 AD367 AF369:AI369 AJ367:AJ369 AF367 AQ367:AV369 AY369:BB369 BC367:BC369 AY367 BJ367:BO369 BT367 CE367:CJ369 CE250:CH252 CX250:DC252 CM369:CP369 CQ367:CQ369 BX250:BX252 CM252:CP252 CQ250:CQ252 BR479 CM250 CM367 BT252:BW252 CX367:DC369 BT725 CQ358:CQ360 CM358 BT360:BW360 BT358 CM360:CP360 BR376 BR367 FE150:FI152 EW150:EZ152 EL150:EP152 EL168:EN171 CE358:CH360 DZ349:ED351 DZ150:ED152 DR150:DU152 DG150:DK152 DG168:DI171 DZ200:ED202 DR200:DU202 DG200:DK202 DG218:DI221 DR349:DU351 DG349:DK351 DG367:DI370 DZ399:ED401 DR399:DU401 DG399:DK401 DG417:DI420 DZ299:ED301 DR299:DU301 DG299:DK301 CM152:CP152 AF269 CQ150:CQ152 AY524 BC697:BC699 AY697 BJ697:BO699 AQ697:AT699 AJ697:AJ699 DF260 DS251:DV253 EL251:EQ253 DL251:DL253 EA251 DH253:DK253 EA253:ED253 EE251:EE253">
      <formula1>"D19,D16,D13"</formula1>
    </dataValidation>
    <dataValidation type="list" allowBlank="1" showInputMessage="1" showErrorMessage="1" sqref="DJ419:DJ420 DJ170:DJ171 DJ369:DJ370 DJ220:DJ221 DJ319:DJ320 EO170:EO171">
      <formula1>"D16 750x750, D13 600x600"</formula1>
    </dataValidation>
    <dataValidation type="list" allowBlank="1" showInputMessage="1" showErrorMessage="1" sqref="BR138:BT138 AC339 BR188:BT188 AD138:AF138 AD404:AF404 AD188:AF188 BR238:BT238 AD288:AF288 AC389 AD944 AD238:AF238 BR685:BT685 AA239:AB240 AC240 AD999 BR346:BT346 BR288:BT288 AD458:AF458 AC289 AA288:AB289 AD346:AF346 BR458:BT458 AA338:AB339 AA388:AB389 BR834 AD771 AD512:AF512 BR512:BT512 AD566:AF566 BR566:BT566 AD629:AF629 AD834 AD888 BR404:BT404 AD685:AF685 DF239:DH239">
      <formula1>"700,750,800,850,900,950"</formula1>
    </dataValidation>
    <dataValidation type="list" allowBlank="1" showInputMessage="1" showErrorMessage="1" sqref="AF179:AI180 BT396:BW397 BT497:BW498 DH278:DK280 BT443:BW444 AF229:AI230 BT559:BW560 BT551:BW552 AF497:AI498 CS670:CV672 BT733:BW734 AF396:AI397 BT227:BW229 BT177:BW180 AF735:AI738">
      <formula1>"D16,D13,"</formula1>
    </dataValidation>
    <dataValidation type="list" allowBlank="1" showInputMessage="1" showErrorMessage="1" sqref="AF170:AI171 BT544:BW545 AF436:AI437 AF387:AI388 BT607:BW608 AF220:AI221 BT726:BW726 AF661:AI662 AF717:AI718">
      <formula1>$G$145:$G$147</formula1>
    </dataValidation>
  </dataValidations>
  <pageMargins left="7.874015748031496E-2" right="7.874015748031496E-2" top="0.39370078740157483" bottom="0.19685039370078741" header="0" footer="0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入力</vt:lpstr>
      <vt:lpstr>Sheet3</vt:lpstr>
      <vt:lpstr>Sheet3!Print_Area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アイワスチール</dc:creator>
  <cp:lastModifiedBy>sekisan-03</cp:lastModifiedBy>
  <cp:lastPrinted>2022-03-17T02:01:28Z</cp:lastPrinted>
  <dcterms:created xsi:type="dcterms:W3CDTF">2007-02-15T05:34:00Z</dcterms:created>
  <dcterms:modified xsi:type="dcterms:W3CDTF">2026-10-30T04:11:27Z</dcterms:modified>
</cp:coreProperties>
</file>